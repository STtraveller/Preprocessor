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harts/chart11.xml" ContentType="application/vnd.openxmlformats-officedocument.drawingml.chart+xml"/>
  <Override PartName="/xl/drawings/drawing7.xml" ContentType="application/vnd.openxmlformats-officedocument.drawing+xml"/>
  <Override PartName="/xl/charts/chart1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13.xml" ContentType="application/vnd.openxmlformats-officedocument.drawingml.chart+xml"/>
  <Override PartName="/xl/drawings/drawing10.xml" ContentType="application/vnd.openxmlformats-officedocument.drawing+xml"/>
  <Override PartName="/xl/charts/chart14.xml" ContentType="application/vnd.openxmlformats-officedocument.drawingml.chart+xml"/>
  <Override PartName="/xl/drawings/drawing11.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0228" codeName="{EFFCB103-AD96-A003-248E-DF2DB03C9060}"/>
  <workbookPr codeName="ThisWorkbook"/>
  <mc:AlternateContent xmlns:mc="http://schemas.openxmlformats.org/markup-compatibility/2006">
    <mc:Choice Requires="x15">
      <x15ac:absPath xmlns:x15ac="http://schemas.microsoft.com/office/spreadsheetml/2010/11/ac" url="Z:\github\Preprocessor\test objects\"/>
    </mc:Choice>
  </mc:AlternateContent>
  <xr:revisionPtr revIDLastSave="0" documentId="8_{A2033F59-AC23-4480-9709-64F2E81CB933}" xr6:coauthVersionLast="34" xr6:coauthVersionMax="34" xr10:uidLastSave="{00000000-0000-0000-0000-000000000000}"/>
  <bookViews>
    <workbookView xWindow="525" yWindow="32768" windowWidth="3060" windowHeight="3345" tabRatio="920"/>
  </bookViews>
  <sheets>
    <sheet name="JaxWorks" sheetId="1892" r:id="rId1"/>
    <sheet name="Start Here" sheetId="3" r:id="rId2"/>
    <sheet name="JaxWorks Break-Even Analysis" sheetId="2" r:id="rId3"/>
    <sheet name="Print Page" sheetId="4" r:id="rId4"/>
    <sheet name="BE Calculations" sheetId="10" state="veryHidden" r:id="rId5"/>
    <sheet name="Break-Even Analysis Data Entry" sheetId="5" r:id="rId6"/>
    <sheet name="Current BE Chart For Printing" sheetId="6" r:id="rId7"/>
    <sheet name="Projected BE Chart For Printing" sheetId="11" r:id="rId8"/>
    <sheet name="BE Chart Explanation" sheetId="7" r:id="rId9"/>
    <sheet name="Current Pie Chart" sheetId="8" r:id="rId10"/>
    <sheet name="Projected Pie Chart" sheetId="1889" r:id="rId11"/>
    <sheet name="Applying Break-Even" sheetId="1890" r:id="rId12"/>
    <sheet name="Copyright" sheetId="1888" r:id="rId13"/>
  </sheets>
  <definedNames>
    <definedName name="__IntlFixup" hidden="1">TRUE</definedName>
    <definedName name="_Order1" hidden="1">0</definedName>
    <definedName name="CDsMade">'JaxWorks Break-Even Analysis'!$N$9:$N$14</definedName>
    <definedName name="Data.Dump" hidden="1">OFFSET([0]!Data.Top.Left,1,0)</definedName>
    <definedName name="Firm_A">'Applying Break-Even'!$D$344:$K$344</definedName>
    <definedName name="Firm_B">'Applying Break-Even'!$D$347:$K$347</definedName>
    <definedName name="Firm_C">'Applying Break-Even'!$D$350:$K$350</definedName>
    <definedName name="Fixed_costs">'Applying Break-Even'!$D$55</definedName>
    <definedName name="Fixed_costsb">'Applying Break-Even'!$D$82</definedName>
    <definedName name="Fixed_costsc">'Applying Break-Even'!$D$109</definedName>
    <definedName name="Fixed_costsd">'Applying Break-Even'!$G$341:$G$351</definedName>
    <definedName name="Fixed_costsx">'Applying Break-Even'!$D$144:$F$144</definedName>
    <definedName name="_1FLOW">#REF!</definedName>
    <definedName name="HTML_CodePage" hidden="1">1252</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Title" hidden="1">"leverage"</definedName>
    <definedName name="Increase_in">'Applying Break-Even'!$K$342:$K$351</definedName>
    <definedName name="MaterialsCost">'JaxWorks Break-Even Analysis'!$O$16</definedName>
    <definedName name="Net_operating">'Applying Break-Even'!$J$342:$J$351</definedName>
    <definedName name="Ownership" hidden="1">OFFSET([0]!Data.Top.Left,1,0)</definedName>
    <definedName name="PackagingCost">'JaxWorks Break-Even Analysis'!$O$18</definedName>
    <definedName name="_xlnm.Print_Area" localSheetId="11">'Applying Break-Even'!$C$3:$N$420</definedName>
    <definedName name="_xlnm.Print_Area" localSheetId="8">'BE Chart Explanation'!$B$3:$M$23</definedName>
    <definedName name="_xlnm.Print_Area" localSheetId="9">'Current Pie Chart'!$D$2:$K$26</definedName>
    <definedName name="_xlnm.Print_Area" localSheetId="0">JaxWorks!$C$2:$P$27</definedName>
    <definedName name="_xlnm.Print_Area" localSheetId="3">'Print Page'!$D$5:$J$26</definedName>
    <definedName name="_xlnm.Print_Area" localSheetId="10">'Projected Pie Chart'!$D$2:$K$26</definedName>
    <definedName name="Sales">'Applying Break-Even'!$H$55</definedName>
    <definedName name="Sales_price">'Applying Break-Even'!$D$146:$F$146</definedName>
    <definedName name="Salesb">'Applying Break-Even'!$H$82</definedName>
    <definedName name="Salesc">'Applying Break-Even'!$H$109</definedName>
    <definedName name="SalesLevel">'JaxWorks Break-Even Analysis'!$L$7</definedName>
    <definedName name="Store_A">'Applying Break-Even'!$D$144:$D$146</definedName>
    <definedName name="Store_B">'Applying Break-Even'!$E$144:$E$146</definedName>
    <definedName name="Store_C">'Applying Break-Even'!$F$144:$F$146</definedName>
    <definedName name="Total_sales">'Applying Break-Even'!$F$341:$F$351</definedName>
    <definedName name="Unit_price">'Applying Break-Even'!$E$341:$E$351</definedName>
    <definedName name="Unit_sales">'Applying Break-Even'!$D$341:$D$351</definedName>
    <definedName name="UnitCost">'JaxWorks Break-Even Analysis'!$O$9:$O$14</definedName>
    <definedName name="Units_Sold">'Applying Break-Even'!$C$151:$C$157</definedName>
    <definedName name="Variable_costs">'Applying Break-Even'!$F$55</definedName>
    <definedName name="Variable_costsb">'Applying Break-Even'!$F$82</definedName>
    <definedName name="Variable_costsc">'Applying Break-Even'!$F$109</definedName>
    <definedName name="Variable_costsx">'Applying Break-Even'!$D$145:$F$145</definedName>
  </definedNames>
  <calcPr calcId="179017"/>
</workbook>
</file>

<file path=xl/calcChain.xml><?xml version="1.0" encoding="utf-8"?>
<calcChain xmlns="http://schemas.openxmlformats.org/spreadsheetml/2006/main">
  <c r="D151" i="1890" l="1"/>
  <c r="E151" i="1890"/>
  <c r="F151" i="1890"/>
  <c r="G151" i="1890"/>
  <c r="D152" i="1890"/>
  <c r="G152" i="1890" s="1"/>
  <c r="E152" i="1890"/>
  <c r="F152" i="1890"/>
  <c r="D153" i="1890"/>
  <c r="E153" i="1890"/>
  <c r="F153" i="1890"/>
  <c r="G153" i="1890"/>
  <c r="D154" i="1890"/>
  <c r="G154" i="1890" s="1"/>
  <c r="E154" i="1890"/>
  <c r="F154" i="1890"/>
  <c r="D155" i="1890"/>
  <c r="E155" i="1890"/>
  <c r="F155" i="1890"/>
  <c r="G155" i="1890"/>
  <c r="D156" i="1890"/>
  <c r="G156" i="1890" s="1"/>
  <c r="E156" i="1890"/>
  <c r="F156" i="1890"/>
  <c r="D157" i="1890"/>
  <c r="E157" i="1890"/>
  <c r="F157" i="1890"/>
  <c r="G157" i="1890"/>
  <c r="D160" i="1890" a="1"/>
  <c r="D161" i="1890" s="1"/>
  <c r="G161" i="1890" s="1"/>
  <c r="D160" i="1890"/>
  <c r="E160" i="1890"/>
  <c r="F160" i="1890" a="1"/>
  <c r="F160" i="1890" s="1"/>
  <c r="E161" i="1890"/>
  <c r="F161" i="1890"/>
  <c r="E162" i="1890"/>
  <c r="E163" i="1890"/>
  <c r="F163" i="1890"/>
  <c r="E164" i="1890"/>
  <c r="E165" i="1890"/>
  <c r="F165" i="1890"/>
  <c r="E166" i="1890"/>
  <c r="D169" i="1890" a="1"/>
  <c r="D170" i="1890" s="1"/>
  <c r="D169" i="1890"/>
  <c r="G169" i="1890" s="1"/>
  <c r="E169" i="1890"/>
  <c r="F169" i="1890" a="1"/>
  <c r="F169" i="1890" s="1"/>
  <c r="E170" i="1890"/>
  <c r="D171" i="1890"/>
  <c r="E171" i="1890"/>
  <c r="E172" i="1890"/>
  <c r="D173" i="1890"/>
  <c r="E173" i="1890"/>
  <c r="E174" i="1890"/>
  <c r="D175" i="1890"/>
  <c r="E175" i="1890"/>
  <c r="G408" i="1890"/>
  <c r="G410" i="1890"/>
  <c r="G412" i="1890"/>
  <c r="F385" i="1890"/>
  <c r="F387" i="1890"/>
  <c r="F389" i="1890"/>
  <c r="F344" i="1890"/>
  <c r="I344" i="1890"/>
  <c r="J344" i="1890" s="1"/>
  <c r="K345" i="1890" s="1"/>
  <c r="F345" i="1890"/>
  <c r="I345" i="1890"/>
  <c r="J345" i="1890"/>
  <c r="F347" i="1890"/>
  <c r="J347" i="1890" s="1"/>
  <c r="K348" i="1890" s="1"/>
  <c r="I347" i="1890"/>
  <c r="F348" i="1890"/>
  <c r="I348" i="1890"/>
  <c r="J348" i="1890"/>
  <c r="F350" i="1890"/>
  <c r="J350" i="1890" s="1"/>
  <c r="I350" i="1890"/>
  <c r="F351" i="1890"/>
  <c r="J351" i="1890" s="1"/>
  <c r="K351" i="1890" s="1"/>
  <c r="I351" i="1890"/>
  <c r="E302" i="1890"/>
  <c r="H302" i="1890" s="1"/>
  <c r="E303" i="1890"/>
  <c r="E304" i="1890"/>
  <c r="E305" i="1890"/>
  <c r="E306" i="1890"/>
  <c r="E307" i="1890"/>
  <c r="E308" i="1890"/>
  <c r="E309" i="1890"/>
  <c r="H309" i="1890" s="1"/>
  <c r="E310" i="1890"/>
  <c r="H310" i="1890" s="1"/>
  <c r="E311" i="1890"/>
  <c r="E312" i="1890"/>
  <c r="E313" i="1890"/>
  <c r="G302" i="1890"/>
  <c r="G303" i="1890"/>
  <c r="G304" i="1890"/>
  <c r="G305" i="1890"/>
  <c r="G306" i="1890"/>
  <c r="G307" i="1890"/>
  <c r="G308" i="1890"/>
  <c r="G309" i="1890"/>
  <c r="G310" i="1890"/>
  <c r="G311" i="1890"/>
  <c r="G312" i="1890"/>
  <c r="G313" i="1890"/>
  <c r="D299" i="1890"/>
  <c r="F305" i="1890" s="1"/>
  <c r="H305" i="1890" s="1"/>
  <c r="F302" i="1890"/>
  <c r="F309" i="1890"/>
  <c r="F310" i="1890"/>
  <c r="E277" i="1890"/>
  <c r="H277" i="1890" s="1"/>
  <c r="E278" i="1890"/>
  <c r="E279" i="1890"/>
  <c r="F272" i="1890" s="1"/>
  <c r="F273" i="1890" s="1"/>
  <c r="E280" i="1890"/>
  <c r="H280" i="1890" s="1"/>
  <c r="E281" i="1890"/>
  <c r="H281" i="1890" s="1"/>
  <c r="E282" i="1890"/>
  <c r="H282" i="1890" s="1"/>
  <c r="E283" i="1890"/>
  <c r="E284" i="1890"/>
  <c r="E285" i="1890"/>
  <c r="H285" i="1890" s="1"/>
  <c r="E286" i="1890"/>
  <c r="E287" i="1890"/>
  <c r="H287" i="1890" s="1"/>
  <c r="E288" i="1890"/>
  <c r="H288" i="1890" s="1"/>
  <c r="G277" i="1890"/>
  <c r="G278" i="1890"/>
  <c r="G279" i="1890"/>
  <c r="G280" i="1890"/>
  <c r="G281" i="1890"/>
  <c r="G282" i="1890"/>
  <c r="G283" i="1890"/>
  <c r="G284" i="1890"/>
  <c r="G285" i="1890"/>
  <c r="G286" i="1890"/>
  <c r="G287" i="1890"/>
  <c r="G288" i="1890"/>
  <c r="F277" i="1890"/>
  <c r="F278" i="1890"/>
  <c r="H278" i="1890" s="1"/>
  <c r="F279" i="1890"/>
  <c r="F280" i="1890"/>
  <c r="F281" i="1890"/>
  <c r="F282" i="1890"/>
  <c r="F283" i="1890"/>
  <c r="F284" i="1890"/>
  <c r="F285" i="1890"/>
  <c r="F286" i="1890"/>
  <c r="H286" i="1890" s="1"/>
  <c r="F287" i="1890"/>
  <c r="F288" i="1890"/>
  <c r="H283" i="1890"/>
  <c r="H284" i="1890"/>
  <c r="E243" i="1890"/>
  <c r="H243" i="1890" s="1"/>
  <c r="F243" i="1890"/>
  <c r="I243" i="1890" s="1"/>
  <c r="G243" i="1890"/>
  <c r="E244" i="1890"/>
  <c r="F244" i="1890"/>
  <c r="G244" i="1890"/>
  <c r="H244" i="1890"/>
  <c r="I244" i="1890"/>
  <c r="E245" i="1890"/>
  <c r="H245" i="1890" s="1"/>
  <c r="F245" i="1890"/>
  <c r="G245" i="1890"/>
  <c r="I245" i="1890"/>
  <c r="E246" i="1890"/>
  <c r="H246" i="1890" s="1"/>
  <c r="F246" i="1890"/>
  <c r="I246" i="1890" s="1"/>
  <c r="G246" i="1890"/>
  <c r="E247" i="1890"/>
  <c r="F247" i="1890"/>
  <c r="G247" i="1890"/>
  <c r="H247" i="1890"/>
  <c r="I247" i="1890"/>
  <c r="E248" i="1890"/>
  <c r="H248" i="1890" s="1"/>
  <c r="F248" i="1890"/>
  <c r="G248" i="1890"/>
  <c r="I248" i="1890"/>
  <c r="E211" i="1890"/>
  <c r="F211" i="1890"/>
  <c r="I211" i="1890" s="1"/>
  <c r="G211" i="1890"/>
  <c r="H211" i="1890"/>
  <c r="E212" i="1890"/>
  <c r="F212" i="1890"/>
  <c r="G212" i="1890"/>
  <c r="H212" i="1890"/>
  <c r="I212" i="1890"/>
  <c r="E213" i="1890"/>
  <c r="H213" i="1890" s="1"/>
  <c r="F213" i="1890"/>
  <c r="I213" i="1890" s="1"/>
  <c r="G213" i="1890"/>
  <c r="E214" i="1890"/>
  <c r="F214" i="1890"/>
  <c r="G214" i="1890"/>
  <c r="H214" i="1890"/>
  <c r="I214" i="1890"/>
  <c r="E215" i="1890"/>
  <c r="F215" i="1890"/>
  <c r="H215" i="1890" s="1"/>
  <c r="G215" i="1890"/>
  <c r="I215" i="1890"/>
  <c r="E216" i="1890"/>
  <c r="H216" i="1890" s="1"/>
  <c r="F216" i="1890"/>
  <c r="I216" i="1890" s="1"/>
  <c r="G216" i="1890"/>
  <c r="D111" i="1890"/>
  <c r="E111" i="1890"/>
  <c r="F111" i="1890"/>
  <c r="G111" i="1890"/>
  <c r="H111" i="1890"/>
  <c r="D112" i="1890"/>
  <c r="H112" i="1890" s="1"/>
  <c r="E112" i="1890"/>
  <c r="F112" i="1890"/>
  <c r="G112" i="1890" s="1"/>
  <c r="D113" i="1890"/>
  <c r="H113" i="1890" s="1"/>
  <c r="E113" i="1890"/>
  <c r="F113" i="1890"/>
  <c r="G113" i="1890"/>
  <c r="D114" i="1890"/>
  <c r="E114" i="1890"/>
  <c r="F114" i="1890"/>
  <c r="G114" i="1890"/>
  <c r="H114" i="1890"/>
  <c r="D115" i="1890"/>
  <c r="E115" i="1890"/>
  <c r="G115" i="1890" s="1"/>
  <c r="F115" i="1890"/>
  <c r="D116" i="1890"/>
  <c r="E116" i="1890"/>
  <c r="F116" i="1890"/>
  <c r="G116" i="1890"/>
  <c r="H116" i="1890"/>
  <c r="D117" i="1890"/>
  <c r="E117" i="1890"/>
  <c r="G117" i="1890" s="1"/>
  <c r="H117" i="1890" s="1"/>
  <c r="F117" i="1890"/>
  <c r="D84" i="1890"/>
  <c r="E84" i="1890"/>
  <c r="G84" i="1890" s="1"/>
  <c r="F84" i="1890"/>
  <c r="D85" i="1890"/>
  <c r="E85" i="1890"/>
  <c r="F85" i="1890"/>
  <c r="G85" i="1890"/>
  <c r="H85" i="1890"/>
  <c r="D86" i="1890"/>
  <c r="E86" i="1890"/>
  <c r="F86" i="1890"/>
  <c r="G86" i="1890" s="1"/>
  <c r="D87" i="1890"/>
  <c r="H87" i="1890" s="1"/>
  <c r="E87" i="1890"/>
  <c r="F87" i="1890"/>
  <c r="G87" i="1890"/>
  <c r="D88" i="1890"/>
  <c r="E88" i="1890"/>
  <c r="F88" i="1890"/>
  <c r="G88" i="1890"/>
  <c r="H88" i="1890"/>
  <c r="D89" i="1890"/>
  <c r="E89" i="1890"/>
  <c r="G89" i="1890" s="1"/>
  <c r="F89" i="1890"/>
  <c r="D90" i="1890"/>
  <c r="E90" i="1890"/>
  <c r="F90" i="1890"/>
  <c r="G90" i="1890"/>
  <c r="H90" i="1890"/>
  <c r="D57" i="1890"/>
  <c r="E57" i="1890"/>
  <c r="G57" i="1890" s="1"/>
  <c r="H57" i="1890" s="1"/>
  <c r="F57" i="1890"/>
  <c r="D58" i="1890"/>
  <c r="E58" i="1890"/>
  <c r="G58" i="1890" s="1"/>
  <c r="F58" i="1890"/>
  <c r="D59" i="1890"/>
  <c r="E59" i="1890"/>
  <c r="F59" i="1890"/>
  <c r="G59" i="1890"/>
  <c r="H59" i="1890"/>
  <c r="D60" i="1890"/>
  <c r="E60" i="1890"/>
  <c r="F60" i="1890"/>
  <c r="G60" i="1890" s="1"/>
  <c r="D61" i="1890"/>
  <c r="H61" i="1890" s="1"/>
  <c r="E61" i="1890"/>
  <c r="F61" i="1890"/>
  <c r="G61" i="1890"/>
  <c r="D62" i="1890"/>
  <c r="E62" i="1890"/>
  <c r="F62" i="1890"/>
  <c r="G62" i="1890"/>
  <c r="H62" i="1890"/>
  <c r="D63" i="1890"/>
  <c r="E63" i="1890"/>
  <c r="G63" i="1890" s="1"/>
  <c r="F63" i="1890"/>
  <c r="D31" i="10"/>
  <c r="D30" i="10"/>
  <c r="D29" i="10"/>
  <c r="D28" i="10"/>
  <c r="D27" i="10"/>
  <c r="D26" i="10"/>
  <c r="D25" i="10"/>
  <c r="D24" i="10"/>
  <c r="D23" i="10"/>
  <c r="D22" i="10"/>
  <c r="D21" i="10"/>
  <c r="D20" i="10"/>
  <c r="E19" i="10"/>
  <c r="F19" i="10" s="1"/>
  <c r="D19" i="10"/>
  <c r="C5" i="10"/>
  <c r="C16" i="10" s="1"/>
  <c r="D16" i="10"/>
  <c r="C15" i="10"/>
  <c r="G15" i="10" s="1"/>
  <c r="D15" i="10"/>
  <c r="C14" i="10"/>
  <c r="D14" i="10"/>
  <c r="C13" i="10"/>
  <c r="D13" i="10"/>
  <c r="D12" i="10"/>
  <c r="C11" i="10"/>
  <c r="E11" i="10" s="1"/>
  <c r="F11" i="10" s="1"/>
  <c r="D11" i="10"/>
  <c r="C10" i="10"/>
  <c r="E10" i="10" s="1"/>
  <c r="F10" i="10" s="1"/>
  <c r="G10" i="10" s="1"/>
  <c r="D10" i="10"/>
  <c r="C9" i="10"/>
  <c r="D9" i="10"/>
  <c r="D8" i="10"/>
  <c r="C7" i="10"/>
  <c r="G7" i="10" s="1"/>
  <c r="D7" i="10"/>
  <c r="C6" i="10"/>
  <c r="D6" i="10"/>
  <c r="D5" i="10"/>
  <c r="E4" i="10"/>
  <c r="D4" i="10"/>
  <c r="F4" i="10"/>
  <c r="C20" i="10"/>
  <c r="C27" i="10" s="1"/>
  <c r="C31" i="10"/>
  <c r="E31" i="10" s="1"/>
  <c r="F31" i="10" s="1"/>
  <c r="C30" i="10"/>
  <c r="E30" i="10" s="1"/>
  <c r="F30" i="10" s="1"/>
  <c r="G30" i="10" s="1"/>
  <c r="C24" i="10"/>
  <c r="G24" i="10" s="1"/>
  <c r="C23" i="10"/>
  <c r="E23" i="10" s="1"/>
  <c r="F23" i="10" s="1"/>
  <c r="C22" i="10"/>
  <c r="E22" i="10" s="1"/>
  <c r="F22" i="10" s="1"/>
  <c r="L8" i="5"/>
  <c r="E24" i="10"/>
  <c r="F24" i="10" s="1"/>
  <c r="L9" i="5"/>
  <c r="L10" i="5" s="1"/>
  <c r="L11" i="5"/>
  <c r="C19" i="10" s="1"/>
  <c r="K8" i="5"/>
  <c r="E15" i="10"/>
  <c r="F15" i="10"/>
  <c r="E13" i="10"/>
  <c r="F13" i="10"/>
  <c r="G13" i="10"/>
  <c r="E7" i="10"/>
  <c r="F7" i="10"/>
  <c r="E5" i="10"/>
  <c r="F5" i="10"/>
  <c r="G5" i="10"/>
  <c r="K9" i="5"/>
  <c r="K12" i="5" s="1"/>
  <c r="T7" i="5"/>
  <c r="T6" i="5"/>
  <c r="T5" i="5"/>
  <c r="P5" i="5"/>
  <c r="P6" i="5"/>
  <c r="P7" i="5"/>
  <c r="T24" i="5"/>
  <c r="T23" i="5"/>
  <c r="L12" i="5"/>
  <c r="P23" i="5"/>
  <c r="P24" i="5"/>
  <c r="EM12" i="2"/>
  <c r="ES12" i="2" s="1"/>
  <c r="EO12" i="2"/>
  <c r="EO15" i="2" s="1"/>
  <c r="EQ12" i="2"/>
  <c r="EQ20" i="2" s="1"/>
  <c r="EM14" i="2"/>
  <c r="EO14" i="2"/>
  <c r="EQ14" i="2"/>
  <c r="ES14" i="2"/>
  <c r="EM17" i="2"/>
  <c r="EM18" i="2"/>
  <c r="EM22" i="2" s="1"/>
  <c r="EA12" i="2"/>
  <c r="EA17" i="2" s="1"/>
  <c r="EA18" i="2" s="1"/>
  <c r="EA22" i="2" s="1"/>
  <c r="EC12" i="2"/>
  <c r="EE12" i="2"/>
  <c r="EG12" i="2"/>
  <c r="EA14" i="2"/>
  <c r="EG14" i="2" s="1"/>
  <c r="EG15" i="2" s="1"/>
  <c r="EC14" i="2"/>
  <c r="EC15" i="2" s="1"/>
  <c r="EE14" i="2"/>
  <c r="EE15" i="2" s="1"/>
  <c r="EC17" i="2"/>
  <c r="EC18" i="2" s="1"/>
  <c r="EC22" i="2" s="1"/>
  <c r="DN11" i="2"/>
  <c r="DO11" i="2" s="1"/>
  <c r="DN12" i="2"/>
  <c r="DO12" i="2" s="1"/>
  <c r="DN13" i="2"/>
  <c r="DO13" i="2" s="1"/>
  <c r="DN14" i="2"/>
  <c r="DN15" i="2"/>
  <c r="DN16" i="2"/>
  <c r="DN17" i="2"/>
  <c r="DN18" i="2"/>
  <c r="DO18" i="2" s="1"/>
  <c r="DN19" i="2"/>
  <c r="DO19" i="2" s="1"/>
  <c r="DN20" i="2"/>
  <c r="DO20" i="2" s="1"/>
  <c r="DN21" i="2"/>
  <c r="DO21" i="2" s="1"/>
  <c r="DN22" i="2"/>
  <c r="DN23" i="2"/>
  <c r="DN24" i="2"/>
  <c r="DN25" i="2"/>
  <c r="DN26" i="2"/>
  <c r="DO26" i="2" s="1"/>
  <c r="DN27" i="2"/>
  <c r="DO27" i="2" s="1"/>
  <c r="DN10" i="2"/>
  <c r="DO10" i="2" s="1"/>
  <c r="CZ10" i="2"/>
  <c r="CZ11" i="2"/>
  <c r="CZ12" i="2"/>
  <c r="CZ13" i="2"/>
  <c r="CZ14" i="2"/>
  <c r="CZ15" i="2"/>
  <c r="CZ16" i="2"/>
  <c r="CZ17" i="2"/>
  <c r="CZ18" i="2"/>
  <c r="CZ19" i="2"/>
  <c r="CZ20" i="2"/>
  <c r="CZ21" i="2"/>
  <c r="CZ22" i="2"/>
  <c r="CZ23" i="2"/>
  <c r="CZ24" i="2"/>
  <c r="CZ25" i="2"/>
  <c r="CZ26" i="2"/>
  <c r="CZ9" i="2"/>
  <c r="CL11" i="2"/>
  <c r="CL12" i="2"/>
  <c r="CL13" i="2"/>
  <c r="CL14" i="2"/>
  <c r="CL15" i="2"/>
  <c r="CL16" i="2"/>
  <c r="CL17" i="2"/>
  <c r="CL18" i="2"/>
  <c r="CL19" i="2"/>
  <c r="CL20" i="2"/>
  <c r="CL21" i="2"/>
  <c r="CL22" i="2"/>
  <c r="CL23" i="2"/>
  <c r="CL24" i="2"/>
  <c r="CL25" i="2"/>
  <c r="CL26" i="2"/>
  <c r="CL27" i="2"/>
  <c r="CL10" i="2"/>
  <c r="CJ11" i="2"/>
  <c r="CJ12" i="2"/>
  <c r="CJ13" i="2"/>
  <c r="CJ14" i="2"/>
  <c r="CJ15" i="2"/>
  <c r="CJ16" i="2"/>
  <c r="CJ17" i="2"/>
  <c r="CJ18" i="2"/>
  <c r="CJ19" i="2"/>
  <c r="CJ20" i="2"/>
  <c r="CJ21" i="2"/>
  <c r="CJ22" i="2"/>
  <c r="CJ23" i="2"/>
  <c r="CJ24" i="2"/>
  <c r="CJ25" i="2"/>
  <c r="CJ26" i="2"/>
  <c r="CJ27" i="2"/>
  <c r="CJ10" i="2"/>
  <c r="BU10" i="2"/>
  <c r="BU11" i="2"/>
  <c r="BU12" i="2"/>
  <c r="BU13" i="2"/>
  <c r="BU14" i="2"/>
  <c r="BU15" i="2"/>
  <c r="BU16" i="2"/>
  <c r="BU17" i="2"/>
  <c r="BU9" i="2"/>
  <c r="BG10" i="2"/>
  <c r="BG11" i="2"/>
  <c r="BG12" i="2"/>
  <c r="BG13" i="2"/>
  <c r="BG14" i="2"/>
  <c r="BG15" i="2"/>
  <c r="BG16" i="2"/>
  <c r="BG17" i="2"/>
  <c r="BG9" i="2"/>
  <c r="CI10" i="2"/>
  <c r="CK10" i="2" s="1"/>
  <c r="CI11" i="2"/>
  <c r="CK11" i="2" s="1"/>
  <c r="CI12" i="2"/>
  <c r="CK12" i="2"/>
  <c r="CI13" i="2"/>
  <c r="CK13" i="2"/>
  <c r="CI14" i="2"/>
  <c r="CK14" i="2" s="1"/>
  <c r="CI15" i="2"/>
  <c r="CK15" i="2" s="1"/>
  <c r="CI16" i="2"/>
  <c r="CK16" i="2"/>
  <c r="CI17" i="2"/>
  <c r="CK17" i="2"/>
  <c r="CI18" i="2"/>
  <c r="CK18" i="2" s="1"/>
  <c r="CI19" i="2"/>
  <c r="CK19" i="2" s="1"/>
  <c r="CI20" i="2"/>
  <c r="CK20" i="2"/>
  <c r="CI21" i="2"/>
  <c r="CK21" i="2"/>
  <c r="CI22" i="2"/>
  <c r="CK22" i="2" s="1"/>
  <c r="CI23" i="2"/>
  <c r="CK23" i="2" s="1"/>
  <c r="CI24" i="2"/>
  <c r="CK24" i="2"/>
  <c r="CI25" i="2"/>
  <c r="CK25" i="2"/>
  <c r="CI26" i="2"/>
  <c r="CK26" i="2" s="1"/>
  <c r="CI27" i="2"/>
  <c r="CK27" i="2" s="1"/>
  <c r="EY14" i="2"/>
  <c r="FA14" i="2"/>
  <c r="FC14" i="2"/>
  <c r="FC18" i="2" s="1"/>
  <c r="EY18" i="2"/>
  <c r="FA18" i="2"/>
  <c r="EN17" i="2"/>
  <c r="EP17" i="2"/>
  <c r="ER17" i="2"/>
  <c r="EB17" i="2"/>
  <c r="ED17" i="2"/>
  <c r="EF17" i="2"/>
  <c r="EC20" i="2"/>
  <c r="EE20" i="2"/>
  <c r="EG20" i="2"/>
  <c r="DM10" i="2"/>
  <c r="DM11" i="2"/>
  <c r="DM12" i="2"/>
  <c r="DM13" i="2"/>
  <c r="DM14" i="2"/>
  <c r="DO14" i="2" s="1"/>
  <c r="DM15" i="2"/>
  <c r="DO15" i="2" s="1"/>
  <c r="DM16" i="2"/>
  <c r="DO16" i="2"/>
  <c r="DM17" i="2"/>
  <c r="DO17" i="2"/>
  <c r="DM18" i="2"/>
  <c r="DM19" i="2"/>
  <c r="DM20" i="2"/>
  <c r="DM21" i="2"/>
  <c r="DM22" i="2"/>
  <c r="DO22" i="2" s="1"/>
  <c r="DM23" i="2"/>
  <c r="DO23" i="2" s="1"/>
  <c r="DM24" i="2"/>
  <c r="DO24" i="2"/>
  <c r="DM25" i="2"/>
  <c r="DO25" i="2"/>
  <c r="DM26" i="2"/>
  <c r="DM27" i="2"/>
  <c r="CK9" i="2"/>
  <c r="AX8" i="2"/>
  <c r="AE8" i="2"/>
  <c r="AE13" i="2" s="1"/>
  <c r="AE10" i="2"/>
  <c r="AG10" i="2"/>
  <c r="AE11" i="2"/>
  <c r="AG11" i="2"/>
  <c r="AE12" i="2"/>
  <c r="AG12" i="2"/>
  <c r="AF13" i="2"/>
  <c r="AG13" i="2"/>
  <c r="V7" i="2"/>
  <c r="W9" i="2"/>
  <c r="P9" i="2"/>
  <c r="P10" i="2"/>
  <c r="P11" i="2"/>
  <c r="P12" i="2"/>
  <c r="X24" i="2" s="1"/>
  <c r="P13" i="2"/>
  <c r="L13" i="2" s="1"/>
  <c r="L19" i="2" s="1"/>
  <c r="P14" i="2"/>
  <c r="X12" i="2"/>
  <c r="W12" i="2" s="1"/>
  <c r="W16" i="2" s="1"/>
  <c r="W13" i="2"/>
  <c r="Y13" i="2"/>
  <c r="W14" i="2"/>
  <c r="Y14" i="2"/>
  <c r="X16" i="2"/>
  <c r="Y16" i="2" s="1"/>
  <c r="W21" i="2"/>
  <c r="W25" i="2"/>
  <c r="Y25" i="2"/>
  <c r="W26" i="2"/>
  <c r="Y26" i="2"/>
  <c r="L9" i="2"/>
  <c r="L15" i="2"/>
  <c r="L17" i="2"/>
  <c r="E11" i="2"/>
  <c r="F7" i="2"/>
  <c r="E15" i="2"/>
  <c r="E13" i="2"/>
  <c r="F17" i="2"/>
  <c r="F19" i="2"/>
  <c r="G160" i="1890" l="1"/>
  <c r="E27" i="10"/>
  <c r="F27" i="10" s="1"/>
  <c r="G27" i="10" s="1"/>
  <c r="E16" i="10"/>
  <c r="F16" i="10" s="1"/>
  <c r="G16" i="10" s="1"/>
  <c r="H89" i="1890"/>
  <c r="H312" i="1890"/>
  <c r="EG17" i="2"/>
  <c r="EG18" i="2" s="1"/>
  <c r="EG22" i="2" s="1"/>
  <c r="K13" i="5"/>
  <c r="K14" i="5"/>
  <c r="G9" i="10"/>
  <c r="H86" i="1890"/>
  <c r="H84" i="1890"/>
  <c r="H60" i="1890"/>
  <c r="H58" i="1890"/>
  <c r="W24" i="2"/>
  <c r="W28" i="2" s="1"/>
  <c r="Y24" i="2"/>
  <c r="X28" i="2"/>
  <c r="Y28" i="2" s="1"/>
  <c r="H290" i="1890"/>
  <c r="H291" i="1890"/>
  <c r="H306" i="1890"/>
  <c r="ES20" i="2"/>
  <c r="ES17" i="2"/>
  <c r="ES18" i="2" s="1"/>
  <c r="ES22" i="2" s="1"/>
  <c r="ES15" i="2"/>
  <c r="G19" i="10"/>
  <c r="H115" i="1890"/>
  <c r="L21" i="2"/>
  <c r="H63" i="1890"/>
  <c r="H311" i="1890"/>
  <c r="H303" i="1890"/>
  <c r="H316" i="1890" s="1"/>
  <c r="G22" i="10"/>
  <c r="T25" i="5"/>
  <c r="G11" i="10"/>
  <c r="C25" i="10"/>
  <c r="F307" i="1890"/>
  <c r="H307" i="1890" s="1"/>
  <c r="F174" i="1890"/>
  <c r="F172" i="1890"/>
  <c r="F170" i="1890"/>
  <c r="G170" i="1890" s="1"/>
  <c r="EO20" i="2"/>
  <c r="EM15" i="2"/>
  <c r="E6" i="10"/>
  <c r="F6" i="10" s="1"/>
  <c r="G6" i="10" s="1"/>
  <c r="E14" i="10"/>
  <c r="F14" i="10" s="1"/>
  <c r="G14" i="10" s="1"/>
  <c r="C28" i="10"/>
  <c r="F312" i="1890"/>
  <c r="F304" i="1890"/>
  <c r="H304" i="1890" s="1"/>
  <c r="F308" i="1890"/>
  <c r="H308" i="1890" s="1"/>
  <c r="EA15" i="2"/>
  <c r="EE17" i="2"/>
  <c r="EE18" i="2" s="1"/>
  <c r="EE22" i="2" s="1"/>
  <c r="K10" i="5"/>
  <c r="G31" i="10"/>
  <c r="Y12" i="2"/>
  <c r="EM20" i="2"/>
  <c r="EQ17" i="2"/>
  <c r="EQ18" i="2" s="1"/>
  <c r="EQ22" i="2" s="1"/>
  <c r="K11" i="5"/>
  <c r="C4" i="10" s="1"/>
  <c r="G4" i="10" s="1"/>
  <c r="E9" i="10"/>
  <c r="F9" i="10" s="1"/>
  <c r="C21" i="10"/>
  <c r="C29" i="10"/>
  <c r="F311" i="1890"/>
  <c r="F303" i="1890"/>
  <c r="F175" i="1890"/>
  <c r="G175" i="1890" s="1"/>
  <c r="F173" i="1890"/>
  <c r="G173" i="1890" s="1"/>
  <c r="F171" i="1890"/>
  <c r="G171" i="1890" s="1"/>
  <c r="D166" i="1890"/>
  <c r="D164" i="1890"/>
  <c r="D162" i="1890"/>
  <c r="F297" i="1890"/>
  <c r="EA20" i="2"/>
  <c r="EQ15" i="2"/>
  <c r="EO17" i="2"/>
  <c r="EO18" i="2" s="1"/>
  <c r="EO22" i="2" s="1"/>
  <c r="P25" i="5"/>
  <c r="E20" i="10"/>
  <c r="F20" i="10" s="1"/>
  <c r="G20" i="10" s="1"/>
  <c r="C26" i="10"/>
  <c r="C8" i="10"/>
  <c r="C12" i="10"/>
  <c r="F306" i="1890"/>
  <c r="G23" i="10"/>
  <c r="D165" i="1890"/>
  <c r="G165" i="1890" s="1"/>
  <c r="D163" i="1890"/>
  <c r="G163" i="1890" s="1"/>
  <c r="H279" i="1890"/>
  <c r="F313" i="1890"/>
  <c r="H313" i="1890" s="1"/>
  <c r="D174" i="1890"/>
  <c r="D172" i="1890"/>
  <c r="F166" i="1890"/>
  <c r="F164" i="1890"/>
  <c r="F162" i="1890"/>
  <c r="G172" i="1890" l="1"/>
  <c r="E12" i="10"/>
  <c r="F12" i="10" s="1"/>
  <c r="G12" i="10"/>
  <c r="E25" i="10"/>
  <c r="F25" i="10" s="1"/>
  <c r="G25" i="10" s="1"/>
  <c r="G166" i="1890"/>
  <c r="F298" i="1890"/>
  <c r="G174" i="1890"/>
  <c r="E8" i="10"/>
  <c r="F8" i="10" s="1"/>
  <c r="G8" i="10"/>
  <c r="G162" i="1890"/>
  <c r="E29" i="10"/>
  <c r="F29" i="10" s="1"/>
  <c r="G29" i="10" s="1"/>
  <c r="H315" i="1890"/>
  <c r="E28" i="10"/>
  <c r="F28" i="10" s="1"/>
  <c r="G28" i="10"/>
  <c r="E26" i="10"/>
  <c r="F26" i="10" s="1"/>
  <c r="G26" i="10" s="1"/>
  <c r="G164" i="1890"/>
  <c r="E21" i="10"/>
  <c r="F21" i="10" s="1"/>
  <c r="G21" i="10" s="1"/>
</calcChain>
</file>

<file path=xl/comments1.xml><?xml version="1.0" encoding="utf-8"?>
<comments xmlns="http://schemas.openxmlformats.org/spreadsheetml/2006/main">
  <authors>
    <author>Frank Vickers</author>
  </authors>
  <commentList>
    <comment ref="CG7" authorId="0" shapeId="0">
      <text>
        <r>
          <rPr>
            <b/>
            <sz val="10"/>
            <color indexed="81"/>
            <rFont val="Tahoma"/>
            <family val="2"/>
          </rPr>
          <t>Scroll Down For More Information</t>
        </r>
      </text>
    </comment>
  </commentList>
</comments>
</file>

<file path=xl/sharedStrings.xml><?xml version="1.0" encoding="utf-8"?>
<sst xmlns="http://schemas.openxmlformats.org/spreadsheetml/2006/main" count="531" uniqueCount="301">
  <si>
    <t>© Copyright, 2010, JaxWorks, All Rights Reserved.</t>
  </si>
  <si>
    <t>In the business environment of the new millennium, operating and financial leverage are important ingredients in determining the success or demise of many companies. Firms acquire leverage to bolster their financial positions, thus increasing shareholder value. However, with increased leverage comes increased risk. Managers, analysts, shareholders, and creditors must be very clear about the implications of the risks associated with a firm’s operating and financial leverage to make investment decisions. Knowing these implications brings their decisions in line with their desired levels of risk.</t>
  </si>
  <si>
    <r>
      <t xml:space="preserve">The concepts of </t>
    </r>
    <r>
      <rPr>
        <b/>
        <i/>
        <sz val="12"/>
        <rFont val="Arial"/>
        <family val="2"/>
      </rPr>
      <t>operating leverage</t>
    </r>
    <r>
      <rPr>
        <sz val="12"/>
        <rFont val="Arial"/>
      </rPr>
      <t xml:space="preserve"> and </t>
    </r>
    <r>
      <rPr>
        <b/>
        <i/>
        <sz val="12"/>
        <rFont val="Arial"/>
        <family val="2"/>
      </rPr>
      <t>financial leverage</t>
    </r>
    <r>
      <rPr>
        <sz val="12"/>
        <rFont val="Arial"/>
      </rPr>
      <t xml:space="preserve"> are key to an accurate analysis of a company’s value. A firm is leveraged whenever it incurs either fixed operating costs (operating leverage) or fixed capital costs (financial leverage). More specifically, a firm’s degree of operating leverage is the extent to which its operations involve fixed operating expenses such as fixed manufacturing costs, fixed selling costs, and fixed administrative costs.</t>
    </r>
  </si>
  <si>
    <r>
      <t xml:space="preserve">Today it is almost impossible for a firm to succeed financially without using some form of leverage. </t>
    </r>
    <r>
      <rPr>
        <sz val="12"/>
        <rFont val="Arial"/>
      </rPr>
      <t>Firms commonly use leverage as a tool to help bolster their financial position and operating condition (for example, their return to stockholders).</t>
    </r>
  </si>
  <si>
    <t>Sales (1000 CDs @ $10)</t>
  </si>
  <si>
    <t>Less: Costs associated with production:</t>
  </si>
  <si>
    <t>Employee costs (1000 CDs @ $0.50):</t>
  </si>
  <si>
    <t>Materials costs  (1000 CDs @ $5):</t>
  </si>
  <si>
    <t>Packaging costs (1000 CDs @ $1):</t>
  </si>
  <si>
    <t>Total variable costs:</t>
  </si>
  <si>
    <t>Contribution margin:</t>
  </si>
  <si>
    <t>CDs Sold:</t>
  </si>
  <si>
    <t>Employee cost calculation</t>
  </si>
  <si>
    <t>Employee cost</t>
  </si>
  <si>
    <t>CDsMade</t>
  </si>
  <si>
    <t>UnitCost</t>
  </si>
  <si>
    <t>per quantity</t>
  </si>
  <si>
    <t>Sales @ $10 per CD</t>
  </si>
  <si>
    <t>Less: Variable costs of production:</t>
  </si>
  <si>
    <t>Employee costs (semi-variable):</t>
  </si>
  <si>
    <t>Materials costs (variable)</t>
  </si>
  <si>
    <t>MaterialsCost:</t>
  </si>
  <si>
    <t>Packaging costs (variable)</t>
  </si>
  <si>
    <t>PackagingCost:</t>
  </si>
  <si>
    <t>CDs Sold</t>
  </si>
  <si>
    <t>Total</t>
  </si>
  <si>
    <t>Per Unit</t>
  </si>
  <si>
    <t>% of Margin</t>
  </si>
  <si>
    <t>Sales (CDs @ $10 each)</t>
  </si>
  <si>
    <t>Less:</t>
  </si>
  <si>
    <t>Labor (CDs at semi-variable per CD)</t>
  </si>
  <si>
    <t>Materials (CDs at $5 per CD)</t>
  </si>
  <si>
    <t>Packaging costs  @ $1 per CD</t>
  </si>
  <si>
    <t>Contribution Margin</t>
  </si>
  <si>
    <t>Per unit</t>
  </si>
  <si>
    <t>Percent of margin</t>
  </si>
  <si>
    <t>Sales</t>
  </si>
  <si>
    <t>Materials</t>
  </si>
  <si>
    <t>Labor</t>
  </si>
  <si>
    <t>Variable Overhead</t>
  </si>
  <si>
    <t>Quantity Sold or Produced</t>
  </si>
  <si>
    <t>Material</t>
  </si>
  <si>
    <t>Fixed costs</t>
  </si>
  <si>
    <t>Sales price</t>
  </si>
  <si>
    <t>Variable cost</t>
  </si>
  <si>
    <t>Break-Even units</t>
  </si>
  <si>
    <t>Volume (units)</t>
  </si>
  <si>
    <t>Fixed Costs</t>
  </si>
  <si>
    <t>Variable Costs</t>
  </si>
  <si>
    <t>Volume</t>
  </si>
  <si>
    <t>Fixed</t>
  </si>
  <si>
    <t>Variable</t>
  </si>
  <si>
    <t>(units)</t>
  </si>
  <si>
    <t>Costs</t>
  </si>
  <si>
    <t>Discount</t>
  </si>
  <si>
    <t>Revenue</t>
  </si>
  <si>
    <t>Supplier</t>
  </si>
  <si>
    <t>Contribution</t>
  </si>
  <si>
    <t>margin</t>
  </si>
  <si>
    <t>8-oz.</t>
  </si>
  <si>
    <t>Per</t>
  </si>
  <si>
    <t>6-oz.</t>
  </si>
  <si>
    <t>4-oz.</t>
  </si>
  <si>
    <t>Package size</t>
  </si>
  <si>
    <t>Unit</t>
  </si>
  <si>
    <t>Sales (units)</t>
  </si>
  <si>
    <t>Sales (dollars)</t>
  </si>
  <si>
    <t>Less variable costs</t>
  </si>
  <si>
    <t xml:space="preserve">  (as % of Sales)</t>
  </si>
  <si>
    <t>Contribution margin</t>
  </si>
  <si>
    <t>Sales mix</t>
  </si>
  <si>
    <t>Break-Even</t>
  </si>
  <si>
    <t>Household</t>
  </si>
  <si>
    <t>Ceramic</t>
  </si>
  <si>
    <t>Ceramics</t>
  </si>
  <si>
    <t>Tiles</t>
  </si>
  <si>
    <t>Conductors</t>
  </si>
  <si>
    <t>Less direct fixed costs</t>
  </si>
  <si>
    <t>Segment margin</t>
  </si>
  <si>
    <t>Calculating The Contribution Margin - Figure 1</t>
  </si>
  <si>
    <t>Contribution Margin Analysis - Figure 2</t>
  </si>
  <si>
    <t>Per Unit and Percent of Sales Contribution Analysis - Figure 3</t>
  </si>
  <si>
    <t>Operating Income Statement - Figure 4</t>
  </si>
  <si>
    <t>AN16*AO8</t>
  </si>
  <si>
    <t>$AN$16*AO10</t>
  </si>
  <si>
    <t>$AN$16*AO11</t>
  </si>
  <si>
    <t>$AN$16*AO12</t>
  </si>
  <si>
    <t>AN8-SUM(AN10:AN12)</t>
  </si>
  <si>
    <t>AO8-SUM(AO10:AO12)</t>
  </si>
  <si>
    <t>AO10/$AO$8</t>
  </si>
  <si>
    <t>AO11/$AO$8</t>
  </si>
  <si>
    <t>AO12/$AO$8</t>
  </si>
  <si>
    <t>AO13/$AO$8</t>
  </si>
  <si>
    <t>Excel Formulas for Operating Income Statement - Figure 5</t>
  </si>
  <si>
    <t>Using Goal Seeker to Find Break-Even - Figure 6</t>
  </si>
  <si>
    <t>Fixed Costs - Figure 7</t>
  </si>
  <si>
    <t>Variable Costs - Figure 8</t>
  </si>
  <si>
    <t>Sales Price per Unit  =</t>
  </si>
  <si>
    <t>Non-linear Revenue Growth From Giving Discounts - Figure 10</t>
  </si>
  <si>
    <t>Non-linear Increases In The Contribution Margin From Purchase Discounts - Figure 11</t>
  </si>
  <si>
    <t>Fixed costs =</t>
  </si>
  <si>
    <t>Sales Mix Analysis - Figure 12</t>
  </si>
  <si>
    <t>Redistribution of Sales Mix To Increase Profits - Figure 13</t>
  </si>
  <si>
    <t>Analyzing Segment Margin - Figure 14</t>
  </si>
  <si>
    <t>The Classic Break-Even Point Chart - Figure 9</t>
  </si>
  <si>
    <t>MONTHS</t>
  </si>
  <si>
    <t>REVENUE</t>
  </si>
  <si>
    <t>FIXED
COSTS</t>
  </si>
  <si>
    <t>VARIABLE
COSTS</t>
  </si>
  <si>
    <t>TOTAL
COSTS</t>
  </si>
  <si>
    <t>TOTAL
PROFIT</t>
  </si>
  <si>
    <t>X AXIS</t>
  </si>
  <si>
    <t>Fixed $</t>
  </si>
  <si>
    <t>Jan</t>
  </si>
  <si>
    <t>Total Variable $</t>
  </si>
  <si>
    <t>Feb</t>
  </si>
  <si>
    <t>Total Variable %</t>
  </si>
  <si>
    <t>Mar</t>
  </si>
  <si>
    <t>Profit $</t>
  </si>
  <si>
    <t>Apr</t>
  </si>
  <si>
    <t>Break-Even %</t>
  </si>
  <si>
    <t>May</t>
  </si>
  <si>
    <t>BE Dollars</t>
  </si>
  <si>
    <t>Jun</t>
  </si>
  <si>
    <t>BE Date</t>
  </si>
  <si>
    <t>Jul</t>
  </si>
  <si>
    <t>Aug</t>
  </si>
  <si>
    <t>Sep</t>
  </si>
  <si>
    <t>Oct</t>
  </si>
  <si>
    <t>Nov</t>
  </si>
  <si>
    <t>Dec</t>
  </si>
  <si>
    <t>Copyright Notice</t>
  </si>
  <si>
    <t>All rights reserved.</t>
  </si>
  <si>
    <t>Specifications are subject to change without notice.</t>
  </si>
  <si>
    <t>NOTICES REGARDING SOFTWARE, DOCUMENTS AND SERVICES.</t>
  </si>
  <si>
    <t>IN NO EVENT SHALL JAXWORKS BE LIABLE FOR ANY SPECIAL, INDIRECT OR CONSEQUENTIAL DAMAGES OR ANY DAMAGES WHATSOEVER RESULTING FROM LOSS OF USE, DATA OR PROFITS, WHETHER IN AN ACTION OF CONTRACT, NEGLIGENCE OR OTHER TORTIOUS ACTION, ARISING OUT OF OR IN CONNECTION WITH THE USE OR PERFORMANCE OF SOFTWARE, DOCUMENTS, PROVISION OF OR FAILURE TO PROVIDE SERVICES, OR INFORMATION AVAILABLE FROM THIS PROGRAM.</t>
  </si>
  <si>
    <t>Fixed %</t>
  </si>
  <si>
    <t>Profit %</t>
  </si>
  <si>
    <t>Current Pie</t>
  </si>
  <si>
    <t>Current</t>
  </si>
  <si>
    <t>Projected</t>
  </si>
  <si>
    <t>Projected Pie</t>
  </si>
  <si>
    <t>Sales $</t>
  </si>
  <si>
    <t>Current BE Chart</t>
  </si>
  <si>
    <t>Projected BE Chart</t>
  </si>
  <si>
    <t>Click Here For Large View</t>
  </si>
  <si>
    <t>Current  Pie</t>
  </si>
  <si>
    <t>Return To Data Entry</t>
  </si>
  <si>
    <t>Planning For Profit</t>
  </si>
  <si>
    <t>Applying Break-Even Tools</t>
  </si>
  <si>
    <t>A firm’s degree of financial leverage is the extent to which that firm finances its assets by borrowing. More specifically, financial leverage is the extent to which a firm’s Return on Assets exceeds the cost of financing those assets by means of debt. The firm expects that the leverage acquired by borrowing will bring it earnings that will exceed the fixed costs of the assets and of the sources of funds. The firm expects that these added earnings will increase the amount of returns to shareholders.</t>
  </si>
  <si>
    <t>However, with increased leverage comes increased risk. If your company chooses to be highly leveraged, it must be willing to accept the risk that the downside losses will be as great as its upside profits. This can easily occur if a firm’s sales volume is not large enough to cover its fixed operating expenses and the required interest payments on its debt.</t>
  </si>
  <si>
    <t>You can find plenty of examples of this phenomenon in a stack of annual reports from the 1980s. Within that stack you can find several companies that were highly leveraged. Tracking these firms through the 1990s, you would see trends depicting peaks and troughs: the positive and the negative impacts of using leverage to operate a business. Many firms were acquired via "Leveraged buyouts," where the funds needed to make the acquisition were themselves borrowed (hence the term "leveraged").</t>
  </si>
  <si>
    <t>The likelihood of experiencing these kinds of swings is one reason that managers, analysts, and stockholders must apply the concepts of operating and financial leverage to accurately analyze a firm’s overall value and financial health.</t>
  </si>
  <si>
    <t>An additional concept that is useful in interpreting the risks due to operating leverage and financial leverage is business risk. Business risk is the inherent uncertainty of doing business. It represents the risk that a company assumes by the nature of the products it manufactures and sells, its position in the marketplace, its pricing structure—in short, all the fundamental aspects involved in the creation of profitable revenues. Assuming a higher degree of operating or financial leverage is seldom risky when the business risk is very low. But if the business risk itself is high, then increasing the degree of either type of leverage compounds the risk.</t>
  </si>
  <si>
    <t>Analyzing Operating Leverage</t>
  </si>
  <si>
    <t>Operating leverage is the extent to which a firm’s operations involve fixed operating expenses. Managers can define the degree of operating leverage they want the firm to incur, based on the choices they make regarding fixed expenses. They can, for example, acquire new equipment that increases automation and reduces variable labor expenses. Alternatively, they can choose to maintain their variable labor expenses. Other things being equal, the more automated equipment a firm acquires through capital investment, the higher its operating leverage will be.</t>
  </si>
  <si>
    <t>Case Study: Greeting Cards</t>
  </si>
  <si>
    <t>You own a small company that prints customized greeting cards. At present, your variable operating costs are $0.03 per card to print a box of 500 cards, which you sell for $35.00.</t>
  </si>
  <si>
    <t>One of your employees suggests that, if you purchase a personal computer and a modem, your customers could send their own designs for greeting cards to you electronically. This would save you the cost of doing the design and layout of the cards for each order.</t>
  </si>
  <si>
    <t>You review some recent orders and find that you paid an employee an average of $3.00 per order to do the design and layout. So your costs and profit per order are as follows:</t>
  </si>
  <si>
    <t>• Variable $0.03 per card for 500 cards = $15.00</t>
  </si>
  <si>
    <t>• Fixed design and layout per box = $3.00</t>
  </si>
  <si>
    <t>• Total cost per box: $18.00</t>
  </si>
  <si>
    <t>• Operating income per box: $17.00</t>
  </si>
  <si>
    <t>If you can remove the cost of design and layout, your total costs will drop from $18.00 to $15.00 per order and your operating income per box will increase from $17.00 to $20.00.</t>
  </si>
  <si>
    <t>On the other hand, purchasing a computer and a modem will cost $1,400. This will introduce a new, fixed cost to the production of the cards. You will have to sell 70 boxes of greeting cards (70 boxes * $20.00 profit) to cover the cost of the equipment—that is, to break even on the investment.</t>
  </si>
  <si>
    <t>You should base your decision on how dependable your business card orders are. Suppose that you have a steady stream of around 60 orders per month. In that case, you break even on the investment in a little over a month, and after that you show an additional $3.00 profit for every order. That added profit is the result of leveraging your capital investment.</t>
  </si>
  <si>
    <t>Now suppose that your business card orders are not so dependable. Most of your business depends on the patronage of one large account. When its business is good, and it is hiring and promoting staff, you receive frequent orders from it for greeting cards. But when its business is not so good, you can go for several months with only a few orders.</t>
  </si>
  <si>
    <t>If the timing of your investment in the computer coincides with a drop in orders for greeting cards, the computer could sit idle for several months. There will be little profit to cover its cost, the break-even point will be pushed well into the future, and you will have lost the opportunity to invest the $1,400 in some other manner, such as advertising. The leverage is actually working against you.</t>
  </si>
  <si>
    <t>Of course, there are other considerations you must take into account. You would want to consider how many of your customers have the inclination and equipment to send their own designs to you, whether they would demand a price break if they do so, maintenance on the computer, and so on. Business decisions are seldom clear-cut.</t>
  </si>
  <si>
    <t>So, operating leverage cuts both ways. A good decision can increase your profitability dramatically, once you have broken even on the fixed cost. Bad timing can cut your profitability dramatically if it takes longer than anticipated to break even on the investment.</t>
  </si>
  <si>
    <t>Case Study: Comparing the Degree of Operating Leverage</t>
  </si>
  <si>
    <t>For a more detailed example, consider three different specialty stores whose operations are identical in all respects, except for the decisions they have made regarding their variable and fixed expenses:</t>
  </si>
  <si>
    <t>• Store A has decided to incur the lowest fixed and highest variable costs of the three stores. It has little in the way of special equipment, and relies heavily on the experience and knowledge of its salespeople. At this store, sales commissions are relatively high.</t>
  </si>
  <si>
    <t>Store A</t>
  </si>
  <si>
    <t>Fixed costs:</t>
  </si>
  <si>
    <t>Variable costs:</t>
  </si>
  <si>
    <t>Unit price:</t>
  </si>
  <si>
    <t>Units Sold (000)</t>
  </si>
  <si>
    <t>Total Costs</t>
  </si>
  <si>
    <t>Profits</t>
  </si>
  <si>
    <t>• Store B has decided to incur fixed costs that are higher than that of Store A, but to keep its variable costs lower than Store A. This store has invested a moderate amount of money in paint-mixing equipment that enables a salesperson to match paint samples automatically. It believes that reliance on this equipment allows it to hire salespeople who are less experienced; its sales staff therefore does not earn as much as that at Store A.</t>
  </si>
  <si>
    <t>Store B</t>
  </si>
  <si>
    <t>• Store C has decided to incur the highest fixed and lowest variable costs of the three. It has invested heavily in equipment that not only matches paint samples exactly, but mixes paints automatically to produce a gallon of matching paint. Its salespeople need no special knowledge, and receive lower commissions than the sales staffs at Store A and Store B.</t>
  </si>
  <si>
    <t>Store C</t>
  </si>
  <si>
    <t>The examples above display an analysis of each store’s sales and Earnings Before Interest and Taxes (EBIT) for a given quantity of sales at their existing fixed costs, variable costs, and unit sales rates.</t>
  </si>
  <si>
    <t>The examples also make some trends evident. These trends are consequences of each store’s decision as to the relationship between its variable costs and its fixed costs:</t>
  </si>
  <si>
    <t>Store A, which has the lowest fixed cost and the highest per unit cost, will break even faster than Store B and Store C. However, once the break-even point has been met and as the level of production increases, Store A’s EBIT will not be as great as either Store B’s or Store C’s. This is because Store A has the highest per unit sales cost. No matter how many gallons of paint it sells, it incurs the same, relatively high sales commission on each sale.</t>
  </si>
  <si>
    <t>Store B, which has fixed costs that fall between Store A and Store B, breaks even slower than Store A but faster than Store C. Once it reaches its break-even point, it is more profitable than Store A because its unit sales cost is lower than Store A. However, after breaking even on its paint-matching equipment, Store B is less profitable, in terms of EBIT, than Store C as sales increase: it pays its sales staff a higher commission than does Store C.</t>
  </si>
  <si>
    <t>Store C, which has the highest fixed costs and the lowest per unit sales cost, breaks even more slowly than the other two stores. But after the break-even point has been reached, Store C’s EBIT rises faster than either Store A or Store B because of its low sales commission rates.</t>
  </si>
  <si>
    <t>Sales price:</t>
  </si>
  <si>
    <t>Degree of Operating Leverage (DOL)</t>
  </si>
  <si>
    <t>Another way to understand how operating leverage impacts your company’s profitability is by calculating the Degree of Operating Leverage (DOL):</t>
  </si>
  <si>
    <t>DOL = Units*(Price-Variable Cost)/(Units*(Price-Variable Cost)-Fixed Cost)</t>
  </si>
  <si>
    <t>or, equivalently:</t>
  </si>
  <si>
    <t>DOL = Contribution Margin/(Contribution Margin — Fixed Cost)</t>
  </si>
  <si>
    <t>Using the data for the three specialty stores, one can calculate the DOL at the point where unit sales are 120,000:</t>
  </si>
  <si>
    <t>Store A, for example, has a DOL of 1.5 with unit sales of 120,000:</t>
  </si>
  <si>
    <t>DOL =120,000*($2.00-$1.50)/(120,000*($2.00-$1.50)=$20,000)</t>
  </si>
  <si>
    <t>DOL = 1.5</t>
  </si>
  <si>
    <t>These calculations quantify the data shown in example below. The numbers indicate that the EBIT of the companies that have the greatest operating leverage are also the most sensitive to changes in sales volume.</t>
  </si>
  <si>
    <t>Units Sold</t>
  </si>
  <si>
    <t>000</t>
  </si>
  <si>
    <t>Fixed  costs</t>
  </si>
  <si>
    <t>Variable costs</t>
  </si>
  <si>
    <t>EBIT</t>
  </si>
  <si>
    <t>DOL</t>
  </si>
  <si>
    <t>Each store sells the same number of units: 120,000 or 200,000. Each store sells them for the same price: $2.00 per unit. But because the stores differ in their fixed and variable costs, they also differ in their 1 BIT. For Store A, a 67% increase in unit sales from 120,000 to 200,000 results in a (67% * 1.5 DOL) or 100% increase in EBIT. For Store B, a 67% increase in unit sales results in a (67% * 1.7 DOL) or 114% increase in EBIT. And Store C experiences a (67% * 2.0 DOL) or 133% increase in EBIT. So, the higher the DOL, the greater the EBIT as unit sales increase.</t>
  </si>
  <si>
    <t>Expressed in raw dollar amounts, an increase in unit sales from 120,000 to 200,000 means an increase in profits of $40,000 for Store A, $64,000 for Store B, and $80,000 for Store C.</t>
  </si>
  <si>
    <t>However, the calculated DOL will be the same on the downside. So for every decrease in sales volume, each firm’s DOL will cause an unwanted decrease in EBIT corresponding to the desired increase in EBIT (see example below).</t>
  </si>
  <si>
    <t>(000)</t>
  </si>
  <si>
    <t>The DOL gives managers a great deal of information for setting operating targets and planning profitability. For example, you would want to make operating leverage decisions based on your knowledge of how your sales volume fluctuates. If your company experiences large swings in sales volume throughout the year, it would be much riskier to maintain a high degree of leverage than it would be if your company has a predictable, steady stream of sales.</t>
  </si>
  <si>
    <t>Case Study: Hot-dog Sales</t>
  </si>
  <si>
    <t>HotDog Man is a small business that sells specialty coffee drinks at office buildings. Each morning and afternoon, trucks arrive at offices’ front entrances, and the office employees purchase hotdogs and drinks. The business is profitable, but HotDog Man’s offices are located to the north of town, where rents are less expensive, and the principal sales area is south of town. This means that the trucks must drive crosstown four times each day.</t>
  </si>
  <si>
    <t>The cost of transportation to and from the sales area, plus the power demands of the trucks’ coffee brewing equipment, are significant portions of the variable costs. HotDog Man could reduce the amount of driving—and, therefore, the variable costs—if it moves the offices much closer to the sales area.</t>
  </si>
  <si>
    <t>HotDog Man presently has fixed costs of $10,000 per month. The lease of a new office, closer to the sales area, would cost an additional $2,200 per month. This would increase the fixed costs to $12,200 per month (see below).</t>
  </si>
  <si>
    <t>Units sold per month</t>
  </si>
  <si>
    <t>Unit variable costs</t>
  </si>
  <si>
    <t>Average unit sales price</t>
  </si>
  <si>
    <t>Current fixed costs</t>
  </si>
  <si>
    <t>1994 sales month</t>
  </si>
  <si>
    <t>Units</t>
  </si>
  <si>
    <t>costs</t>
  </si>
  <si>
    <t>January</t>
  </si>
  <si>
    <t>February</t>
  </si>
  <si>
    <t>March</t>
  </si>
  <si>
    <t>April</t>
  </si>
  <si>
    <t>June</t>
  </si>
  <si>
    <t>July</t>
  </si>
  <si>
    <t>August</t>
  </si>
  <si>
    <t>September</t>
  </si>
  <si>
    <t>October</t>
  </si>
  <si>
    <t>November</t>
  </si>
  <si>
    <t>December</t>
  </si>
  <si>
    <t>Sum:</t>
  </si>
  <si>
    <t>Standard Deviation:</t>
  </si>
  <si>
    <t>Although the lease of new offices would increase the fixed costs, a careful estimate of the potential savings in gasoline and vehicle maintenance indicates that HotDog Man could reduce the variable costs from $0.60 per unit to $0.35 per unit. Total sales are unlikely to increase as a result of the move, but the savings in variable costs could increase the annual profit from $82,986 to $88,302. This is a 6.4% growth in profit margin: not an insignificant amount (see below).</t>
  </si>
  <si>
    <t>Additional monthly lease</t>
  </si>
  <si>
    <t xml:space="preserve">   payment, new offices:</t>
  </si>
  <si>
    <t>Projected fixed costs:</t>
  </si>
  <si>
    <t>But look at the change in the variability of the profit from month to month. From November through January, when it is much more difficult to lure office workers out into the cold to purchase coffee, HotDog Man barely breaks even. In fact, in December of 1994, the business lost money.</t>
  </si>
  <si>
    <t>The example above indicates that by moving some of the expenses from the category of variable costs to that of fixed costs, HotDog Man increases total annual earnings but the variability of the earnings from month to month also increases. Although the company earns more during the spring and fall by reducing the variable costs, it loses more during the winter months because it must continue to meet its higher fixed costs.</t>
  </si>
  <si>
    <t>This increase in variability is reflected in the month-to-month standard deviation of earnings, which is shown in both examples directly under the annual sum of earnings. The current cost structure results in a standard deviation of $4,963, but the projected cost structure has a month-to-month standard deviation of $5,738.</t>
  </si>
  <si>
    <t>The increase in variability is also reflected in the HotDog Man’s DOL. As shown in both examples, the DOL would increase from 2.45 to 2.66 as a result of increasing fixed costs and decreasing variable costs. Both the DOL and the business risk would increase if HotDog Man moved its offices.</t>
  </si>
  <si>
    <t>If HotDog Man has plenty of money in the bank to meet unexpected expenses, such as major repairs to its trucks or the trucks’ coffee brewers, then the acceptance of greater fixed costs may make good financial as well as operational sense.</t>
  </si>
  <si>
    <t>But if HotDog Man’s owners frequently take profits out of the business, so that it has relatively little in the way of resources to cushion the impact of unexpected expenses, it might be unwise to add to its fixed costs. Where will the money come from to repair a truck that breaks down at the end of January?</t>
  </si>
  <si>
    <t>Managers can use the DOL to plan not only their operations, as was done in the HotDog Man case study, but also their net income and their pricing. It is useful to perform sensitivity analysis around sales volume levels, and around adjustments to both fixed and variable expenses.</t>
  </si>
  <si>
    <t>Variability in profit levels, whether measured as EBIT, operating income, or net income does not necessarily increase the level of business risk as the DOL increases. If the variability is predictable—if the timing and size of the swings can be forecast with confidence—then a company can anticipate and allow for them in its budgets.</t>
  </si>
  <si>
    <t>Planning by Using the DOL</t>
  </si>
  <si>
    <t>In January, for example, the managers of Firms A, B, and C might set out their annual operations and profit targets by means of the following assumptions:</t>
  </si>
  <si>
    <t>• We want to increase our sales volume from 120,000 to 200,000.</t>
  </si>
  <si>
    <t>• Our market research leads us to believe that to sell an additional 80,000 units we must lower our unit sales price from $2.00 to $1.70.</t>
  </si>
  <si>
    <t>• Neither total fixed costs nor unit variable costs will change during this year.</t>
  </si>
  <si>
    <t>Based on these assumptions, the change in net operating income for each firm would be as shown below.</t>
  </si>
  <si>
    <t>Net</t>
  </si>
  <si>
    <t>Increase</t>
  </si>
  <si>
    <t>Price</t>
  </si>
  <si>
    <t>variable</t>
  </si>
  <si>
    <t>operating</t>
  </si>
  <si>
    <t>in net</t>
  </si>
  <si>
    <t xml:space="preserve"> income</t>
  </si>
  <si>
    <t>income</t>
  </si>
  <si>
    <t>Firm A</t>
  </si>
  <si>
    <t>Firm B</t>
  </si>
  <si>
    <t>Firm C</t>
  </si>
  <si>
    <t>As before, Firm C has a higher DOL than either Firms A or B. Although the managers of Firm C believe that this works to their advantage, they should also perform the same analysis on the downside. If, despite reducing their unit sales price, their total sales remain at 120,000 instead of increasing to 200,000, the reduction in unit price would reduce profits by $36,000 instead of increasing them by $20,000. It is for this reason that companies with a high degree of leverage must be confident that their sales volumes will not fall. Otherwise, they run a significant risk of missing their profit objectives.</t>
  </si>
  <si>
    <t>Performing an analysis of the impacts that leverage can have on a firm’s profitability is essential to a clear picture of the risk a company has decided to take on. However, the DOL is only one of the indicators that a manager, shareholder, or creditor uses to measure the value and risk to a firm’s financial health. Another important measure is a company’s degree of financial leverage.</t>
  </si>
  <si>
    <t>Analyzing Financial Leverage</t>
  </si>
  <si>
    <t>Financial leverage is the extent to which a company finances the acquisition of its assets by means of debt: that is, a company that borrows money to acquire assets engages financial leverage. This type of leverage is a critical component in the measurement of the financial health and value of a company. It helps managers, analysts, stockholders, as well as long and short-term creditors distinguish between a firm’s level of business risk and the financial risk that the firm has assumed.</t>
  </si>
  <si>
    <t>In contrast, financial risk is the additional exposure, above and beyond business risk, that a firm incurs by using financial leverage: that is, the debt that the firm assumes by financing the acquisition of its assets.</t>
  </si>
  <si>
    <t>Suppose, for example, that you decide to start a business that offers training classes in the design of business software. Your business risk consists of factors such as the desirability of the training, the number of people who might want it, the number of other firms that offer similar training classes, the market share of business software systems that you choose to focus on, and the quality and price of your service relative to that of your competition.</t>
  </si>
  <si>
    <t>If you obtain a loan to finance the purchase of computer workstations for your clients to use during training, you have assumed an additional financial risk, beyond your business risk: the possibility that your firm will be unable to repay that loan from its earnings.</t>
  </si>
  <si>
    <t>It is useful to separate business from financial risk to make decisions pertaining to financial leverage. One way to focus on financial risk is to analyze a firm’s financial structure: that is, the way that the firm has gone about financing its assets. Part of a company’s overall financial structure is its capital structure. The company’s capital structure is the combination of various forms of debt and equity that are used to finance its assets.</t>
  </si>
  <si>
    <t>A thorough understanding of the debt that your company has assumed significantly enhances your ability to make good decisions about acquiring new debt. As a creditor, it is essential to understand a borrower’s capital structure in order to measure the risk of making a loan, and to determine whether the interest rate is in line with that risk.</t>
  </si>
  <si>
    <t>The acquisition of additional debt, of course, changes a company’s degree of financial leverage, and therefore new debt can have either a beneficial or a detrimental impact on the evaluations made by creditors and stockholders.</t>
  </si>
  <si>
    <t>Suppose that you can obtain a loan at 9 percent interest to finance the acquisition of new computer workstations. If the return on the assets represented by the new workstations is 12 percent, you will have leveraged the loan, to your benefit. But if the return on this equipment turns out to be only 6 percent, the leverage works against you: you will pay more in interest than you will earn from the asset.</t>
  </si>
  <si>
    <t>Clearly, financial leverage is an important indicator to investors (should I buy this stock?), to managers (will this decision get me a promotion or a pink slip?), to stockholders (should I sell or stand pat?) and to creditors (can they repay this loan?). There are several financial leverage ratios that help you analyze a company’s capital structure. These ratios include the Debt Ratio and the Times Interest Earned ratio.</t>
  </si>
  <si>
    <t>The ratios provide managers, analysts, investors, and creditors with useful indications of how financial leverage impacts the level of financial risk a company has assumed. The ratio information is critical for determining the stability, and even the solvency, of a company.</t>
  </si>
  <si>
    <t>Determining the Debt Ratio</t>
  </si>
  <si>
    <t>The Debt Ratio is the ratio of total debt to total assets. (Another term for the Debt Ratio is the Leverage Factor.) The example below calculates the Debt Ratio of three firms that are identical in all respects except for the amount of debt that they have assumed.</t>
  </si>
  <si>
    <t>Debt</t>
  </si>
  <si>
    <t>Assets</t>
  </si>
  <si>
    <t>Ratio</t>
  </si>
  <si>
    <t>The Debt Ratio measures the proportion of a firm’s total assets that are financed, both short-term and long-term, by means of creditors’ funds. Managers, analysts, shareholders, and creditors use the Debt Ratio as one indicator of how much risk a firm is carrying.</t>
  </si>
  <si>
    <t>For example, a company’s value is in large measure a function of the value of its assets. If a firm has a high debt ratio, then a high proportion of its assets has been financed by means of debt. This implies that the company must spend a greater proportion of its earnings to pay off those debts, instead of reinvesting its earnings in the company.</t>
  </si>
  <si>
    <t>On the other hand, a company with a low debt ratio has used its equity to acquire assets. This implies that it requires a smaller proportion of its earnings to retire debt, and the company can make more dollars available for reinvestment and dividends.</t>
  </si>
  <si>
    <t>A firm’s debt ratio is also a useful indicator of how well it will weather difficult financial times. For example, if a company with a high debt ratio suffers significant earnings losses, it will be hard pressed to continue operations and simultaneously pay off its debts. But a company with a low debt ratio is in a much better position to continue operations if earnings decrease, because it will not need to use its earnings for debt retirement.</t>
  </si>
  <si>
    <t>In debt ratio example, Firm C has the highest debt ratio. This implies that if the firm were to experience a recessionary period, the cash flow it generates may not be sufficient to meet principal and interest payments on the debt acquired. In this example, the Debt Ratio indicates that Firm C is at the greatest financial risk.</t>
  </si>
  <si>
    <t>The Equity Ratio is the opposite of the Debt Ratio. It returns the ratio of a firm’s equity to its assets. The higher the Equity Ratio, the lower a firm’s financial leverage.</t>
  </si>
  <si>
    <t>Determining the Times Interest Earned Ratio</t>
  </si>
  <si>
    <t>Times Interest Earned refers to the number of times that interest payments are covered by a firm’s earnings. It is calculated by dividing the EBIT by interest charges: that is, the income that is available for the payment of interest, divided by the interest expense. Thus, the Times Interest Earned ratio indicates the extent to which a firm’s current earnings are able to meet current interest payments out of net operating income or EBIT. The example below shows possible Times Interest Earned ratios for three firms.</t>
  </si>
  <si>
    <t>Interest</t>
  </si>
  <si>
    <t>Times Interest</t>
  </si>
  <si>
    <t>Earned</t>
  </si>
  <si>
    <t>The Times Interest Earned ratios in the example indicate that Firm A, because it has relatively low debt, uses a lower proportion of its earnings to cover interest payments. Firm B covers annual interest payments four times at its current earnings level, and Firm C covers annual interest payments two times at its current earnings level.</t>
  </si>
  <si>
    <t>Firm C runs a greater risk of financial difficulty than the other two firms. This is because it must cover interest payments before applying earnings to any other purpose, such as reinvestment.</t>
  </si>
  <si>
    <t>Summary</t>
  </si>
  <si>
    <t>NeoCalc and the NeoCalc logo are registered trademarks of Jaxworks. All other brands or products are trademarks or registered trademarks of their respective holders and should be treated as such.</t>
  </si>
  <si>
    <t>© Copyright, 2010, Jaxworks, All Rights Reserved.</t>
  </si>
  <si>
    <t>© 2010, JaxWorks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</si>
</sst>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41" formatCode="_(* #,##0_);_(* \(#,##0\);_(* &quot;-&quot;_);_(@_)"/>
    <numFmt numFmtId="43" formatCode="_(* #,##0.00_);_(* \(#,##0.00\);_(* &quot;-&quot;??_);_(@_)"/>
    <numFmt numFmtId="164" formatCode="&quot;$&quot;#,##0_);\(&quot;$&quot;#,##0\)"/>
    <numFmt numFmtId="165" formatCode="&quot;$&quot;#,##0_);[Red]\(&quot;$&quot;#,##0\)"/>
    <numFmt numFmtId="166" formatCode="&quot;$&quot;#,##0.00_);\(&quot;$&quot;#,##0.00\)"/>
    <numFmt numFmtId="167" formatCode="&quot;$&quot;#,##0.00_);[Red]\(&quot;$&quot;#,##0.00\)"/>
    <numFmt numFmtId="170" formatCode="_(&quot;$&quot;* #,##0.00_);_(&quot;$&quot;* \(#,##0.00\);_(&quot;$&quot;* &quot;-&quot;??_);_(@_)"/>
    <numFmt numFmtId="171" formatCode="_(* #,##0.00_);_(* \(#,##0.00\);_(* &quot;-&quot;??_);_(@_)"/>
    <numFmt numFmtId="172" formatCode="0.0%"/>
    <numFmt numFmtId="173" formatCode="&quot;$&quot;#,##0.00"/>
    <numFmt numFmtId="174" formatCode="&quot;$&quot;#,##0"/>
    <numFmt numFmtId="175" formatCode="0.00%_);[Red]\(0.00%\)"/>
    <numFmt numFmtId="176" formatCode="_(&quot;$&quot;* #,##0_);_(&quot;$&quot;* \(#,##0\);_(&quot;$&quot;* &quot;-&quot;??_);_(@_)"/>
    <numFmt numFmtId="177" formatCode="0%_);[Red]\(0%\)"/>
    <numFmt numFmtId="178" formatCode="mmm\ dd"/>
    <numFmt numFmtId="179" formatCode="0,"/>
    <numFmt numFmtId="180" formatCode="0,000"/>
    <numFmt numFmtId="181" formatCode="0.0"/>
    <numFmt numFmtId="184" formatCode="_-&quot;£&quot;* #,##0_-;\-&quot;£&quot;* #,##0_-;_-&quot;£&quot;* &quot;-&quot;_-;_-@_-"/>
    <numFmt numFmtId="185" formatCode="_-&quot;£&quot;* #,##0.00_-;\-&quot;£&quot;* #,##0.00_-;_-&quot;£&quot;* &quot;-&quot;??_-;_-@_-"/>
  </numFmts>
  <fonts count="65" x14ac:knownFonts="1">
    <font>
      <sz val="10"/>
      <name val="Times New Roman"/>
    </font>
    <font>
      <sz val="10"/>
      <name val="Times New Roman"/>
    </font>
    <font>
      <sz val="8"/>
      <name val="Times New Roman"/>
    </font>
    <font>
      <sz val="10"/>
      <name val="Arial"/>
      <family val="2"/>
    </font>
    <font>
      <b/>
      <sz val="10"/>
      <name val="Arial"/>
      <family val="2"/>
    </font>
    <font>
      <b/>
      <sz val="10"/>
      <color indexed="9"/>
      <name val="Arial"/>
      <family val="2"/>
    </font>
    <font>
      <sz val="8"/>
      <name val="Arial"/>
      <family val="2"/>
    </font>
    <font>
      <b/>
      <sz val="10"/>
      <color indexed="18"/>
      <name val="Arial"/>
      <family val="2"/>
    </font>
    <font>
      <sz val="9"/>
      <name val="Arial"/>
      <family val="2"/>
    </font>
    <font>
      <b/>
      <sz val="10"/>
      <color indexed="81"/>
      <name val="Tahoma"/>
      <family val="2"/>
    </font>
    <font>
      <b/>
      <sz val="9"/>
      <color indexed="10"/>
      <name val="Arial"/>
      <family val="2"/>
    </font>
    <font>
      <b/>
      <sz val="12"/>
      <name val="Arial"/>
      <family val="2"/>
    </font>
    <font>
      <sz val="10"/>
      <color indexed="9"/>
      <name val="Arial"/>
      <family val="2"/>
    </font>
    <font>
      <b/>
      <sz val="8"/>
      <color indexed="10"/>
      <name val="Arial"/>
      <family val="2"/>
    </font>
    <font>
      <sz val="10"/>
      <name val="Arial"/>
    </font>
    <font>
      <sz val="8"/>
      <color indexed="8"/>
      <name val="Arial"/>
      <family val="2"/>
    </font>
    <font>
      <sz val="10"/>
      <color indexed="8"/>
      <name val="Arial"/>
      <family val="2"/>
    </font>
    <font>
      <b/>
      <sz val="10"/>
      <color indexed="8"/>
      <name val="Arial"/>
      <family val="2"/>
    </font>
    <font>
      <b/>
      <sz val="8"/>
      <color indexed="8"/>
      <name val="Arial"/>
      <family val="2"/>
    </font>
    <font>
      <b/>
      <sz val="8"/>
      <color indexed="12"/>
      <name val="Arial"/>
      <family val="2"/>
    </font>
    <font>
      <sz val="12"/>
      <name val="Arial"/>
      <family val="2"/>
    </font>
    <font>
      <b/>
      <sz val="8"/>
      <name val="Arial"/>
      <family val="2"/>
    </font>
    <font>
      <u/>
      <sz val="9"/>
      <color indexed="12"/>
      <name val="Courier"/>
    </font>
    <font>
      <sz val="14"/>
      <color indexed="13"/>
      <name val="Arial"/>
      <family val="2"/>
    </font>
    <font>
      <sz val="9"/>
      <color indexed="10"/>
      <name val="Arial"/>
      <family val="2"/>
    </font>
    <font>
      <b/>
      <sz val="10"/>
      <color indexed="10"/>
      <name val="Arial"/>
      <family val="2"/>
    </font>
    <font>
      <b/>
      <u/>
      <sz val="9"/>
      <color indexed="22"/>
      <name val="Arial"/>
      <family val="2"/>
    </font>
    <font>
      <b/>
      <u/>
      <sz val="9"/>
      <color indexed="10"/>
      <name val="Arial"/>
      <family val="2"/>
    </font>
    <font>
      <b/>
      <sz val="14"/>
      <name val="Arial"/>
      <family val="2"/>
    </font>
    <font>
      <sz val="12"/>
      <name val="Arial"/>
    </font>
    <font>
      <b/>
      <sz val="18"/>
      <name val="Arial"/>
      <family val="2"/>
    </font>
    <font>
      <b/>
      <i/>
      <sz val="12"/>
      <name val="Arial"/>
      <family val="2"/>
    </font>
    <font>
      <b/>
      <sz val="12"/>
      <name val="Arial"/>
    </font>
    <font>
      <u/>
      <sz val="8"/>
      <name val="Arial"/>
      <family val="2"/>
    </font>
    <font>
      <sz val="12"/>
      <name val="Times New Roman"/>
      <family val="1"/>
    </font>
    <font>
      <u/>
      <sz val="9"/>
      <color indexed="8"/>
      <name val="Arial"/>
      <family val="2"/>
    </font>
    <font>
      <u/>
      <sz val="10"/>
      <color indexed="12"/>
      <name val="Arial"/>
    </font>
    <font>
      <sz val="8"/>
      <name val="Arial"/>
    </font>
    <font>
      <sz val="11"/>
      <color indexed="8"/>
      <name val="Calibri"/>
      <family val="2"/>
    </font>
    <font>
      <sz val="11"/>
      <color indexed="9"/>
      <name val="Calibri"/>
      <family val="2"/>
    </font>
    <font>
      <sz val="8"/>
      <name val="Tahoma"/>
      <family val="2"/>
    </font>
    <font>
      <sz val="11"/>
      <color indexed="61"/>
      <name val="Calibri"/>
      <family val="2"/>
    </font>
    <font>
      <sz val="8"/>
      <name val="Verdana"/>
      <family val="2"/>
    </font>
    <font>
      <b/>
      <sz val="11"/>
      <color indexed="46"/>
      <name val="Calibri"/>
      <family val="2"/>
    </font>
    <font>
      <b/>
      <sz val="11"/>
      <color indexed="9"/>
      <name val="Calibri"/>
      <family val="2"/>
    </font>
    <font>
      <sz val="10"/>
      <name val="Helv"/>
    </font>
    <font>
      <i/>
      <sz val="11"/>
      <color indexed="23"/>
      <name val="Calibri"/>
      <family val="2"/>
    </font>
    <font>
      <sz val="11"/>
      <color indexed="17"/>
      <name val="Calibri"/>
      <family val="2"/>
    </font>
    <font>
      <b/>
      <sz val="9"/>
      <name val="Arial"/>
    </font>
    <font>
      <b/>
      <sz val="8"/>
      <color indexed="9"/>
      <name val="Tahoma"/>
      <family val="2"/>
    </font>
    <font>
      <b/>
      <sz val="8"/>
      <color indexed="8"/>
      <name val="Tahoma"/>
      <family val="2"/>
    </font>
    <font>
      <b/>
      <sz val="18"/>
      <name val="Arial"/>
    </font>
    <font>
      <b/>
      <sz val="11"/>
      <color indexed="62"/>
      <name val="Calibri"/>
      <family val="2"/>
    </font>
    <font>
      <sz val="11"/>
      <color indexed="62"/>
      <name val="Calibri"/>
      <family val="2"/>
    </font>
    <font>
      <sz val="11"/>
      <color indexed="46"/>
      <name val="Calibri"/>
      <family val="2"/>
    </font>
    <font>
      <sz val="11"/>
      <color indexed="19"/>
      <name val="Calibri"/>
      <family val="2"/>
    </font>
    <font>
      <b/>
      <sz val="11"/>
      <color indexed="23"/>
      <name val="Verdana"/>
      <family val="2"/>
    </font>
    <font>
      <sz val="10"/>
      <color indexed="10"/>
      <name val="Helv"/>
    </font>
    <font>
      <b/>
      <sz val="11"/>
      <color indexed="63"/>
      <name val="Calibri"/>
      <family val="2"/>
    </font>
    <font>
      <sz val="9"/>
      <color indexed="10"/>
      <name val="Arial"/>
    </font>
    <font>
      <b/>
      <sz val="18"/>
      <color indexed="62"/>
      <name val="Cambria"/>
      <family val="2"/>
    </font>
    <font>
      <i/>
      <sz val="10"/>
      <color indexed="12"/>
      <name val="Tms Rmn"/>
    </font>
    <font>
      <b/>
      <sz val="10"/>
      <color indexed="8"/>
      <name val="Tms Rmn"/>
    </font>
    <font>
      <sz val="11"/>
      <color indexed="10"/>
      <name val="Calibri"/>
      <family val="2"/>
    </font>
    <font>
      <u/>
      <sz val="10"/>
      <color indexed="8"/>
      <name val="Arial"/>
    </font>
  </fonts>
  <fills count="31">
    <fill>
      <patternFill patternType="none"/>
    </fill>
    <fill>
      <patternFill patternType="gray125"/>
    </fill>
    <fill>
      <patternFill patternType="solid">
        <fgColor indexed="44"/>
      </patternFill>
    </fill>
    <fill>
      <patternFill patternType="solid">
        <fgColor indexed="45"/>
      </patternFill>
    </fill>
    <fill>
      <patternFill patternType="solid">
        <fgColor indexed="47"/>
      </patternFill>
    </fill>
    <fill>
      <patternFill patternType="solid">
        <fgColor indexed="43"/>
      </patternFill>
    </fill>
    <fill>
      <patternFill patternType="solid">
        <fgColor indexed="27"/>
      </patternFill>
    </fill>
    <fill>
      <patternFill patternType="solid">
        <fgColor indexed="26"/>
      </patternFill>
    </fill>
    <fill>
      <patternFill patternType="solid">
        <fgColor indexed="22"/>
      </patternFill>
    </fill>
    <fill>
      <patternFill patternType="solid">
        <fgColor indexed="50"/>
      </patternFill>
    </fill>
    <fill>
      <patternFill patternType="solid">
        <fgColor indexed="29"/>
      </patternFill>
    </fill>
    <fill>
      <patternFill patternType="solid">
        <fgColor indexed="56"/>
      </patternFill>
    </fill>
    <fill>
      <patternFill patternType="solid">
        <fgColor indexed="53"/>
      </patternFill>
    </fill>
    <fill>
      <patternFill patternType="solid">
        <fgColor indexed="54"/>
      </patternFill>
    </fill>
    <fill>
      <patternFill patternType="solid">
        <fgColor indexed="49"/>
      </patternFill>
    </fill>
    <fill>
      <patternFill patternType="solid">
        <fgColor indexed="46"/>
      </patternFill>
    </fill>
    <fill>
      <patternFill patternType="solid">
        <fgColor indexed="9"/>
        <bgColor indexed="64"/>
      </patternFill>
    </fill>
    <fill>
      <patternFill patternType="solid">
        <fgColor indexed="14"/>
      </patternFill>
    </fill>
    <fill>
      <patternFill patternType="solid">
        <fgColor indexed="55"/>
        <bgColor indexed="64"/>
      </patternFill>
    </fill>
    <fill>
      <patternFill patternType="solid">
        <fgColor indexed="55"/>
      </patternFill>
    </fill>
    <fill>
      <patternFill patternType="lightGray">
        <fgColor indexed="13"/>
        <bgColor indexed="13"/>
      </patternFill>
    </fill>
    <fill>
      <patternFill patternType="darkGray">
        <fgColor indexed="22"/>
        <bgColor indexed="13"/>
      </patternFill>
    </fill>
    <fill>
      <patternFill patternType="solid">
        <fgColor indexed="8"/>
        <bgColor indexed="64"/>
      </patternFill>
    </fill>
    <fill>
      <patternFill patternType="solid">
        <fgColor indexed="22"/>
        <bgColor indexed="64"/>
      </patternFill>
    </fill>
    <fill>
      <patternFill patternType="solid">
        <fgColor indexed="9"/>
        <bgColor indexed="9"/>
      </patternFill>
    </fill>
    <fill>
      <patternFill patternType="solid">
        <fgColor indexed="22"/>
        <bgColor indexed="22"/>
      </patternFill>
    </fill>
    <fill>
      <patternFill patternType="solid">
        <fgColor indexed="58"/>
        <bgColor indexed="64"/>
      </patternFill>
    </fill>
    <fill>
      <patternFill patternType="solid">
        <fgColor indexed="44"/>
        <bgColor indexed="64"/>
      </patternFill>
    </fill>
    <fill>
      <patternFill patternType="solid">
        <fgColor indexed="26"/>
        <bgColor indexed="64"/>
      </patternFill>
    </fill>
    <fill>
      <patternFill patternType="solid">
        <fgColor indexed="27"/>
        <bgColor indexed="64"/>
      </patternFill>
    </fill>
    <fill>
      <patternFill patternType="solid">
        <fgColor indexed="18"/>
        <bgColor indexed="64"/>
      </patternFill>
    </fill>
  </fills>
  <borders count="38">
    <border>
      <left/>
      <right/>
      <top/>
      <bottom/>
      <diagonal/>
    </border>
    <border>
      <left style="thin">
        <color indexed="64"/>
      </left>
      <right/>
      <top style="thin">
        <color indexed="64"/>
      </top>
      <bottom style="thin">
        <color indexed="64"/>
      </bottom>
      <diagonal/>
    </border>
    <border>
      <left style="thin">
        <color indexed="64"/>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medium">
        <color indexed="18"/>
      </left>
      <right style="medium">
        <color indexed="18"/>
      </right>
      <top style="medium">
        <color indexed="18"/>
      </top>
      <bottom style="medium">
        <color indexed="18"/>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right/>
      <top/>
      <bottom style="medium">
        <color indexed="27"/>
      </bottom>
      <diagonal/>
    </border>
    <border>
      <left/>
      <right/>
      <top style="thin">
        <color indexed="64"/>
      </top>
      <bottom/>
      <diagonal/>
    </border>
    <border>
      <left/>
      <right/>
      <top/>
      <bottom style="double">
        <color indexed="46"/>
      </bottom>
      <diagonal/>
    </border>
    <border>
      <left/>
      <right/>
      <top style="thin">
        <color indexed="64"/>
      </top>
      <bottom style="double">
        <color indexed="64"/>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9"/>
      </left>
      <right/>
      <top style="thin">
        <color indexed="9"/>
      </top>
      <bottom style="thin">
        <color indexed="9"/>
      </bottom>
      <diagonal/>
    </border>
    <border>
      <left/>
      <right/>
      <top style="double">
        <color indexed="0"/>
      </top>
      <bottom/>
      <diagonal/>
    </border>
    <border>
      <left/>
      <right/>
      <top style="thick">
        <color indexed="22"/>
      </top>
      <bottom style="thick">
        <color indexed="22"/>
      </bottom>
      <diagonal/>
    </border>
    <border>
      <left/>
      <right style="thick">
        <color indexed="22"/>
      </right>
      <top style="thick">
        <color indexed="22"/>
      </top>
      <bottom style="thick">
        <color indexed="22"/>
      </bottom>
      <diagonal/>
    </border>
    <border>
      <left style="thick">
        <color indexed="22"/>
      </left>
      <right/>
      <top/>
      <bottom/>
      <diagonal/>
    </border>
    <border>
      <left/>
      <right style="thick">
        <color indexed="22"/>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22"/>
      </left>
      <right/>
      <top/>
      <bottom style="thick">
        <color indexed="22"/>
      </bottom>
      <diagonal/>
    </border>
    <border>
      <left/>
      <right/>
      <top/>
      <bottom style="thick">
        <color indexed="22"/>
      </bottom>
      <diagonal/>
    </border>
    <border>
      <left/>
      <right style="thick">
        <color indexed="22"/>
      </right>
      <top/>
      <bottom style="thick">
        <color indexed="22"/>
      </bottom>
      <diagonal/>
    </border>
    <border>
      <left/>
      <right/>
      <top/>
      <bottom style="thick">
        <color indexed="64"/>
      </bottom>
      <diagonal/>
    </border>
    <border>
      <left/>
      <right/>
      <top/>
      <bottom style="thin">
        <color indexed="64"/>
      </bottom>
      <diagonal/>
    </border>
    <border>
      <left style="thick">
        <color indexed="22"/>
      </left>
      <right/>
      <top style="thick">
        <color indexed="22"/>
      </top>
      <bottom style="thick">
        <color indexed="22"/>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s>
  <cellStyleXfs count="84">
    <xf numFmtId="0" fontId="0" fillId="0" borderId="0"/>
    <xf numFmtId="0" fontId="38" fillId="2" borderId="0" applyNumberFormat="0" applyBorder="0" applyAlignment="0" applyProtection="0"/>
    <xf numFmtId="0" fontId="38" fillId="3" borderId="0" applyNumberFormat="0" applyBorder="0" applyAlignment="0" applyProtection="0"/>
    <xf numFmtId="0" fontId="38" fillId="3" borderId="0" applyNumberFormat="0" applyBorder="0" applyAlignment="0" applyProtection="0"/>
    <xf numFmtId="0" fontId="38" fillId="4" borderId="0" applyNumberFormat="0" applyBorder="0" applyAlignment="0" applyProtection="0"/>
    <xf numFmtId="0" fontId="38" fillId="2" borderId="0" applyNumberFormat="0" applyBorder="0" applyAlignment="0" applyProtection="0"/>
    <xf numFmtId="0" fontId="38" fillId="5" borderId="0" applyNumberFormat="0" applyBorder="0" applyAlignment="0" applyProtection="0"/>
    <xf numFmtId="0" fontId="38" fillId="6" borderId="0" applyNumberFormat="0" applyBorder="0" applyAlignment="0" applyProtection="0"/>
    <xf numFmtId="0" fontId="38" fillId="3" borderId="0" applyNumberFormat="0" applyBorder="0" applyAlignment="0" applyProtection="0"/>
    <xf numFmtId="0" fontId="38" fillId="7" borderId="0" applyNumberFormat="0" applyBorder="0" applyAlignment="0" applyProtection="0"/>
    <xf numFmtId="0" fontId="38" fillId="8" borderId="0" applyNumberFormat="0" applyBorder="0" applyAlignment="0" applyProtection="0"/>
    <xf numFmtId="0" fontId="38" fillId="6" borderId="0" applyNumberFormat="0" applyBorder="0" applyAlignment="0" applyProtection="0"/>
    <xf numFmtId="0" fontId="38" fillId="7" borderId="0" applyNumberFormat="0" applyBorder="0" applyAlignment="0" applyProtection="0"/>
    <xf numFmtId="0" fontId="39" fillId="6" borderId="0" applyNumberFormat="0" applyBorder="0" applyAlignment="0" applyProtection="0"/>
    <xf numFmtId="0" fontId="39" fillId="3" borderId="0" applyNumberFormat="0" applyBorder="0" applyAlignment="0" applyProtection="0"/>
    <xf numFmtId="0" fontId="39" fillId="9" borderId="0" applyNumberFormat="0" applyBorder="0" applyAlignment="0" applyProtection="0"/>
    <xf numFmtId="0" fontId="39" fillId="8" borderId="0" applyNumberFormat="0" applyBorder="0" applyAlignment="0" applyProtection="0"/>
    <xf numFmtId="0" fontId="39" fillId="6" borderId="0" applyNumberFormat="0" applyBorder="0" applyAlignment="0" applyProtection="0"/>
    <xf numFmtId="0" fontId="39" fillId="10" borderId="0" applyNumberFormat="0" applyBorder="0" applyAlignment="0" applyProtection="0"/>
    <xf numFmtId="0" fontId="39" fillId="11" borderId="0" applyNumberFormat="0" applyBorder="0" applyAlignment="0" applyProtection="0"/>
    <xf numFmtId="0" fontId="39" fillId="12" borderId="0" applyNumberFormat="0" applyBorder="0" applyAlignment="0" applyProtection="0"/>
    <xf numFmtId="0" fontId="39" fillId="9" borderId="0" applyNumberFormat="0" applyBorder="0" applyAlignment="0" applyProtection="0"/>
    <xf numFmtId="0" fontId="39" fillId="13" borderId="0" applyNumberFormat="0" applyBorder="0" applyAlignment="0" applyProtection="0"/>
    <xf numFmtId="0" fontId="39" fillId="14" borderId="0" applyNumberFormat="0" applyBorder="0" applyAlignment="0" applyProtection="0"/>
    <xf numFmtId="0" fontId="39" fillId="15" borderId="0" applyNumberFormat="0" applyBorder="0" applyAlignment="0" applyProtection="0"/>
    <xf numFmtId="37" fontId="40" fillId="16" borderId="1" applyBorder="0" applyProtection="0">
      <alignment vertical="center"/>
    </xf>
    <xf numFmtId="0" fontId="41" fillId="17" borderId="0" applyNumberFormat="0" applyBorder="0" applyAlignment="0" applyProtection="0"/>
    <xf numFmtId="164" fontId="2" fillId="0" borderId="2">
      <protection locked="0"/>
    </xf>
    <xf numFmtId="0" fontId="42" fillId="18" borderId="0" applyBorder="0">
      <alignment horizontal="left" vertical="center" indent="1"/>
    </xf>
    <xf numFmtId="0" fontId="43" fillId="4" borderId="3" applyNumberFormat="0" applyAlignment="0" applyProtection="0"/>
    <xf numFmtId="0" fontId="44" fillId="19" borderId="4" applyNumberFormat="0" applyAlignment="0" applyProtection="0"/>
    <xf numFmtId="171" fontId="1" fillId="0" borderId="0" applyFont="0" applyFill="0" applyBorder="0" applyAlignment="0" applyProtection="0"/>
    <xf numFmtId="3" fontId="14" fillId="0" borderId="0" applyFont="0" applyFill="0" applyBorder="0" applyAlignment="0" applyProtection="0"/>
    <xf numFmtId="170" fontId="14" fillId="0" borderId="0" applyFont="0" applyFill="0" applyBorder="0" applyAlignment="0" applyProtection="0"/>
    <xf numFmtId="164" fontId="14" fillId="0" borderId="0" applyFont="0" applyFill="0" applyBorder="0" applyAlignment="0" applyProtection="0"/>
    <xf numFmtId="0" fontId="45" fillId="0" borderId="5"/>
    <xf numFmtId="4" fontId="2" fillId="20" borderId="5">
      <protection locked="0"/>
    </xf>
    <xf numFmtId="0" fontId="14" fillId="0" borderId="0" applyFont="0" applyFill="0" applyBorder="0" applyAlignment="0" applyProtection="0"/>
    <xf numFmtId="41" fontId="14" fillId="0" borderId="0" applyFont="0" applyFill="0" applyBorder="0" applyAlignment="0" applyProtection="0"/>
    <xf numFmtId="43" fontId="14" fillId="0" borderId="0" applyFont="0" applyFill="0" applyBorder="0" applyAlignment="0" applyProtection="0"/>
    <xf numFmtId="0" fontId="46" fillId="0" borderId="0" applyNumberFormat="0" applyFill="0" applyBorder="0" applyAlignment="0" applyProtection="0"/>
    <xf numFmtId="2" fontId="14" fillId="0" borderId="0" applyFont="0" applyFill="0" applyBorder="0" applyAlignment="0" applyProtection="0"/>
    <xf numFmtId="0" fontId="47" fillId="6" borderId="0" applyNumberFormat="0" applyBorder="0" applyAlignment="0" applyProtection="0"/>
    <xf numFmtId="4" fontId="2" fillId="21" borderId="5"/>
    <xf numFmtId="171" fontId="48" fillId="0" borderId="6"/>
    <xf numFmtId="37" fontId="49" fillId="22" borderId="2" applyBorder="0">
      <alignment horizontal="left" vertical="center" indent="1"/>
    </xf>
    <xf numFmtId="37" fontId="50" fillId="23" borderId="7" applyFill="0">
      <alignment vertical="center"/>
    </xf>
    <xf numFmtId="0" fontId="50" fillId="24" borderId="8" applyNumberFormat="0">
      <alignment horizontal="left" vertical="top" indent="1"/>
    </xf>
    <xf numFmtId="0" fontId="50" fillId="16" borderId="0" applyBorder="0">
      <alignment horizontal="left" vertical="center" indent="1"/>
    </xf>
    <xf numFmtId="0" fontId="50" fillId="0" borderId="8" applyNumberFormat="0" applyFill="0">
      <alignment horizontal="centerContinuous" vertical="top"/>
    </xf>
    <xf numFmtId="0" fontId="51" fillId="0" borderId="0" applyNumberFormat="0" applyFont="0" applyFill="0" applyAlignment="0" applyProtection="0"/>
    <xf numFmtId="0" fontId="32" fillId="0" borderId="0" applyNumberFormat="0" applyFont="0" applyFill="0" applyAlignment="0" applyProtection="0"/>
    <xf numFmtId="0" fontId="52" fillId="0" borderId="9" applyNumberFormat="0" applyFill="0" applyAlignment="0" applyProtection="0"/>
    <xf numFmtId="0" fontId="52" fillId="0" borderId="0" applyNumberFormat="0" applyFill="0" applyBorder="0" applyAlignment="0" applyProtection="0"/>
    <xf numFmtId="0" fontId="22" fillId="0" borderId="0" applyNumberFormat="0" applyFill="0" applyBorder="0" applyAlignment="0" applyProtection="0">
      <alignment vertical="top"/>
      <protection locked="0"/>
    </xf>
    <xf numFmtId="0" fontId="36" fillId="0" borderId="0" applyNumberFormat="0" applyFill="0" applyBorder="0" applyAlignment="0" applyProtection="0">
      <alignment vertical="top"/>
      <protection locked="0"/>
    </xf>
    <xf numFmtId="0" fontId="53" fillId="10" borderId="3" applyNumberFormat="0" applyAlignment="0" applyProtection="0"/>
    <xf numFmtId="171" fontId="48" fillId="0" borderId="10"/>
    <xf numFmtId="0" fontId="54" fillId="0" borderId="11" applyNumberFormat="0" applyFill="0" applyAlignment="0" applyProtection="0"/>
    <xf numFmtId="170" fontId="48" fillId="0" borderId="12"/>
    <xf numFmtId="0" fontId="55" fillId="7" borderId="0" applyNumberFormat="0" applyBorder="0" applyAlignment="0" applyProtection="0"/>
    <xf numFmtId="0" fontId="56" fillId="23" borderId="0">
      <alignment horizontal="left" wrapText="1" indent="1"/>
    </xf>
    <xf numFmtId="37" fontId="40" fillId="16" borderId="13" applyBorder="0">
      <alignment horizontal="left" vertical="center" indent="2"/>
    </xf>
    <xf numFmtId="0" fontId="14" fillId="0" borderId="0"/>
    <xf numFmtId="0" fontId="1" fillId="0" borderId="0"/>
    <xf numFmtId="0" fontId="14" fillId="0" borderId="0"/>
    <xf numFmtId="0" fontId="14" fillId="0" borderId="0"/>
    <xf numFmtId="0" fontId="14" fillId="0" borderId="0"/>
    <xf numFmtId="0" fontId="57" fillId="0" borderId="0"/>
    <xf numFmtId="0" fontId="14" fillId="7" borderId="14" applyNumberFormat="0" applyFont="0" applyAlignment="0" applyProtection="0"/>
    <xf numFmtId="0" fontId="58" fillId="4" borderId="15" applyNumberFormat="0" applyAlignment="0" applyProtection="0"/>
    <xf numFmtId="177" fontId="37" fillId="25" borderId="16"/>
    <xf numFmtId="175" fontId="37" fillId="0" borderId="16" applyFont="0" applyFill="0" applyBorder="0" applyAlignment="0" applyProtection="0">
      <protection locked="0"/>
    </xf>
    <xf numFmtId="177" fontId="14" fillId="0" borderId="0" applyFont="0" applyFill="0" applyBorder="0" applyAlignment="0" applyProtection="0"/>
    <xf numFmtId="2" fontId="59" fillId="0" borderId="0">
      <protection locked="0"/>
    </xf>
    <xf numFmtId="0" fontId="14" fillId="26" borderId="0"/>
    <xf numFmtId="49" fontId="14" fillId="0" borderId="0" applyFont="0" applyFill="0" applyBorder="0" applyAlignment="0" applyProtection="0"/>
    <xf numFmtId="0" fontId="60" fillId="0" borderId="0" applyNumberFormat="0" applyFill="0" applyBorder="0" applyAlignment="0" applyProtection="0"/>
    <xf numFmtId="0" fontId="61" fillId="0" borderId="0">
      <alignment horizontal="right"/>
    </xf>
    <xf numFmtId="0" fontId="62" fillId="0" borderId="0"/>
    <xf numFmtId="0" fontId="14" fillId="0" borderId="17" applyNumberFormat="0" applyFont="0" applyBorder="0" applyAlignment="0" applyProtection="0"/>
    <xf numFmtId="184" fontId="14" fillId="0" borderId="0" applyFont="0" applyFill="0" applyBorder="0" applyAlignment="0" applyProtection="0"/>
    <xf numFmtId="185" fontId="14" fillId="0" borderId="0" applyFont="0" applyFill="0" applyBorder="0" applyAlignment="0" applyProtection="0"/>
    <xf numFmtId="0" fontId="63" fillId="0" borderId="0" applyNumberFormat="0" applyFill="0" applyBorder="0" applyAlignment="0" applyProtection="0"/>
  </cellStyleXfs>
  <cellXfs count="170">
    <xf numFmtId="0" fontId="0" fillId="0" borderId="0" xfId="0"/>
    <xf numFmtId="0" fontId="3" fillId="0" borderId="0" xfId="0" applyFont="1"/>
    <xf numFmtId="0" fontId="5" fillId="27" borderId="18" xfId="0" applyFont="1" applyFill="1" applyBorder="1" applyAlignment="1">
      <alignment horizontal="centerContinuous"/>
    </xf>
    <xf numFmtId="0" fontId="5" fillId="27" borderId="19" xfId="0" applyFont="1" applyFill="1" applyBorder="1" applyAlignment="1">
      <alignment horizontal="centerContinuous"/>
    </xf>
    <xf numFmtId="0" fontId="3" fillId="22" borderId="0" xfId="0" applyFont="1" applyFill="1"/>
    <xf numFmtId="164" fontId="3" fillId="22" borderId="0" xfId="0" applyNumberFormat="1" applyFont="1" applyFill="1"/>
    <xf numFmtId="164" fontId="3" fillId="0" borderId="0" xfId="0" applyNumberFormat="1" applyFont="1"/>
    <xf numFmtId="0" fontId="3" fillId="0" borderId="8" xfId="0" applyFont="1" applyBorder="1"/>
    <xf numFmtId="0" fontId="3" fillId="0" borderId="20" xfId="0" applyFont="1" applyBorder="1"/>
    <xf numFmtId="0" fontId="3" fillId="0" borderId="0" xfId="0" applyFont="1" applyBorder="1"/>
    <xf numFmtId="0" fontId="3" fillId="0" borderId="21" xfId="0" applyFont="1" applyFill="1" applyBorder="1"/>
    <xf numFmtId="0" fontId="3" fillId="0" borderId="22" xfId="0" applyFont="1" applyBorder="1"/>
    <xf numFmtId="0" fontId="3" fillId="0" borderId="23" xfId="0" applyFont="1" applyBorder="1"/>
    <xf numFmtId="0" fontId="3" fillId="0" borderId="0" xfId="0" applyFont="1" applyBorder="1" applyAlignment="1">
      <alignment horizontal="right"/>
    </xf>
    <xf numFmtId="0" fontId="3" fillId="0" borderId="0" xfId="0" applyFont="1" applyBorder="1" applyAlignment="1">
      <alignment horizontal="center"/>
    </xf>
    <xf numFmtId="0" fontId="3" fillId="16" borderId="21" xfId="0" applyFont="1" applyFill="1" applyBorder="1"/>
    <xf numFmtId="0" fontId="3" fillId="0" borderId="24" xfId="0" applyFont="1" applyBorder="1"/>
    <xf numFmtId="0" fontId="3" fillId="0" borderId="25" xfId="0" applyFont="1" applyBorder="1"/>
    <xf numFmtId="3" fontId="3" fillId="0" borderId="22" xfId="0" applyNumberFormat="1" applyFont="1" applyBorder="1"/>
    <xf numFmtId="3" fontId="3" fillId="0" borderId="23" xfId="0" applyNumberFormat="1" applyFont="1" applyBorder="1"/>
    <xf numFmtId="0" fontId="4" fillId="0" borderId="0" xfId="0" applyFont="1" applyBorder="1"/>
    <xf numFmtId="173" fontId="3" fillId="0" borderId="0" xfId="0" applyNumberFormat="1" applyFont="1" applyBorder="1"/>
    <xf numFmtId="164" fontId="3" fillId="0" borderId="22" xfId="0" applyNumberFormat="1" applyFont="1" applyBorder="1"/>
    <xf numFmtId="166" fontId="3" fillId="0" borderId="23" xfId="0" applyNumberFormat="1" applyFont="1" applyBorder="1"/>
    <xf numFmtId="10" fontId="3" fillId="22" borderId="0" xfId="0" applyNumberFormat="1" applyFont="1" applyFill="1"/>
    <xf numFmtId="9" fontId="3" fillId="0" borderId="22" xfId="0" applyNumberFormat="1" applyFont="1" applyBorder="1"/>
    <xf numFmtId="166" fontId="3" fillId="0" borderId="0" xfId="0" applyNumberFormat="1" applyFont="1" applyBorder="1"/>
    <xf numFmtId="164" fontId="3" fillId="0" borderId="24" xfId="0" applyNumberFormat="1" applyFont="1" applyBorder="1"/>
    <xf numFmtId="0" fontId="3" fillId="0" borderId="26" xfId="0" applyFont="1" applyBorder="1"/>
    <xf numFmtId="0" fontId="3" fillId="0" borderId="27" xfId="0" applyFont="1" applyBorder="1"/>
    <xf numFmtId="164" fontId="3" fillId="0" borderId="27" xfId="0" applyNumberFormat="1" applyFont="1" applyBorder="1"/>
    <xf numFmtId="0" fontId="3" fillId="16" borderId="28" xfId="0" applyFont="1" applyFill="1" applyBorder="1"/>
    <xf numFmtId="165" fontId="3" fillId="22" borderId="0" xfId="0" applyNumberFormat="1" applyFont="1" applyFill="1"/>
    <xf numFmtId="0" fontId="3" fillId="0" borderId="29" xfId="0" applyFont="1" applyFill="1" applyBorder="1"/>
    <xf numFmtId="0" fontId="3" fillId="0" borderId="0" xfId="0" applyFont="1" applyFill="1" applyBorder="1"/>
    <xf numFmtId="164" fontId="3" fillId="0" borderId="0" xfId="0" applyNumberFormat="1" applyFont="1" applyBorder="1"/>
    <xf numFmtId="0" fontId="3" fillId="0" borderId="21" xfId="0" applyFont="1" applyBorder="1"/>
    <xf numFmtId="0" fontId="3" fillId="0" borderId="28" xfId="0" applyFont="1" applyBorder="1"/>
    <xf numFmtId="173" fontId="3" fillId="0" borderId="30" xfId="0" applyNumberFormat="1" applyFont="1" applyBorder="1"/>
    <xf numFmtId="0" fontId="7" fillId="27" borderId="31" xfId="0" applyFont="1" applyFill="1" applyBorder="1" applyAlignment="1">
      <alignment horizontal="centerContinuous"/>
    </xf>
    <xf numFmtId="167" fontId="3" fillId="0" borderId="0" xfId="0" applyNumberFormat="1" applyFont="1" applyBorder="1"/>
    <xf numFmtId="10" fontId="3" fillId="0" borderId="0" xfId="0" applyNumberFormat="1" applyFont="1" applyBorder="1"/>
    <xf numFmtId="165" fontId="3" fillId="0" borderId="0" xfId="0" applyNumberFormat="1" applyFont="1" applyBorder="1"/>
    <xf numFmtId="167" fontId="3" fillId="0" borderId="21" xfId="0" applyNumberFormat="1" applyFont="1" applyBorder="1"/>
    <xf numFmtId="0" fontId="5" fillId="22" borderId="0" xfId="0" applyFont="1" applyFill="1"/>
    <xf numFmtId="9" fontId="3" fillId="0" borderId="0" xfId="0" applyNumberFormat="1" applyFont="1" applyBorder="1"/>
    <xf numFmtId="9" fontId="3" fillId="0" borderId="27" xfId="0" applyNumberFormat="1" applyFont="1" applyBorder="1"/>
    <xf numFmtId="0" fontId="7" fillId="27" borderId="18" xfId="0" applyFont="1" applyFill="1" applyBorder="1" applyAlignment="1">
      <alignment horizontal="centerContinuous"/>
    </xf>
    <xf numFmtId="0" fontId="3" fillId="0" borderId="20" xfId="0" applyFont="1" applyFill="1" applyBorder="1"/>
    <xf numFmtId="172" fontId="3" fillId="0" borderId="0" xfId="0" applyNumberFormat="1" applyFont="1" applyBorder="1"/>
    <xf numFmtId="0" fontId="7" fillId="16" borderId="20" xfId="0" applyFont="1" applyFill="1" applyBorder="1" applyAlignment="1">
      <alignment horizontal="centerContinuous"/>
    </xf>
    <xf numFmtId="0" fontId="5" fillId="16" borderId="0" xfId="0" applyFont="1" applyFill="1" applyBorder="1" applyAlignment="1">
      <alignment horizontal="centerContinuous"/>
    </xf>
    <xf numFmtId="0" fontId="7" fillId="16" borderId="0" xfId="0" applyFont="1" applyFill="1" applyBorder="1" applyAlignment="1">
      <alignment horizontal="centerContinuous"/>
    </xf>
    <xf numFmtId="0" fontId="5" fillId="16" borderId="21" xfId="0" applyFont="1" applyFill="1" applyBorder="1" applyAlignment="1">
      <alignment horizontal="centerContinuous"/>
    </xf>
    <xf numFmtId="176" fontId="15" fillId="16" borderId="0" xfId="33" applyNumberFormat="1" applyFont="1" applyFill="1" applyProtection="1">
      <protection hidden="1"/>
    </xf>
    <xf numFmtId="0" fontId="15" fillId="16" borderId="0" xfId="66" applyFont="1" applyFill="1" applyAlignment="1" applyProtection="1">
      <alignment horizontal="right"/>
      <protection hidden="1"/>
    </xf>
    <xf numFmtId="0" fontId="16" fillId="16" borderId="0" xfId="66" applyFont="1" applyFill="1" applyProtection="1">
      <protection hidden="1"/>
    </xf>
    <xf numFmtId="164" fontId="17" fillId="16" borderId="0" xfId="66" applyNumberFormat="1" applyFont="1" applyFill="1" applyBorder="1" applyAlignment="1" applyProtection="1">
      <protection hidden="1"/>
    </xf>
    <xf numFmtId="176" fontId="18" fillId="28" borderId="32" xfId="33" applyNumberFormat="1" applyFont="1" applyFill="1" applyBorder="1" applyAlignment="1" applyProtection="1">
      <alignment horizontal="center" wrapText="1"/>
      <protection hidden="1"/>
    </xf>
    <xf numFmtId="0" fontId="18" fillId="28" borderId="32" xfId="66" applyFont="1" applyFill="1" applyBorder="1" applyAlignment="1" applyProtection="1">
      <alignment horizontal="center" wrapText="1"/>
      <protection hidden="1"/>
    </xf>
    <xf numFmtId="176" fontId="19" fillId="0" borderId="33" xfId="33" applyNumberFormat="1" applyFont="1" applyFill="1" applyBorder="1" applyAlignment="1" applyProtection="1">
      <alignment horizontal="right"/>
      <protection locked="0"/>
    </xf>
    <xf numFmtId="0" fontId="18" fillId="28" borderId="32" xfId="31" applyNumberFormat="1" applyFont="1" applyFill="1" applyBorder="1" applyAlignment="1" applyProtection="1">
      <alignment horizontal="center"/>
      <protection hidden="1"/>
    </xf>
    <xf numFmtId="174" fontId="15" fillId="28" borderId="32" xfId="33" applyNumberFormat="1" applyFont="1" applyFill="1" applyBorder="1" applyAlignment="1" applyProtection="1">
      <alignment horizontal="right"/>
      <protection hidden="1"/>
    </xf>
    <xf numFmtId="174" fontId="15" fillId="28" borderId="32" xfId="66" applyNumberFormat="1" applyFont="1" applyFill="1" applyBorder="1" applyAlignment="1" applyProtection="1">
      <alignment horizontal="right"/>
      <protection hidden="1"/>
    </xf>
    <xf numFmtId="0" fontId="16" fillId="28" borderId="32" xfId="66" applyFont="1" applyFill="1" applyBorder="1" applyProtection="1">
      <protection hidden="1"/>
    </xf>
    <xf numFmtId="0" fontId="18" fillId="28" borderId="33" xfId="66" applyFont="1" applyFill="1" applyBorder="1" applyAlignment="1" applyProtection="1">
      <alignment horizontal="right"/>
      <protection hidden="1"/>
    </xf>
    <xf numFmtId="164" fontId="19" fillId="16" borderId="33" xfId="66" applyNumberFormat="1" applyFont="1" applyFill="1" applyBorder="1" applyAlignment="1" applyProtection="1">
      <alignment horizontal="right"/>
      <protection locked="0"/>
    </xf>
    <xf numFmtId="175" fontId="18" fillId="28" borderId="33" xfId="73" applyNumberFormat="1" applyFont="1" applyFill="1" applyBorder="1" applyAlignment="1" applyProtection="1">
      <alignment horizontal="right"/>
      <protection hidden="1"/>
    </xf>
    <xf numFmtId="176" fontId="18" fillId="28" borderId="33" xfId="33" applyNumberFormat="1" applyFont="1" applyFill="1" applyBorder="1" applyAlignment="1" applyProtection="1">
      <alignment horizontal="right"/>
      <protection hidden="1"/>
    </xf>
    <xf numFmtId="178" fontId="18" fillId="28" borderId="33" xfId="33" applyNumberFormat="1" applyFont="1" applyFill="1" applyBorder="1" applyAlignment="1" applyProtection="1">
      <alignment horizontal="right"/>
      <protection hidden="1"/>
    </xf>
    <xf numFmtId="0" fontId="6" fillId="0" borderId="0" xfId="66" applyFont="1" applyProtection="1">
      <protection hidden="1"/>
    </xf>
    <xf numFmtId="0" fontId="6" fillId="0" borderId="0" xfId="66" applyFont="1" applyAlignment="1" applyProtection="1">
      <alignment horizontal="right"/>
      <protection hidden="1"/>
    </xf>
    <xf numFmtId="0" fontId="20" fillId="16" borderId="0" xfId="66" applyFont="1" applyFill="1" applyAlignment="1" applyProtection="1">
      <alignment horizontal="centerContinuous"/>
      <protection hidden="1"/>
    </xf>
    <xf numFmtId="0" fontId="6" fillId="16" borderId="0" xfId="66" applyFont="1" applyFill="1" applyAlignment="1" applyProtection="1">
      <alignment horizontal="right"/>
      <protection hidden="1"/>
    </xf>
    <xf numFmtId="0" fontId="3" fillId="16" borderId="0" xfId="66" applyFont="1" applyFill="1" applyProtection="1">
      <protection hidden="1"/>
    </xf>
    <xf numFmtId="0" fontId="21" fillId="0" borderId="0" xfId="66" applyFont="1" applyAlignment="1" applyProtection="1">
      <alignment horizontal="centerContinuous"/>
      <protection hidden="1"/>
    </xf>
    <xf numFmtId="0" fontId="21" fillId="16" borderId="0" xfId="66" applyFont="1" applyFill="1" applyAlignment="1" applyProtection="1">
      <alignment horizontal="centerContinuous"/>
      <protection hidden="1"/>
    </xf>
    <xf numFmtId="0" fontId="4" fillId="16" borderId="0" xfId="66" applyFont="1" applyFill="1" applyAlignment="1" applyProtection="1">
      <alignment horizontal="centerContinuous"/>
      <protection hidden="1"/>
    </xf>
    <xf numFmtId="176" fontId="6" fillId="16" borderId="0" xfId="33" applyNumberFormat="1" applyFont="1" applyFill="1" applyProtection="1">
      <protection hidden="1"/>
    </xf>
    <xf numFmtId="0" fontId="6" fillId="0" borderId="0" xfId="66" applyFont="1" applyAlignment="1" applyProtection="1">
      <alignment horizontal="centerContinuous"/>
      <protection hidden="1"/>
    </xf>
    <xf numFmtId="0" fontId="14" fillId="0" borderId="0" xfId="66"/>
    <xf numFmtId="0" fontId="6" fillId="0" borderId="0" xfId="65" applyFont="1"/>
    <xf numFmtId="0" fontId="24" fillId="0" borderId="0" xfId="65" applyFont="1"/>
    <xf numFmtId="0" fontId="18" fillId="28" borderId="1" xfId="66" applyFont="1" applyFill="1" applyBorder="1" applyAlignment="1" applyProtection="1">
      <alignment horizontal="right"/>
      <protection hidden="1"/>
    </xf>
    <xf numFmtId="0" fontId="18" fillId="28" borderId="34" xfId="66" applyFont="1" applyFill="1" applyBorder="1" applyAlignment="1" applyProtection="1">
      <alignment horizontal="right"/>
      <protection hidden="1"/>
    </xf>
    <xf numFmtId="0" fontId="17" fillId="16" borderId="0" xfId="66" applyFont="1" applyFill="1" applyAlignment="1" applyProtection="1">
      <alignment horizontal="center"/>
      <protection hidden="1"/>
    </xf>
    <xf numFmtId="165" fontId="18" fillId="28" borderId="33" xfId="33" applyNumberFormat="1" applyFont="1" applyFill="1" applyBorder="1" applyAlignment="1" applyProtection="1">
      <alignment horizontal="right"/>
      <protection hidden="1"/>
    </xf>
    <xf numFmtId="0" fontId="13" fillId="16" borderId="0" xfId="66" applyFont="1" applyFill="1" applyProtection="1">
      <protection hidden="1"/>
    </xf>
    <xf numFmtId="0" fontId="17" fillId="29" borderId="1" xfId="66" applyFont="1" applyFill="1" applyBorder="1" applyAlignment="1" applyProtection="1">
      <alignment horizontal="centerContinuous"/>
      <protection hidden="1"/>
    </xf>
    <xf numFmtId="0" fontId="17" fillId="29" borderId="13" xfId="66" applyFont="1" applyFill="1" applyBorder="1" applyAlignment="1" applyProtection="1">
      <alignment horizontal="centerContinuous"/>
      <protection hidden="1"/>
    </xf>
    <xf numFmtId="0" fontId="17" fillId="29" borderId="34" xfId="66" applyFont="1" applyFill="1" applyBorder="1" applyAlignment="1" applyProtection="1">
      <alignment horizontal="centerContinuous"/>
      <protection hidden="1"/>
    </xf>
    <xf numFmtId="0" fontId="18" fillId="28" borderId="33" xfId="66" applyFont="1" applyFill="1" applyBorder="1" applyAlignment="1" applyProtection="1">
      <alignment horizontal="right" wrapText="1"/>
      <protection hidden="1"/>
    </xf>
    <xf numFmtId="0" fontId="27" fillId="16" borderId="0" xfId="54" applyFont="1" applyFill="1" applyAlignment="1" applyProtection="1">
      <alignment horizontal="centerContinuous"/>
      <protection hidden="1"/>
    </xf>
    <xf numFmtId="0" fontId="28" fillId="0" borderId="0" xfId="0" applyFont="1" applyAlignment="1">
      <alignment horizontal="centerContinuous"/>
    </xf>
    <xf numFmtId="0" fontId="27" fillId="0" borderId="0" xfId="54" applyFont="1" applyAlignment="1" applyProtection="1"/>
    <xf numFmtId="0" fontId="25" fillId="0" borderId="0" xfId="66" applyFont="1"/>
    <xf numFmtId="176" fontId="18" fillId="28" borderId="33" xfId="33" applyNumberFormat="1" applyFont="1" applyFill="1" applyBorder="1" applyAlignment="1" applyProtection="1">
      <alignment horizontal="right"/>
      <protection locked="0"/>
    </xf>
    <xf numFmtId="164" fontId="18" fillId="28" borderId="33" xfId="66" applyNumberFormat="1" applyFont="1" applyFill="1" applyBorder="1" applyAlignment="1" applyProtection="1">
      <alignment horizontal="right"/>
      <protection locked="0"/>
    </xf>
    <xf numFmtId="0" fontId="29" fillId="0" borderId="0" xfId="67" applyFont="1" applyAlignment="1">
      <alignment horizontal="justify"/>
    </xf>
    <xf numFmtId="0" fontId="29" fillId="0" borderId="0" xfId="67" applyFont="1" applyAlignment="1">
      <alignment horizontal="justify" vertical="top"/>
    </xf>
    <xf numFmtId="0" fontId="29" fillId="0" borderId="0" xfId="67" applyFont="1" applyAlignment="1">
      <alignment horizontal="justify" vertical="top" wrapText="1"/>
    </xf>
    <xf numFmtId="0" fontId="11" fillId="0" borderId="0" xfId="67" applyFont="1" applyAlignment="1">
      <alignment horizontal="centerContinuous" vertical="top" wrapText="1"/>
    </xf>
    <xf numFmtId="0" fontId="11" fillId="0" borderId="0" xfId="67" applyFont="1" applyAlignment="1">
      <alignment horizontal="centerContinuous" vertical="top"/>
    </xf>
    <xf numFmtId="0" fontId="6" fillId="0" borderId="8" xfId="64" applyFont="1" applyBorder="1" applyAlignment="1">
      <alignment horizontal="right" vertical="top"/>
    </xf>
    <xf numFmtId="167" fontId="6" fillId="0" borderId="8" xfId="64" applyNumberFormat="1" applyFont="1" applyBorder="1" applyAlignment="1">
      <alignment vertical="top"/>
    </xf>
    <xf numFmtId="0" fontId="33" fillId="0" borderId="0" xfId="64" applyFont="1" applyAlignment="1">
      <alignment vertical="top"/>
    </xf>
    <xf numFmtId="179" fontId="6" fillId="0" borderId="0" xfId="64" applyNumberFormat="1" applyFont="1" applyAlignment="1">
      <alignment horizontal="center" vertical="top"/>
    </xf>
    <xf numFmtId="164" fontId="6" fillId="0" borderId="0" xfId="64" applyNumberFormat="1" applyFont="1" applyAlignment="1">
      <alignment vertical="top"/>
    </xf>
    <xf numFmtId="0" fontId="34" fillId="0" borderId="0" xfId="64" applyFont="1" applyAlignment="1">
      <alignment vertical="top"/>
    </xf>
    <xf numFmtId="0" fontId="20" fillId="0" borderId="0" xfId="64" applyFont="1" applyAlignment="1">
      <alignment vertical="top"/>
    </xf>
    <xf numFmtId="0" fontId="6" fillId="0" borderId="0" xfId="64" applyFont="1"/>
    <xf numFmtId="0" fontId="6" fillId="0" borderId="0" xfId="64" applyFont="1" applyAlignment="1">
      <alignment horizontal="center"/>
    </xf>
    <xf numFmtId="0" fontId="20" fillId="0" borderId="0" xfId="64" applyFont="1"/>
    <xf numFmtId="164" fontId="6" fillId="0" borderId="0" xfId="64" applyNumberFormat="1" applyFont="1"/>
    <xf numFmtId="167" fontId="6" fillId="0" borderId="0" xfId="64" applyNumberFormat="1" applyFont="1"/>
    <xf numFmtId="0" fontId="33" fillId="0" borderId="0" xfId="64" applyFont="1"/>
    <xf numFmtId="0" fontId="33" fillId="0" borderId="0" xfId="64" applyFont="1" applyAlignment="1">
      <alignment horizontal="center"/>
    </xf>
    <xf numFmtId="179" fontId="6" fillId="0" borderId="0" xfId="64" applyNumberFormat="1" applyFont="1"/>
    <xf numFmtId="0" fontId="33" fillId="0" borderId="0" xfId="64" applyFont="1" applyAlignment="1">
      <alignment horizontal="left"/>
    </xf>
    <xf numFmtId="0" fontId="33" fillId="0" borderId="0" xfId="64" quotePrefix="1" applyFont="1" applyAlignment="1">
      <alignment horizontal="center"/>
    </xf>
    <xf numFmtId="0" fontId="6" fillId="0" borderId="35" xfId="64" applyFont="1" applyBorder="1" applyAlignment="1">
      <alignment horizontal="center"/>
    </xf>
    <xf numFmtId="179" fontId="6" fillId="0" borderId="6" xfId="64" applyNumberFormat="1" applyFont="1" applyBorder="1"/>
    <xf numFmtId="164" fontId="6" fillId="0" borderId="6" xfId="64" applyNumberFormat="1" applyFont="1" applyBorder="1"/>
    <xf numFmtId="2" fontId="6" fillId="0" borderId="36" xfId="64" applyNumberFormat="1" applyFont="1" applyBorder="1"/>
    <xf numFmtId="179" fontId="6" fillId="0" borderId="8" xfId="64" applyNumberFormat="1" applyFont="1" applyBorder="1"/>
    <xf numFmtId="164" fontId="6" fillId="0" borderId="8" xfId="64" applyNumberFormat="1" applyFont="1" applyBorder="1"/>
    <xf numFmtId="2" fontId="6" fillId="0" borderId="25" xfId="64" applyNumberFormat="1" applyFont="1" applyBorder="1"/>
    <xf numFmtId="0" fontId="6" fillId="0" borderId="37" xfId="64" applyFont="1" applyBorder="1" applyAlignment="1">
      <alignment horizontal="center"/>
    </xf>
    <xf numFmtId="3" fontId="6" fillId="0" borderId="0" xfId="64" applyNumberFormat="1" applyFont="1"/>
    <xf numFmtId="166" fontId="6" fillId="0" borderId="0" xfId="64" applyNumberFormat="1" applyFont="1"/>
    <xf numFmtId="165" fontId="6" fillId="0" borderId="0" xfId="64" applyNumberFormat="1" applyFont="1"/>
    <xf numFmtId="2" fontId="6" fillId="0" borderId="0" xfId="64" applyNumberFormat="1" applyFont="1"/>
    <xf numFmtId="180" fontId="6" fillId="0" borderId="0" xfId="64" applyNumberFormat="1" applyFont="1"/>
    <xf numFmtId="0" fontId="6" fillId="0" borderId="0" xfId="64" applyFont="1" applyAlignment="1">
      <alignment horizontal="right"/>
    </xf>
    <xf numFmtId="0" fontId="6" fillId="0" borderId="35" xfId="64" applyFont="1" applyBorder="1"/>
    <xf numFmtId="180" fontId="6" fillId="0" borderId="6" xfId="64" applyNumberFormat="1" applyFont="1" applyBorder="1"/>
    <xf numFmtId="166" fontId="6" fillId="0" borderId="6" xfId="64" applyNumberFormat="1" applyFont="1" applyBorder="1"/>
    <xf numFmtId="0" fontId="6" fillId="0" borderId="36" xfId="64" applyFont="1" applyBorder="1"/>
    <xf numFmtId="0" fontId="6" fillId="0" borderId="24" xfId="64" applyFont="1" applyBorder="1"/>
    <xf numFmtId="180" fontId="6" fillId="0" borderId="8" xfId="64" applyNumberFormat="1" applyFont="1" applyBorder="1"/>
    <xf numFmtId="166" fontId="6" fillId="0" borderId="8" xfId="64" applyNumberFormat="1" applyFont="1" applyBorder="1"/>
    <xf numFmtId="164" fontId="6" fillId="0" borderId="25" xfId="64" applyNumberFormat="1" applyFont="1" applyBorder="1"/>
    <xf numFmtId="9" fontId="6" fillId="0" borderId="0" xfId="64" applyNumberFormat="1" applyFont="1"/>
    <xf numFmtId="0" fontId="6" fillId="0" borderId="0" xfId="67" applyFont="1" applyAlignment="1">
      <alignment horizontal="justify" vertical="top"/>
    </xf>
    <xf numFmtId="181" fontId="6" fillId="0" borderId="0" xfId="64" applyNumberFormat="1" applyFont="1"/>
    <xf numFmtId="0" fontId="0" fillId="16" borderId="0" xfId="0" applyFill="1"/>
    <xf numFmtId="0" fontId="12" fillId="16" borderId="0" xfId="0" applyFont="1" applyFill="1" applyAlignment="1">
      <alignment horizontal="centerContinuous"/>
    </xf>
    <xf numFmtId="0" fontId="0" fillId="16" borderId="0" xfId="0" applyFill="1" applyAlignment="1">
      <alignment horizontal="centerContinuous"/>
    </xf>
    <xf numFmtId="0" fontId="26" fillId="16" borderId="0" xfId="54" applyFont="1" applyFill="1" applyAlignment="1" applyProtection="1">
      <alignment horizontal="centerContinuous"/>
    </xf>
    <xf numFmtId="0" fontId="35" fillId="16" borderId="0" xfId="54" applyFont="1" applyFill="1" applyAlignment="1" applyProtection="1">
      <alignment horizontal="centerContinuous"/>
    </xf>
    <xf numFmtId="0" fontId="14" fillId="0" borderId="0" xfId="63"/>
    <xf numFmtId="165" fontId="64" fillId="16" borderId="0" xfId="55" applyNumberFormat="1" applyFont="1" applyFill="1" applyAlignment="1" applyProtection="1">
      <alignment horizontal="center"/>
      <protection locked="0"/>
    </xf>
    <xf numFmtId="0" fontId="28" fillId="0" borderId="0" xfId="67" applyFont="1" applyAlignment="1">
      <alignment horizontal="center" vertical="top" wrapText="1"/>
    </xf>
    <xf numFmtId="0" fontId="28" fillId="0" borderId="0" xfId="67" applyFont="1" applyAlignment="1">
      <alignment horizontal="center" vertical="top"/>
    </xf>
    <xf numFmtId="0" fontId="29" fillId="0" borderId="0" xfId="67" applyFont="1" applyAlignment="1">
      <alignment horizontal="justify" vertical="top" wrapText="1"/>
    </xf>
    <xf numFmtId="0" fontId="29" fillId="0" borderId="0" xfId="67" applyFont="1" applyAlignment="1">
      <alignment horizontal="justify" vertical="top"/>
    </xf>
    <xf numFmtId="0" fontId="31" fillId="0" borderId="0" xfId="67" applyFont="1" applyAlignment="1">
      <alignment horizontal="justify" vertical="top" wrapText="1"/>
    </xf>
    <xf numFmtId="0" fontId="29" fillId="0" borderId="0" xfId="67" applyFont="1" applyAlignment="1">
      <alignment horizontal="center" vertical="top" wrapText="1"/>
    </xf>
    <xf numFmtId="0" fontId="32" fillId="0" borderId="0" xfId="67" applyFont="1" applyAlignment="1">
      <alignment horizontal="justify" vertical="top" wrapText="1"/>
    </xf>
    <xf numFmtId="0" fontId="20" fillId="0" borderId="0" xfId="67" applyFont="1" applyAlignment="1">
      <alignment horizontal="justify" vertical="top" wrapText="1"/>
    </xf>
    <xf numFmtId="0" fontId="11" fillId="0" borderId="0" xfId="67" applyFont="1" applyAlignment="1">
      <alignment horizontal="justify" vertical="top" wrapText="1"/>
    </xf>
    <xf numFmtId="0" fontId="11" fillId="0" borderId="0" xfId="67" applyFont="1" applyAlignment="1">
      <alignment horizontal="justify" vertical="top"/>
    </xf>
    <xf numFmtId="0" fontId="29" fillId="0" borderId="0" xfId="67" applyFont="1" applyFill="1" applyAlignment="1">
      <alignment horizontal="justify" vertical="top" wrapText="1"/>
    </xf>
    <xf numFmtId="0" fontId="29" fillId="0" borderId="0" xfId="67" applyFont="1" applyFill="1" applyAlignment="1">
      <alignment horizontal="justify" vertical="top"/>
    </xf>
    <xf numFmtId="0" fontId="30" fillId="0" borderId="0" xfId="67" applyFont="1" applyAlignment="1">
      <alignment horizontal="center" vertical="top" wrapText="1"/>
    </xf>
    <xf numFmtId="0" fontId="30" fillId="0" borderId="0" xfId="67" applyFont="1" applyAlignment="1">
      <alignment horizontal="center" vertical="top"/>
    </xf>
    <xf numFmtId="0" fontId="6" fillId="0" borderId="0" xfId="65" applyFont="1" applyAlignment="1">
      <alignment vertical="top" wrapText="1"/>
    </xf>
    <xf numFmtId="0" fontId="23" fillId="30" borderId="0" xfId="65" applyFont="1" applyFill="1" applyAlignment="1">
      <alignment horizontal="center" vertical="center"/>
    </xf>
    <xf numFmtId="0" fontId="21" fillId="0" borderId="0" xfId="65" applyFont="1" applyAlignment="1">
      <alignment wrapText="1"/>
    </xf>
    <xf numFmtId="0" fontId="6" fillId="0" borderId="0" xfId="65" applyFont="1" applyAlignment="1">
      <alignment wrapText="1"/>
    </xf>
  </cellXfs>
  <cellStyles count="8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mount" xfId="25"/>
    <cellStyle name="Bad" xfId="26" builtinId="27" customBuiltin="1"/>
    <cellStyle name="Blank" xfId="27"/>
    <cellStyle name="Body text" xfId="28"/>
    <cellStyle name="Calculation" xfId="29" builtinId="22" customBuiltin="1"/>
    <cellStyle name="Check Cell" xfId="30" builtinId="23" customBuiltin="1"/>
    <cellStyle name="Comma" xfId="31" builtinId="3"/>
    <cellStyle name="Comma0" xfId="32"/>
    <cellStyle name="Currency_simple_be_2000" xfId="33"/>
    <cellStyle name="Currency0" xfId="34"/>
    <cellStyle name="DarkBlueOutline" xfId="35"/>
    <cellStyle name="DarkBlueOutlineYellow" xfId="36"/>
    <cellStyle name="Date" xfId="37"/>
    <cellStyle name="Dezimal [0]_Compiling Utility Macros" xfId="38"/>
    <cellStyle name="Dezimal_Compiling Utility Macros" xfId="39"/>
    <cellStyle name="Explanatory Text" xfId="40" builtinId="53" customBuiltin="1"/>
    <cellStyle name="Fixed" xfId="41"/>
    <cellStyle name="Good" xfId="42" builtinId="26" customBuiltin="1"/>
    <cellStyle name="GRAY" xfId="43"/>
    <cellStyle name="Gross Margin" xfId="44"/>
    <cellStyle name="header" xfId="45"/>
    <cellStyle name="Header Total" xfId="46"/>
    <cellStyle name="Header1" xfId="47"/>
    <cellStyle name="Header2" xfId="48"/>
    <cellStyle name="Header3" xfId="49"/>
    <cellStyle name="Heading 1" xfId="50" builtinId="16" customBuiltin="1"/>
    <cellStyle name="Heading 2" xfId="51" builtinId="17" customBuiltin="1"/>
    <cellStyle name="Heading 3" xfId="52" builtinId="18" customBuiltin="1"/>
    <cellStyle name="Heading 4" xfId="53" builtinId="19" customBuiltin="1"/>
    <cellStyle name="Hyperlink" xfId="54" builtinId="8"/>
    <cellStyle name="Hyperlink__New_First_Page" xfId="55"/>
    <cellStyle name="Input" xfId="56" builtinId="20" customBuiltin="1"/>
    <cellStyle name="Level 2 Total" xfId="57"/>
    <cellStyle name="Linked Cell" xfId="58" builtinId="24" customBuiltin="1"/>
    <cellStyle name="Major Total" xfId="59"/>
    <cellStyle name="Neutral" xfId="60" builtinId="28" customBuiltin="1"/>
    <cellStyle name="NonPrint_TemTitle" xfId="61"/>
    <cellStyle name="Normal" xfId="0" builtinId="0"/>
    <cellStyle name="Normal 2" xfId="62"/>
    <cellStyle name="Normal_36 Month Sales Forecast" xfId="63"/>
    <cellStyle name="Normal_CHAP14" xfId="64"/>
    <cellStyle name="Normal_CopyOfBook2_1" xfId="65"/>
    <cellStyle name="Normal_CopyOfBreak-Even_NEW" xfId="66"/>
    <cellStyle name="Normal_leverage" xfId="67"/>
    <cellStyle name="NormalRed" xfId="68"/>
    <cellStyle name="Note" xfId="69" builtinId="10" customBuiltin="1"/>
    <cellStyle name="Output" xfId="70" builtinId="21" customBuiltin="1"/>
    <cellStyle name="Percent.0" xfId="71"/>
    <cellStyle name="Percent.00" xfId="72"/>
    <cellStyle name="Percent_CopyOfBreak-Even_NEW" xfId="73"/>
    <cellStyle name="RED POSTED" xfId="74"/>
    <cellStyle name="Standard_Anpassen der Amortisation" xfId="75"/>
    <cellStyle name="Text_simple" xfId="76"/>
    <cellStyle name="Title" xfId="77" builtinId="15" customBuiltin="1"/>
    <cellStyle name="TmsRmn10BlueItalic" xfId="78"/>
    <cellStyle name="TmsRmn10Bold" xfId="79"/>
    <cellStyle name="Total" xfId="80" builtinId="25" customBuiltin="1"/>
    <cellStyle name="Währung [0]_Compiling Utility Macros" xfId="81"/>
    <cellStyle name="Währung_Compiling Utility Macros" xfId="82"/>
    <cellStyle name="Warning Text" xfId="83" builtinId="11" customBuiltin="1"/>
  </cellStyles>
  <dxfs count="2">
    <dxf>
      <fill>
        <patternFill>
          <bgColor indexed="26"/>
        </patternFill>
      </fill>
    </dxf>
    <dxf>
      <fill>
        <patternFill>
          <bgColor indexed="2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285499868296585"/>
          <c:y val="6.2803882939387157E-2"/>
          <c:w val="0.56490327668153784"/>
          <c:h val="0.7504258833270363"/>
        </c:manualLayout>
      </c:layout>
      <c:lineChart>
        <c:grouping val="standard"/>
        <c:varyColors val="0"/>
        <c:ser>
          <c:idx val="0"/>
          <c:order val="0"/>
          <c:tx>
            <c:strRef>
              <c:f>'JaxWorks Break-Even Analysis'!$BG$7</c:f>
              <c:strCache>
                <c:ptCount val="1"/>
                <c:pt idx="0">
                  <c:v>Fixed Costs</c:v>
                </c:pt>
              </c:strCache>
            </c:strRef>
          </c:tx>
          <c:spPr>
            <a:ln w="38100">
              <a:solidFill>
                <a:srgbClr val="FF0000"/>
              </a:solidFill>
              <a:prstDash val="solid"/>
            </a:ln>
          </c:spPr>
          <c:marker>
            <c:symbol val="none"/>
          </c:marker>
          <c:cat>
            <c:numRef>
              <c:f>'JaxWorks Break-Even Analysis'!$BF$8:$BF$16</c:f>
              <c:numCache>
                <c:formatCode>General</c:formatCode>
                <c:ptCount val="9"/>
                <c:pt idx="0">
                  <c:v>1</c:v>
                </c:pt>
                <c:pt idx="1">
                  <c:v>2</c:v>
                </c:pt>
                <c:pt idx="2">
                  <c:v>3</c:v>
                </c:pt>
                <c:pt idx="3">
                  <c:v>4</c:v>
                </c:pt>
                <c:pt idx="4">
                  <c:v>5</c:v>
                </c:pt>
                <c:pt idx="5">
                  <c:v>6</c:v>
                </c:pt>
                <c:pt idx="6">
                  <c:v>7</c:v>
                </c:pt>
                <c:pt idx="7">
                  <c:v>8</c:v>
                </c:pt>
                <c:pt idx="8">
                  <c:v>9</c:v>
                </c:pt>
              </c:numCache>
            </c:numRef>
          </c:cat>
          <c:val>
            <c:numRef>
              <c:f>'JaxWorks Break-Even Analysis'!$BG$8:$BG$17</c:f>
              <c:numCache>
                <c:formatCode>"$"#,##0_);\("$"#,##0\)</c:formatCode>
                <c:ptCount val="10"/>
                <c:pt idx="0">
                  <c:v>50</c:v>
                </c:pt>
                <c:pt idx="1">
                  <c:v>50</c:v>
                </c:pt>
                <c:pt idx="2">
                  <c:v>50</c:v>
                </c:pt>
                <c:pt idx="3">
                  <c:v>50</c:v>
                </c:pt>
                <c:pt idx="4">
                  <c:v>50</c:v>
                </c:pt>
                <c:pt idx="5">
                  <c:v>50</c:v>
                </c:pt>
                <c:pt idx="6">
                  <c:v>50</c:v>
                </c:pt>
                <c:pt idx="7">
                  <c:v>50</c:v>
                </c:pt>
                <c:pt idx="8">
                  <c:v>50</c:v>
                </c:pt>
                <c:pt idx="9">
                  <c:v>50</c:v>
                </c:pt>
              </c:numCache>
            </c:numRef>
          </c:val>
          <c:smooth val="0"/>
          <c:extLst>
            <c:ext xmlns:c16="http://schemas.microsoft.com/office/drawing/2014/chart" uri="{C3380CC4-5D6E-409C-BE32-E72D297353CC}">
              <c16:uniqueId val="{00000000-176C-488C-8120-16F24D6EB091}"/>
            </c:ext>
          </c:extLst>
        </c:ser>
        <c:dLbls>
          <c:showLegendKey val="0"/>
          <c:showVal val="0"/>
          <c:showCatName val="0"/>
          <c:showSerName val="0"/>
          <c:showPercent val="0"/>
          <c:showBubbleSize val="0"/>
        </c:dLbls>
        <c:smooth val="0"/>
        <c:axId val="1769741360"/>
        <c:axId val="1"/>
      </c:lineChart>
      <c:catAx>
        <c:axId val="1769741360"/>
        <c:scaling>
          <c:orientation val="minMax"/>
        </c:scaling>
        <c:delete val="0"/>
        <c:axPos val="b"/>
        <c:title>
          <c:tx>
            <c:rich>
              <a:bodyPr/>
              <a:lstStyle/>
              <a:p>
                <a:pPr>
                  <a:defRPr sz="800" b="0" i="0" u="none" strike="noStrike" baseline="0">
                    <a:solidFill>
                      <a:srgbClr val="FFFFFF"/>
                    </a:solidFill>
                    <a:latin typeface="Arial"/>
                    <a:ea typeface="Arial"/>
                    <a:cs typeface="Arial"/>
                  </a:defRPr>
                </a:pPr>
                <a:r>
                  <a:rPr lang="en-HK"/>
                  <a:t>Volume (units)</a:t>
                </a:r>
              </a:p>
            </c:rich>
          </c:tx>
          <c:layout>
            <c:manualLayout>
              <c:xMode val="edge"/>
              <c:yMode val="edge"/>
              <c:x val="0.35751761429619849"/>
              <c:y val="0.89535792087946819"/>
            </c:manualLayout>
          </c:layout>
          <c:overlay val="0"/>
          <c:spPr>
            <a:noFill/>
            <a:ln w="25400">
              <a:noFill/>
            </a:ln>
          </c:spPr>
        </c:title>
        <c:numFmt formatCode="General"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title>
          <c:tx>
            <c:rich>
              <a:bodyPr/>
              <a:lstStyle/>
              <a:p>
                <a:pPr>
                  <a:defRPr sz="800" b="0" i="0" u="none" strike="noStrike" baseline="0">
                    <a:solidFill>
                      <a:srgbClr val="FFFFFF"/>
                    </a:solidFill>
                    <a:latin typeface="Arial"/>
                    <a:ea typeface="Arial"/>
                    <a:cs typeface="Arial"/>
                  </a:defRPr>
                </a:pPr>
                <a:r>
                  <a:rPr lang="en-HK"/>
                  <a:t>Costs</a:t>
                </a:r>
              </a:p>
            </c:rich>
          </c:tx>
          <c:layout>
            <c:manualLayout>
              <c:xMode val="edge"/>
              <c:yMode val="edge"/>
              <c:x val="3.6896835639109456E-2"/>
              <c:y val="0.38809578944595657"/>
            </c:manualLayout>
          </c:layout>
          <c:overlay val="0"/>
          <c:spPr>
            <a:noFill/>
            <a:ln w="25400">
              <a:noFill/>
            </a:ln>
          </c:spPr>
        </c:title>
        <c:numFmt formatCode="&quot;$&quot;#,##0_);\(&quot;$&quot;#,##0\)"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Arial"/>
                <a:ea typeface="Arial"/>
                <a:cs typeface="Arial"/>
              </a:defRPr>
            </a:pPr>
            <a:endParaRPr lang="en-US"/>
          </a:p>
        </c:txPr>
        <c:crossAx val="1769741360"/>
        <c:crosses val="autoZero"/>
        <c:crossBetween val="midCat"/>
      </c:valAx>
      <c:spPr>
        <a:noFill/>
        <a:ln w="12700">
          <a:solidFill>
            <a:srgbClr val="FFFFFF"/>
          </a:solidFill>
          <a:prstDash val="solid"/>
        </a:ln>
      </c:spPr>
    </c:plotArea>
    <c:legend>
      <c:legendPos val="r"/>
      <c:layout>
        <c:manualLayout>
          <c:xMode val="edge"/>
          <c:yMode val="edge"/>
          <c:x val="0.74938745487708514"/>
          <c:y val="0.4718343000318061"/>
          <c:w val="0.23792097463839543"/>
          <c:h val="5.3141747102558368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gradFill rotWithShape="0">
      <a:gsLst>
        <a:gs pos="0">
          <a:srgbClr xmlns:mc="http://schemas.openxmlformats.org/markup-compatibility/2006" xmlns:a14="http://schemas.microsoft.com/office/drawing/2010/main" val="005E76" mc:Ignorable="a14" a14:legacySpreadsheetColorIndex="40">
            <a:gamma/>
            <a:shade val="46275"/>
            <a:invGamma/>
          </a:srgbClr>
        </a:gs>
        <a:gs pos="100000">
          <a:srgbClr xmlns:mc="http://schemas.openxmlformats.org/markup-compatibility/2006" xmlns:a14="http://schemas.microsoft.com/office/drawing/2010/main" val="00CCFF" mc:Ignorable="a14" a14:legacySpreadsheetColorIndex="40"/>
        </a:gs>
      </a:gsLst>
      <a:lin ang="5400000" scaled="1"/>
    </a:grad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029506880302805"/>
          <c:y val="6.2803882939387157E-2"/>
          <c:w val="0.55678033133472293"/>
          <c:h val="0.7504258833270363"/>
        </c:manualLayout>
      </c:layout>
      <c:lineChart>
        <c:grouping val="standard"/>
        <c:varyColors val="0"/>
        <c:ser>
          <c:idx val="0"/>
          <c:order val="0"/>
          <c:tx>
            <c:strRef>
              <c:f>'JaxWorks Break-Even Analysis'!$BU$7</c:f>
              <c:strCache>
                <c:ptCount val="1"/>
                <c:pt idx="0">
                  <c:v>Variable Costs</c:v>
                </c:pt>
              </c:strCache>
            </c:strRef>
          </c:tx>
          <c:spPr>
            <a:ln w="38100">
              <a:solidFill>
                <a:srgbClr val="00FF00"/>
              </a:solidFill>
              <a:prstDash val="solid"/>
            </a:ln>
          </c:spPr>
          <c:marker>
            <c:symbol val="none"/>
          </c:marker>
          <c:cat>
            <c:numRef>
              <c:f>'JaxWorks Break-Even Analysis'!$BT$8:$BT$17</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'JaxWorks Break-Even Analysis'!$BU$8:$BU$17</c:f>
              <c:numCache>
                <c:formatCode>"$"#,##0_);\("$"#,##0\)</c:formatCode>
                <c:ptCount val="10"/>
                <c:pt idx="0">
                  <c:v>15</c:v>
                </c:pt>
                <c:pt idx="1">
                  <c:v>30</c:v>
                </c:pt>
                <c:pt idx="2">
                  <c:v>45</c:v>
                </c:pt>
                <c:pt idx="3">
                  <c:v>60</c:v>
                </c:pt>
                <c:pt idx="4">
                  <c:v>75</c:v>
                </c:pt>
                <c:pt idx="5">
                  <c:v>90</c:v>
                </c:pt>
                <c:pt idx="6">
                  <c:v>105</c:v>
                </c:pt>
                <c:pt idx="7">
                  <c:v>120</c:v>
                </c:pt>
                <c:pt idx="8">
                  <c:v>135</c:v>
                </c:pt>
                <c:pt idx="9">
                  <c:v>150</c:v>
                </c:pt>
              </c:numCache>
            </c:numRef>
          </c:val>
          <c:smooth val="0"/>
          <c:extLst>
            <c:ext xmlns:c16="http://schemas.microsoft.com/office/drawing/2014/chart" uri="{C3380CC4-5D6E-409C-BE32-E72D297353CC}">
              <c16:uniqueId val="{00000000-A589-484C-BE75-318D639E7863}"/>
            </c:ext>
          </c:extLst>
        </c:ser>
        <c:dLbls>
          <c:showLegendKey val="0"/>
          <c:showVal val="0"/>
          <c:showCatName val="0"/>
          <c:showSerName val="0"/>
          <c:showPercent val="0"/>
          <c:showBubbleSize val="0"/>
        </c:dLbls>
        <c:smooth val="0"/>
        <c:axId val="1769740560"/>
        <c:axId val="1"/>
      </c:lineChart>
      <c:catAx>
        <c:axId val="1769740560"/>
        <c:scaling>
          <c:orientation val="minMax"/>
        </c:scaling>
        <c:delete val="0"/>
        <c:axPos val="b"/>
        <c:title>
          <c:tx>
            <c:rich>
              <a:bodyPr/>
              <a:lstStyle/>
              <a:p>
                <a:pPr>
                  <a:defRPr sz="800" b="0" i="0" u="none" strike="noStrike" baseline="0">
                    <a:solidFill>
                      <a:srgbClr val="FFFFFF"/>
                    </a:solidFill>
                    <a:latin typeface="Arial"/>
                    <a:ea typeface="Arial"/>
                    <a:cs typeface="Arial"/>
                  </a:defRPr>
                </a:pPr>
                <a:r>
                  <a:rPr lang="en-HK"/>
                  <a:t>Volume (units)</a:t>
                </a:r>
              </a:p>
            </c:rich>
          </c:tx>
          <c:layout>
            <c:manualLayout>
              <c:xMode val="edge"/>
              <c:yMode val="edge"/>
              <c:x val="0.36474546651428708"/>
              <c:y val="0.89535792087946819"/>
            </c:manualLayout>
          </c:layout>
          <c:overlay val="0"/>
          <c:spPr>
            <a:noFill/>
            <a:ln w="25400">
              <a:noFill/>
            </a:ln>
          </c:spPr>
        </c:title>
        <c:numFmt formatCode="General"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title>
          <c:tx>
            <c:rich>
              <a:bodyPr/>
              <a:lstStyle/>
              <a:p>
                <a:pPr>
                  <a:defRPr sz="800" b="0" i="0" u="none" strike="noStrike" baseline="0">
                    <a:solidFill>
                      <a:srgbClr val="FFFFFF"/>
                    </a:solidFill>
                    <a:latin typeface="Arial"/>
                    <a:ea typeface="Arial"/>
                    <a:cs typeface="Arial"/>
                  </a:defRPr>
                </a:pPr>
                <a:r>
                  <a:rPr lang="en-HK"/>
                  <a:t>Costs</a:t>
                </a:r>
              </a:p>
            </c:rich>
          </c:tx>
          <c:layout>
            <c:manualLayout>
              <c:xMode val="edge"/>
              <c:yMode val="edge"/>
              <c:x val="3.6232993362346394E-2"/>
              <c:y val="0.38809578944595657"/>
            </c:manualLayout>
          </c:layout>
          <c:overlay val="0"/>
          <c:spPr>
            <a:noFill/>
            <a:ln w="25400">
              <a:noFill/>
            </a:ln>
          </c:spPr>
        </c:title>
        <c:numFmt formatCode="&quot;$&quot;#,##0_);\(&quot;$&quot;#,##0\)"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Arial"/>
                <a:ea typeface="Arial"/>
                <a:cs typeface="Arial"/>
              </a:defRPr>
            </a:pPr>
            <a:endParaRPr lang="en-US"/>
          </a:p>
        </c:txPr>
        <c:crossAx val="1769740560"/>
        <c:crosses val="autoZero"/>
        <c:crossBetween val="midCat"/>
      </c:valAx>
      <c:spPr>
        <a:noFill/>
        <a:ln w="12700">
          <a:solidFill>
            <a:srgbClr val="FFFFFF"/>
          </a:solidFill>
          <a:prstDash val="solid"/>
        </a:ln>
      </c:spPr>
    </c:plotArea>
    <c:legend>
      <c:legendPos val="r"/>
      <c:layout>
        <c:manualLayout>
          <c:xMode val="edge"/>
          <c:yMode val="edge"/>
          <c:x val="0.73190646591939723"/>
          <c:y val="0.45412038433095331"/>
          <c:w val="0.25604648642724787"/>
          <c:h val="5.3141747102558368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gradFill rotWithShape="0">
      <a:gsLst>
        <a:gs pos="0">
          <a:srgbClr xmlns:mc="http://schemas.openxmlformats.org/markup-compatibility/2006" xmlns:a14="http://schemas.microsoft.com/office/drawing/2010/main" val="005E76" mc:Ignorable="a14" a14:legacySpreadsheetColorIndex="40">
            <a:gamma/>
            <a:shade val="46275"/>
            <a:invGamma/>
          </a:srgbClr>
        </a:gs>
        <a:gs pos="100000">
          <a:srgbClr xmlns:mc="http://schemas.openxmlformats.org/markup-compatibility/2006" xmlns:a14="http://schemas.microsoft.com/office/drawing/2010/main" val="00CCFF" mc:Ignorable="a14" a14:legacySpreadsheetColorIndex="40"/>
        </a:gs>
      </a:gsLst>
      <a:lin ang="5400000" scaled="1"/>
    </a:grad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861003834141499"/>
          <c:y val="6.7337406477524675E-2"/>
          <c:w val="0.78517593448445155"/>
          <c:h val="0.71062454495430294"/>
        </c:manualLayout>
      </c:layout>
      <c:lineChart>
        <c:grouping val="standard"/>
        <c:varyColors val="0"/>
        <c:ser>
          <c:idx val="0"/>
          <c:order val="0"/>
          <c:tx>
            <c:strRef>
              <c:f>'JaxWorks Break-Even Analysis'!$CI$7:$CI$8</c:f>
              <c:strCache>
                <c:ptCount val="2"/>
                <c:pt idx="0">
                  <c:v>Fixed</c:v>
                </c:pt>
                <c:pt idx="1">
                  <c:v>Costs</c:v>
                </c:pt>
              </c:strCache>
            </c:strRef>
          </c:tx>
          <c:spPr>
            <a:ln w="25400">
              <a:solidFill>
                <a:srgbClr val="FF0000"/>
              </a:solidFill>
              <a:prstDash val="solid"/>
            </a:ln>
          </c:spPr>
          <c:marker>
            <c:symbol val="none"/>
          </c:marker>
          <c:cat>
            <c:numRef>
              <c:f>'JaxWorks Break-Even Analysis'!$CH$9:$CH$27</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'JaxWorks Break-Even Analysis'!$CI$9:$CI$27</c:f>
              <c:numCache>
                <c:formatCode>"$"#,##0_);\("$"#,##0\)</c:formatCode>
                <c:ptCount val="19"/>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numCache>
            </c:numRef>
          </c:val>
          <c:smooth val="0"/>
          <c:extLst>
            <c:ext xmlns:c16="http://schemas.microsoft.com/office/drawing/2014/chart" uri="{C3380CC4-5D6E-409C-BE32-E72D297353CC}">
              <c16:uniqueId val="{00000000-4C82-4A6A-ADC9-9106F6668B60}"/>
            </c:ext>
          </c:extLst>
        </c:ser>
        <c:ser>
          <c:idx val="1"/>
          <c:order val="1"/>
          <c:tx>
            <c:strRef>
              <c:f>'JaxWorks Break-Even Analysis'!$CK$7:$CK$8</c:f>
              <c:strCache>
                <c:ptCount val="2"/>
                <c:pt idx="0">
                  <c:v>Total</c:v>
                </c:pt>
                <c:pt idx="1">
                  <c:v>Costs</c:v>
                </c:pt>
              </c:strCache>
            </c:strRef>
          </c:tx>
          <c:spPr>
            <a:ln w="25400">
              <a:solidFill>
                <a:srgbClr val="00FFFF"/>
              </a:solidFill>
              <a:prstDash val="solid"/>
            </a:ln>
          </c:spPr>
          <c:marker>
            <c:symbol val="none"/>
          </c:marker>
          <c:cat>
            <c:numRef>
              <c:f>'JaxWorks Break-Even Analysis'!$CH$9:$CH$27</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'JaxWorks Break-Even Analysis'!$CK$9:$CK$27</c:f>
              <c:numCache>
                <c:formatCode>"$"#,##0_);\("$"#,##0\)</c:formatCode>
                <c:ptCount val="19"/>
                <c:pt idx="0">
                  <c:v>65</c:v>
                </c:pt>
                <c:pt idx="1">
                  <c:v>80</c:v>
                </c:pt>
                <c:pt idx="2">
                  <c:v>95</c:v>
                </c:pt>
                <c:pt idx="3">
                  <c:v>110</c:v>
                </c:pt>
                <c:pt idx="4">
                  <c:v>125</c:v>
                </c:pt>
                <c:pt idx="5">
                  <c:v>140</c:v>
                </c:pt>
                <c:pt idx="6">
                  <c:v>155</c:v>
                </c:pt>
                <c:pt idx="7">
                  <c:v>170</c:v>
                </c:pt>
                <c:pt idx="8">
                  <c:v>185</c:v>
                </c:pt>
                <c:pt idx="9">
                  <c:v>200</c:v>
                </c:pt>
                <c:pt idx="10">
                  <c:v>215</c:v>
                </c:pt>
                <c:pt idx="11">
                  <c:v>230</c:v>
                </c:pt>
                <c:pt idx="12">
                  <c:v>245</c:v>
                </c:pt>
                <c:pt idx="13">
                  <c:v>260</c:v>
                </c:pt>
                <c:pt idx="14">
                  <c:v>275</c:v>
                </c:pt>
                <c:pt idx="15">
                  <c:v>290</c:v>
                </c:pt>
                <c:pt idx="16">
                  <c:v>305</c:v>
                </c:pt>
                <c:pt idx="17">
                  <c:v>320</c:v>
                </c:pt>
                <c:pt idx="18">
                  <c:v>335</c:v>
                </c:pt>
              </c:numCache>
            </c:numRef>
          </c:val>
          <c:smooth val="0"/>
          <c:extLst>
            <c:ext xmlns:c16="http://schemas.microsoft.com/office/drawing/2014/chart" uri="{C3380CC4-5D6E-409C-BE32-E72D297353CC}">
              <c16:uniqueId val="{00000001-4C82-4A6A-ADC9-9106F6668B60}"/>
            </c:ext>
          </c:extLst>
        </c:ser>
        <c:ser>
          <c:idx val="2"/>
          <c:order val="2"/>
          <c:tx>
            <c:strRef>
              <c:f>'JaxWorks Break-Even Analysis'!$CL$7:$CL$8</c:f>
              <c:strCache>
                <c:ptCount val="2"/>
                <c:pt idx="0">
                  <c:v>Total</c:v>
                </c:pt>
                <c:pt idx="1">
                  <c:v>Sales</c:v>
                </c:pt>
              </c:strCache>
            </c:strRef>
          </c:tx>
          <c:spPr>
            <a:ln w="25400">
              <a:solidFill>
                <a:srgbClr val="800000"/>
              </a:solidFill>
              <a:prstDash val="solid"/>
            </a:ln>
          </c:spPr>
          <c:marker>
            <c:symbol val="none"/>
          </c:marker>
          <c:cat>
            <c:numRef>
              <c:f>'JaxWorks Break-Even Analysis'!$CH$9:$CH$27</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'JaxWorks Break-Even Analysis'!$CL$9:$CL$27</c:f>
              <c:numCache>
                <c:formatCode>"$"#,##0_);\("$"#,##0\)</c:formatCode>
                <c:ptCount val="19"/>
                <c:pt idx="0">
                  <c:v>20</c:v>
                </c:pt>
                <c:pt idx="1">
                  <c:v>40</c:v>
                </c:pt>
                <c:pt idx="2">
                  <c:v>60</c:v>
                </c:pt>
                <c:pt idx="3">
                  <c:v>80</c:v>
                </c:pt>
                <c:pt idx="4">
                  <c:v>100</c:v>
                </c:pt>
                <c:pt idx="5">
                  <c:v>120</c:v>
                </c:pt>
                <c:pt idx="6">
                  <c:v>140</c:v>
                </c:pt>
                <c:pt idx="7">
                  <c:v>160</c:v>
                </c:pt>
                <c:pt idx="8">
                  <c:v>180</c:v>
                </c:pt>
                <c:pt idx="9">
                  <c:v>200</c:v>
                </c:pt>
                <c:pt idx="10">
                  <c:v>220</c:v>
                </c:pt>
                <c:pt idx="11">
                  <c:v>240</c:v>
                </c:pt>
                <c:pt idx="12">
                  <c:v>260</c:v>
                </c:pt>
                <c:pt idx="13">
                  <c:v>280</c:v>
                </c:pt>
                <c:pt idx="14">
                  <c:v>300</c:v>
                </c:pt>
                <c:pt idx="15">
                  <c:v>320</c:v>
                </c:pt>
                <c:pt idx="16">
                  <c:v>340</c:v>
                </c:pt>
                <c:pt idx="17">
                  <c:v>360</c:v>
                </c:pt>
                <c:pt idx="18">
                  <c:v>380</c:v>
                </c:pt>
              </c:numCache>
            </c:numRef>
          </c:val>
          <c:smooth val="0"/>
          <c:extLst>
            <c:ext xmlns:c16="http://schemas.microsoft.com/office/drawing/2014/chart" uri="{C3380CC4-5D6E-409C-BE32-E72D297353CC}">
              <c16:uniqueId val="{00000002-4C82-4A6A-ADC9-9106F6668B60}"/>
            </c:ext>
          </c:extLst>
        </c:ser>
        <c:dLbls>
          <c:showLegendKey val="0"/>
          <c:showVal val="0"/>
          <c:showCatName val="0"/>
          <c:showSerName val="0"/>
          <c:showPercent val="0"/>
          <c:showBubbleSize val="0"/>
        </c:dLbls>
        <c:smooth val="0"/>
        <c:axId val="1769744560"/>
        <c:axId val="1"/>
      </c:lineChart>
      <c:catAx>
        <c:axId val="1769744560"/>
        <c:scaling>
          <c:orientation val="minMax"/>
        </c:scaling>
        <c:delete val="0"/>
        <c:axPos val="b"/>
        <c:title>
          <c:tx>
            <c:rich>
              <a:bodyPr/>
              <a:lstStyle/>
              <a:p>
                <a:pPr>
                  <a:defRPr sz="800" b="1" i="0" u="none" strike="noStrike" baseline="0">
                    <a:solidFill>
                      <a:srgbClr val="FFFFFF"/>
                    </a:solidFill>
                    <a:latin typeface="Times New Roman"/>
                    <a:ea typeface="Times New Roman"/>
                    <a:cs typeface="Times New Roman"/>
                  </a:defRPr>
                </a:pPr>
                <a:r>
                  <a:rPr lang="en-HK"/>
                  <a:t>Volume (units)</a:t>
                </a:r>
              </a:p>
            </c:rich>
          </c:tx>
          <c:layout>
            <c:manualLayout>
              <c:xMode val="edge"/>
              <c:yMode val="edge"/>
              <c:x val="0.47470522113529878"/>
              <c:y val="0.85103020101382243"/>
            </c:manualLayout>
          </c:layout>
          <c:overlay val="0"/>
          <c:spPr>
            <a:noFill/>
            <a:ln w="25400">
              <a:noFill/>
            </a:ln>
          </c:spPr>
        </c:title>
        <c:numFmt formatCode="General"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Times New Roman"/>
                <a:ea typeface="Times New Roman"/>
                <a:cs typeface="Times New Roman"/>
              </a:defRPr>
            </a:pPr>
            <a:endParaRPr lang="en-US"/>
          </a:p>
        </c:txPr>
        <c:crossAx val="1"/>
        <c:crosses val="autoZero"/>
        <c:auto val="0"/>
        <c:lblAlgn val="ctr"/>
        <c:lblOffset val="100"/>
        <c:tickLblSkip val="1"/>
        <c:tickMarkSkip val="1"/>
        <c:noMultiLvlLbl val="0"/>
      </c:catAx>
      <c:valAx>
        <c:axId val="1"/>
        <c:scaling>
          <c:orientation val="minMax"/>
        </c:scaling>
        <c:delete val="0"/>
        <c:axPos val="l"/>
        <c:title>
          <c:tx>
            <c:rich>
              <a:bodyPr/>
              <a:lstStyle/>
              <a:p>
                <a:pPr>
                  <a:defRPr sz="800" b="1" i="0" u="none" strike="noStrike" baseline="0">
                    <a:solidFill>
                      <a:srgbClr val="FFFFFF"/>
                    </a:solidFill>
                    <a:latin typeface="Times New Roman"/>
                    <a:ea typeface="Times New Roman"/>
                    <a:cs typeface="Times New Roman"/>
                  </a:defRPr>
                </a:pPr>
                <a:r>
                  <a:rPr lang="en-HK"/>
                  <a:t>Costs</a:t>
                </a:r>
              </a:p>
            </c:rich>
          </c:tx>
          <c:layout>
            <c:manualLayout>
              <c:xMode val="edge"/>
              <c:yMode val="edge"/>
              <c:x val="3.8246392224170991E-2"/>
              <c:y val="0.38253377722338483"/>
            </c:manualLayout>
          </c:layout>
          <c:overlay val="0"/>
          <c:spPr>
            <a:noFill/>
            <a:ln w="25400">
              <a:noFill/>
            </a:ln>
          </c:spPr>
        </c:title>
        <c:numFmt formatCode="&quot;$&quot;#,##0_);\(&quot;$&quot;#,##0\)"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Times New Roman"/>
                <a:ea typeface="Times New Roman"/>
                <a:cs typeface="Times New Roman"/>
              </a:defRPr>
            </a:pPr>
            <a:endParaRPr lang="en-US"/>
          </a:p>
        </c:txPr>
        <c:crossAx val="1769744560"/>
        <c:crosses val="autoZero"/>
        <c:crossBetween val="midCat"/>
      </c:valAx>
      <c:spPr>
        <a:noFill/>
        <a:ln w="12700">
          <a:solidFill>
            <a:srgbClr val="FFFFFF"/>
          </a:solidFill>
          <a:prstDash val="solid"/>
        </a:ln>
      </c:spPr>
    </c:plotArea>
    <c:legend>
      <c:legendPos val="b"/>
      <c:layout>
        <c:manualLayout>
          <c:xMode val="edge"/>
          <c:yMode val="edge"/>
          <c:x val="0.21260494501083288"/>
          <c:y val="0.9369928475808752"/>
          <c:w val="0.56694652002888768"/>
          <c:h val="5.0144877164114116E-2"/>
        </c:manualLayout>
      </c:layout>
      <c:overlay val="0"/>
      <c:spPr>
        <a:solidFill>
          <a:srgbClr val="FFFFCC"/>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gradFill rotWithShape="0">
      <a:gsLst>
        <a:gs pos="0">
          <a:srgbClr xmlns:mc="http://schemas.openxmlformats.org/markup-compatibility/2006" xmlns:a14="http://schemas.microsoft.com/office/drawing/2010/main" val="475E76" mc:Ignorable="a14" a14:legacySpreadsheetColorIndex="44">
            <a:gamma/>
            <a:shade val="46275"/>
            <a:invGamma/>
          </a:srgbClr>
        </a:gs>
        <a:gs pos="100000">
          <a:srgbClr xmlns:mc="http://schemas.openxmlformats.org/markup-compatibility/2006" xmlns:a14="http://schemas.microsoft.com/office/drawing/2010/main" val="99CCFF" mc:Ignorable="a14" a14:legacySpreadsheetColorIndex="44"/>
        </a:gs>
      </a:gsLst>
      <a:lin ang="5400000" scaled="1"/>
    </a:grad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648729965385605"/>
          <c:y val="6.1656165010718675E-2"/>
          <c:w val="0.71231305047397797"/>
          <c:h val="0.76393492257183138"/>
        </c:manualLayout>
      </c:layout>
      <c:lineChart>
        <c:grouping val="standard"/>
        <c:varyColors val="0"/>
        <c:ser>
          <c:idx val="0"/>
          <c:order val="0"/>
          <c:tx>
            <c:strRef>
              <c:f>'JaxWorks Break-Even Analysis'!$CZ$8</c:f>
              <c:strCache>
                <c:ptCount val="1"/>
                <c:pt idx="0">
                  <c:v>Revenue</c:v>
                </c:pt>
              </c:strCache>
            </c:strRef>
          </c:tx>
          <c:spPr>
            <a:ln w="12700">
              <a:solidFill>
                <a:srgbClr val="FF0000"/>
              </a:solidFill>
              <a:prstDash val="solid"/>
            </a:ln>
          </c:spPr>
          <c:marker>
            <c:symbol val="none"/>
          </c:marker>
          <c:cat>
            <c:numRef>
              <c:f>'JaxWorks Break-Even Analysis'!$CX$9:$CX$26</c:f>
              <c:numCache>
                <c:formatCode>General</c:formatCode>
                <c:ptCount val="18"/>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numCache>
            </c:numRef>
          </c:cat>
          <c:val>
            <c:numRef>
              <c:f>'JaxWorks Break-Even Analysis'!$CZ$9:$CZ$26</c:f>
              <c:numCache>
                <c:formatCode>"$"#,##0_);\("$"#,##0\)</c:formatCode>
                <c:ptCount val="18"/>
                <c:pt idx="0">
                  <c:v>100</c:v>
                </c:pt>
                <c:pt idx="1">
                  <c:v>195</c:v>
                </c:pt>
                <c:pt idx="2">
                  <c:v>285</c:v>
                </c:pt>
                <c:pt idx="3">
                  <c:v>370</c:v>
                </c:pt>
                <c:pt idx="4">
                  <c:v>450</c:v>
                </c:pt>
                <c:pt idx="5">
                  <c:v>525</c:v>
                </c:pt>
                <c:pt idx="6">
                  <c:v>595</c:v>
                </c:pt>
                <c:pt idx="7">
                  <c:v>660</c:v>
                </c:pt>
                <c:pt idx="8">
                  <c:v>720</c:v>
                </c:pt>
                <c:pt idx="9">
                  <c:v>775</c:v>
                </c:pt>
                <c:pt idx="10">
                  <c:v>825</c:v>
                </c:pt>
                <c:pt idx="11">
                  <c:v>870</c:v>
                </c:pt>
                <c:pt idx="12">
                  <c:v>909.99999999999989</c:v>
                </c:pt>
                <c:pt idx="13">
                  <c:v>945.00000000000011</c:v>
                </c:pt>
                <c:pt idx="14">
                  <c:v>975</c:v>
                </c:pt>
                <c:pt idx="15">
                  <c:v>1000</c:v>
                </c:pt>
                <c:pt idx="16">
                  <c:v>1020</c:v>
                </c:pt>
                <c:pt idx="17">
                  <c:v>1035</c:v>
                </c:pt>
              </c:numCache>
            </c:numRef>
          </c:val>
          <c:smooth val="0"/>
          <c:extLst>
            <c:ext xmlns:c16="http://schemas.microsoft.com/office/drawing/2014/chart" uri="{C3380CC4-5D6E-409C-BE32-E72D297353CC}">
              <c16:uniqueId val="{00000000-DE21-41ED-9B9B-E4AB82C654C7}"/>
            </c:ext>
          </c:extLst>
        </c:ser>
        <c:dLbls>
          <c:showLegendKey val="0"/>
          <c:showVal val="0"/>
          <c:showCatName val="0"/>
          <c:showSerName val="0"/>
          <c:showPercent val="0"/>
          <c:showBubbleSize val="0"/>
        </c:dLbls>
        <c:smooth val="0"/>
        <c:axId val="1769753360"/>
        <c:axId val="1"/>
      </c:lineChart>
      <c:catAx>
        <c:axId val="1769753360"/>
        <c:scaling>
          <c:orientation val="minMax"/>
        </c:scaling>
        <c:delete val="0"/>
        <c:axPos val="b"/>
        <c:title>
          <c:tx>
            <c:rich>
              <a:bodyPr/>
              <a:lstStyle/>
              <a:p>
                <a:pPr>
                  <a:defRPr sz="800" b="1" i="0" u="none" strike="noStrike" baseline="0">
                    <a:solidFill>
                      <a:srgbClr val="FFFFFF"/>
                    </a:solidFill>
                    <a:latin typeface="Times New Roman"/>
                    <a:ea typeface="Times New Roman"/>
                    <a:cs typeface="Times New Roman"/>
                  </a:defRPr>
                </a:pPr>
                <a:r>
                  <a:rPr lang="en-HK"/>
                  <a:t>Volume (units)</a:t>
                </a:r>
              </a:p>
            </c:rich>
          </c:tx>
          <c:layout>
            <c:manualLayout>
              <c:xMode val="edge"/>
              <c:yMode val="edge"/>
              <c:x val="0.47766875149431465"/>
              <c:y val="0.9022853416202733"/>
            </c:manualLayout>
          </c:layout>
          <c:overlay val="0"/>
          <c:spPr>
            <a:noFill/>
            <a:ln w="25400">
              <a:noFill/>
            </a:ln>
          </c:spPr>
        </c:title>
        <c:numFmt formatCode="General"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Times New Roman"/>
                <a:ea typeface="Times New Roman"/>
                <a:cs typeface="Times New Roman"/>
              </a:defRPr>
            </a:pPr>
            <a:endParaRPr lang="en-US"/>
          </a:p>
        </c:txPr>
        <c:crossAx val="1"/>
        <c:crosses val="autoZero"/>
        <c:auto val="0"/>
        <c:lblAlgn val="ctr"/>
        <c:lblOffset val="100"/>
        <c:tickLblSkip val="1"/>
        <c:tickMarkSkip val="1"/>
        <c:noMultiLvlLbl val="0"/>
      </c:catAx>
      <c:valAx>
        <c:axId val="1"/>
        <c:scaling>
          <c:orientation val="minMax"/>
        </c:scaling>
        <c:delete val="0"/>
        <c:axPos val="l"/>
        <c:title>
          <c:tx>
            <c:rich>
              <a:bodyPr/>
              <a:lstStyle/>
              <a:p>
                <a:pPr>
                  <a:defRPr sz="800" b="1" i="0" u="none" strike="noStrike" baseline="0">
                    <a:solidFill>
                      <a:srgbClr val="FFFFFF"/>
                    </a:solidFill>
                    <a:latin typeface="Times New Roman"/>
                    <a:ea typeface="Times New Roman"/>
                    <a:cs typeface="Times New Roman"/>
                  </a:defRPr>
                </a:pPr>
                <a:r>
                  <a:rPr lang="en-HK"/>
                  <a:t>Revenue</a:t>
                </a:r>
              </a:p>
            </c:rich>
          </c:tx>
          <c:layout>
            <c:manualLayout>
              <c:xMode val="edge"/>
              <c:yMode val="edge"/>
              <c:x val="4.469415218660254E-2"/>
              <c:y val="0.37895984348051481"/>
            </c:manualLayout>
          </c:layout>
          <c:overlay val="0"/>
          <c:spPr>
            <a:noFill/>
            <a:ln w="25400">
              <a:noFill/>
            </a:ln>
          </c:spPr>
        </c:title>
        <c:numFmt formatCode="&quot;$&quot;#,##0_);\(&quot;$&quot;#,##0\)"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Times New Roman"/>
                <a:ea typeface="Times New Roman"/>
                <a:cs typeface="Times New Roman"/>
              </a:defRPr>
            </a:pPr>
            <a:endParaRPr lang="en-US"/>
          </a:p>
        </c:txPr>
        <c:crossAx val="1769753360"/>
        <c:crosses val="autoZero"/>
        <c:crossBetween val="midCat"/>
      </c:valAx>
      <c:spPr>
        <a:noFill/>
        <a:ln w="12700">
          <a:solidFill>
            <a:srgbClr val="FFFFFF"/>
          </a:solidFill>
          <a:prstDash val="solid"/>
        </a:ln>
      </c:spPr>
    </c:plotArea>
    <c:plotVisOnly val="1"/>
    <c:dispBlanksAs val="gap"/>
    <c:showDLblsOverMax val="0"/>
  </c:chart>
  <c:spPr>
    <a:gradFill rotWithShape="0">
      <a:gsLst>
        <a:gs pos="0">
          <a:srgbClr xmlns:mc="http://schemas.openxmlformats.org/markup-compatibility/2006" xmlns:a14="http://schemas.microsoft.com/office/drawing/2010/main" val="475E76" mc:Ignorable="a14" a14:legacySpreadsheetColorIndex="44">
            <a:gamma/>
            <a:shade val="46275"/>
            <a:invGamma/>
          </a:srgbClr>
        </a:gs>
        <a:gs pos="100000">
          <a:srgbClr xmlns:mc="http://schemas.openxmlformats.org/markup-compatibility/2006" xmlns:a14="http://schemas.microsoft.com/office/drawing/2010/main" val="99CCFF" mc:Ignorable="a14" a14:legacySpreadsheetColorIndex="44"/>
        </a:gs>
      </a:gsLst>
      <a:lin ang="5400000" scaled="1"/>
    </a:grad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771055651612374"/>
          <c:y val="6.2140730671989323E-2"/>
          <c:w val="0.63905154073921289"/>
          <c:h val="0.71678610263503961"/>
        </c:manualLayout>
      </c:layout>
      <c:lineChart>
        <c:grouping val="standard"/>
        <c:varyColors val="0"/>
        <c:ser>
          <c:idx val="0"/>
          <c:order val="0"/>
          <c:tx>
            <c:strRef>
              <c:f>'JaxWorks Break-Even Analysis'!$DO$8:$DO$9</c:f>
              <c:strCache>
                <c:ptCount val="2"/>
                <c:pt idx="0">
                  <c:v>Contribution</c:v>
                </c:pt>
                <c:pt idx="1">
                  <c:v>margin</c:v>
                </c:pt>
              </c:strCache>
            </c:strRef>
          </c:tx>
          <c:spPr>
            <a:ln w="12700">
              <a:solidFill>
                <a:srgbClr val="FF0000"/>
              </a:solidFill>
              <a:prstDash val="solid"/>
            </a:ln>
          </c:spPr>
          <c:marker>
            <c:symbol val="none"/>
          </c:marker>
          <c:cat>
            <c:numRef>
              <c:f>'JaxWorks Break-Even Analysis'!$DK$10:$DK$27</c:f>
              <c:numCache>
                <c:formatCode>General</c:formatCode>
                <c:ptCount val="18"/>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numCache>
            </c:numRef>
          </c:cat>
          <c:val>
            <c:numRef>
              <c:f>'JaxWorks Break-Even Analysis'!$DO$10:$DO$27</c:f>
              <c:numCache>
                <c:formatCode>"$"#,##0_);\("$"#,##0\)</c:formatCode>
                <c:ptCount val="18"/>
                <c:pt idx="0">
                  <c:v>25</c:v>
                </c:pt>
                <c:pt idx="1">
                  <c:v>53.75</c:v>
                </c:pt>
                <c:pt idx="2">
                  <c:v>86.25</c:v>
                </c:pt>
                <c:pt idx="3">
                  <c:v>122.5</c:v>
                </c:pt>
                <c:pt idx="4">
                  <c:v>162.5</c:v>
                </c:pt>
                <c:pt idx="5">
                  <c:v>206.25</c:v>
                </c:pt>
                <c:pt idx="6">
                  <c:v>253.75</c:v>
                </c:pt>
                <c:pt idx="7">
                  <c:v>305</c:v>
                </c:pt>
                <c:pt idx="8">
                  <c:v>360</c:v>
                </c:pt>
                <c:pt idx="9">
                  <c:v>418.75</c:v>
                </c:pt>
                <c:pt idx="10">
                  <c:v>481.25</c:v>
                </c:pt>
                <c:pt idx="11">
                  <c:v>547.5</c:v>
                </c:pt>
                <c:pt idx="12">
                  <c:v>617.5</c:v>
                </c:pt>
                <c:pt idx="13">
                  <c:v>691.25</c:v>
                </c:pt>
                <c:pt idx="14">
                  <c:v>768.75</c:v>
                </c:pt>
                <c:pt idx="15">
                  <c:v>850</c:v>
                </c:pt>
                <c:pt idx="16">
                  <c:v>935</c:v>
                </c:pt>
                <c:pt idx="17">
                  <c:v>1023.7500000000001</c:v>
                </c:pt>
              </c:numCache>
            </c:numRef>
          </c:val>
          <c:smooth val="0"/>
          <c:extLst>
            <c:ext xmlns:c16="http://schemas.microsoft.com/office/drawing/2014/chart" uri="{C3380CC4-5D6E-409C-BE32-E72D297353CC}">
              <c16:uniqueId val="{00000000-1694-4BA6-983A-D5248BEB31A6}"/>
            </c:ext>
          </c:extLst>
        </c:ser>
        <c:dLbls>
          <c:showLegendKey val="0"/>
          <c:showVal val="0"/>
          <c:showCatName val="0"/>
          <c:showSerName val="0"/>
          <c:showPercent val="0"/>
          <c:showBubbleSize val="0"/>
        </c:dLbls>
        <c:smooth val="0"/>
        <c:axId val="1769751360"/>
        <c:axId val="1"/>
      </c:lineChart>
      <c:catAx>
        <c:axId val="1769751360"/>
        <c:scaling>
          <c:orientation val="minMax"/>
        </c:scaling>
        <c:delete val="0"/>
        <c:axPos val="b"/>
        <c:title>
          <c:tx>
            <c:rich>
              <a:bodyPr/>
              <a:lstStyle/>
              <a:p>
                <a:pPr>
                  <a:defRPr sz="800" b="0" i="0" u="none" strike="noStrike" baseline="0">
                    <a:solidFill>
                      <a:srgbClr val="FFFFFF"/>
                    </a:solidFill>
                    <a:latin typeface="Times New Roman"/>
                    <a:ea typeface="Times New Roman"/>
                    <a:cs typeface="Times New Roman"/>
                  </a:defRPr>
                </a:pPr>
                <a:r>
                  <a:rPr lang="en-HK"/>
                  <a:t>Volume (units)</a:t>
                </a:r>
              </a:p>
            </c:rich>
          </c:tx>
          <c:layout>
            <c:manualLayout>
              <c:xMode val="edge"/>
              <c:yMode val="edge"/>
              <c:x val="0.4311365684029021"/>
              <c:y val="0.85262863015055113"/>
            </c:manualLayout>
          </c:layout>
          <c:overlay val="0"/>
          <c:spPr>
            <a:noFill/>
            <a:ln w="25400">
              <a:noFill/>
            </a:ln>
          </c:spPr>
        </c:title>
        <c:numFmt formatCode="General"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Times New Roman"/>
                <a:ea typeface="Times New Roman"/>
                <a:cs typeface="Times New Roman"/>
              </a:defRPr>
            </a:pPr>
            <a:endParaRPr lang="en-US"/>
          </a:p>
        </c:txPr>
        <c:crossAx val="1"/>
        <c:crosses val="autoZero"/>
        <c:auto val="0"/>
        <c:lblAlgn val="ctr"/>
        <c:lblOffset val="100"/>
        <c:tickLblSkip val="1"/>
        <c:tickMarkSkip val="1"/>
        <c:noMultiLvlLbl val="0"/>
      </c:catAx>
      <c:valAx>
        <c:axId val="1"/>
        <c:scaling>
          <c:orientation val="minMax"/>
        </c:scaling>
        <c:delete val="0"/>
        <c:axPos val="l"/>
        <c:title>
          <c:tx>
            <c:rich>
              <a:bodyPr/>
              <a:lstStyle/>
              <a:p>
                <a:pPr>
                  <a:defRPr sz="800" b="0" i="0" u="none" strike="noStrike" baseline="0">
                    <a:solidFill>
                      <a:srgbClr val="FFFFFF"/>
                    </a:solidFill>
                    <a:latin typeface="Times New Roman"/>
                    <a:ea typeface="Times New Roman"/>
                    <a:cs typeface="Times New Roman"/>
                  </a:defRPr>
                </a:pPr>
                <a:r>
                  <a:rPr lang="en-HK"/>
                  <a:t>Contribution Margin</a:t>
                </a:r>
              </a:p>
            </c:rich>
          </c:tx>
          <c:layout>
            <c:manualLayout>
              <c:xMode val="edge"/>
              <c:yMode val="edge"/>
              <c:x val="4.081766328074813E-2"/>
              <c:y val="0.28902665428832242"/>
            </c:manualLayout>
          </c:layout>
          <c:overlay val="0"/>
          <c:spPr>
            <a:noFill/>
            <a:ln w="25400">
              <a:noFill/>
            </a:ln>
          </c:spPr>
        </c:title>
        <c:numFmt formatCode="&quot;$&quot;#,##0_);\(&quot;$&quot;#,##0\)"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Times New Roman"/>
                <a:ea typeface="Times New Roman"/>
                <a:cs typeface="Times New Roman"/>
              </a:defRPr>
            </a:pPr>
            <a:endParaRPr lang="en-US"/>
          </a:p>
        </c:txPr>
        <c:crossAx val="1769751360"/>
        <c:crosses val="autoZero"/>
        <c:crossBetween val="midCat"/>
      </c:valAx>
      <c:spPr>
        <a:noFill/>
        <a:ln w="12700">
          <a:solidFill>
            <a:srgbClr val="FFFFFF"/>
          </a:solidFill>
          <a:prstDash val="solid"/>
        </a:ln>
      </c:spPr>
    </c:plotArea>
    <c:legend>
      <c:legendPos val="b"/>
      <c:layout>
        <c:manualLayout>
          <c:xMode val="edge"/>
          <c:yMode val="edge"/>
          <c:x val="0.2308749079317316"/>
          <c:y val="0.93644635989416469"/>
          <c:w val="0.31633689042579799"/>
          <c:h val="5.0579664500456423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gradFill rotWithShape="0">
      <a:gsLst>
        <a:gs pos="0">
          <a:srgbClr xmlns:mc="http://schemas.openxmlformats.org/markup-compatibility/2006" xmlns:a14="http://schemas.microsoft.com/office/drawing/2010/main" val="475E76" mc:Ignorable="a14" a14:legacySpreadsheetColorIndex="44">
            <a:gamma/>
            <a:shade val="46275"/>
            <a:invGamma/>
          </a:srgbClr>
        </a:gs>
        <a:gs pos="100000">
          <a:srgbClr xmlns:mc="http://schemas.openxmlformats.org/markup-compatibility/2006" xmlns:a14="http://schemas.microsoft.com/office/drawing/2010/main" val="99CCFF" mc:Ignorable="a14" a14:legacySpreadsheetColorIndex="44"/>
        </a:gs>
      </a:gsLst>
      <a:lin ang="5400000" scaled="1"/>
    </a:grad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FFFFFF"/>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11099006703407"/>
          <c:y val="6.7337406477524675E-2"/>
          <c:w val="0.78368458826072862"/>
          <c:h val="0.71062454495430294"/>
        </c:manualLayout>
      </c:layout>
      <c:lineChart>
        <c:grouping val="standard"/>
        <c:varyColors val="0"/>
        <c:ser>
          <c:idx val="0"/>
          <c:order val="0"/>
          <c:tx>
            <c:strRef>
              <c:f>'JaxWorks Break-Even Analysis'!$CI$7:$CI$8</c:f>
              <c:strCache>
                <c:ptCount val="2"/>
                <c:pt idx="0">
                  <c:v>Fixed</c:v>
                </c:pt>
                <c:pt idx="1">
                  <c:v>Costs</c:v>
                </c:pt>
              </c:strCache>
            </c:strRef>
          </c:tx>
          <c:spPr>
            <a:ln w="25400">
              <a:solidFill>
                <a:srgbClr val="FF0000"/>
              </a:solidFill>
              <a:prstDash val="solid"/>
            </a:ln>
          </c:spPr>
          <c:marker>
            <c:symbol val="none"/>
          </c:marker>
          <c:cat>
            <c:numRef>
              <c:f>'JaxWorks Break-Even Analysis'!$CH$9:$CH$27</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'JaxWorks Break-Even Analysis'!$CI$9:$CI$27</c:f>
              <c:numCache>
                <c:formatCode>"$"#,##0_);\("$"#,##0\)</c:formatCode>
                <c:ptCount val="19"/>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numCache>
            </c:numRef>
          </c:val>
          <c:smooth val="0"/>
          <c:extLst>
            <c:ext xmlns:c16="http://schemas.microsoft.com/office/drawing/2014/chart" uri="{C3380CC4-5D6E-409C-BE32-E72D297353CC}">
              <c16:uniqueId val="{00000000-9ABC-42A7-B703-018DF1883CC6}"/>
            </c:ext>
          </c:extLst>
        </c:ser>
        <c:ser>
          <c:idx val="1"/>
          <c:order val="1"/>
          <c:tx>
            <c:strRef>
              <c:f>'JaxWorks Break-Even Analysis'!$CK$7:$CK$8</c:f>
              <c:strCache>
                <c:ptCount val="2"/>
                <c:pt idx="0">
                  <c:v>Total</c:v>
                </c:pt>
                <c:pt idx="1">
                  <c:v>Costs</c:v>
                </c:pt>
              </c:strCache>
            </c:strRef>
          </c:tx>
          <c:spPr>
            <a:ln w="25400">
              <a:solidFill>
                <a:srgbClr val="00FFFF"/>
              </a:solidFill>
              <a:prstDash val="solid"/>
            </a:ln>
          </c:spPr>
          <c:marker>
            <c:symbol val="none"/>
          </c:marker>
          <c:cat>
            <c:numRef>
              <c:f>'JaxWorks Break-Even Analysis'!$CH$9:$CH$27</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'JaxWorks Break-Even Analysis'!$CK$9:$CK$27</c:f>
              <c:numCache>
                <c:formatCode>"$"#,##0_);\("$"#,##0\)</c:formatCode>
                <c:ptCount val="19"/>
                <c:pt idx="0">
                  <c:v>65</c:v>
                </c:pt>
                <c:pt idx="1">
                  <c:v>80</c:v>
                </c:pt>
                <c:pt idx="2">
                  <c:v>95</c:v>
                </c:pt>
                <c:pt idx="3">
                  <c:v>110</c:v>
                </c:pt>
                <c:pt idx="4">
                  <c:v>125</c:v>
                </c:pt>
                <c:pt idx="5">
                  <c:v>140</c:v>
                </c:pt>
                <c:pt idx="6">
                  <c:v>155</c:v>
                </c:pt>
                <c:pt idx="7">
                  <c:v>170</c:v>
                </c:pt>
                <c:pt idx="8">
                  <c:v>185</c:v>
                </c:pt>
                <c:pt idx="9">
                  <c:v>200</c:v>
                </c:pt>
                <c:pt idx="10">
                  <c:v>215</c:v>
                </c:pt>
                <c:pt idx="11">
                  <c:v>230</c:v>
                </c:pt>
                <c:pt idx="12">
                  <c:v>245</c:v>
                </c:pt>
                <c:pt idx="13">
                  <c:v>260</c:v>
                </c:pt>
                <c:pt idx="14">
                  <c:v>275</c:v>
                </c:pt>
                <c:pt idx="15">
                  <c:v>290</c:v>
                </c:pt>
                <c:pt idx="16">
                  <c:v>305</c:v>
                </c:pt>
                <c:pt idx="17">
                  <c:v>320</c:v>
                </c:pt>
                <c:pt idx="18">
                  <c:v>335</c:v>
                </c:pt>
              </c:numCache>
            </c:numRef>
          </c:val>
          <c:smooth val="0"/>
          <c:extLst>
            <c:ext xmlns:c16="http://schemas.microsoft.com/office/drawing/2014/chart" uri="{C3380CC4-5D6E-409C-BE32-E72D297353CC}">
              <c16:uniqueId val="{00000001-9ABC-42A7-B703-018DF1883CC6}"/>
            </c:ext>
          </c:extLst>
        </c:ser>
        <c:ser>
          <c:idx val="2"/>
          <c:order val="2"/>
          <c:tx>
            <c:strRef>
              <c:f>'JaxWorks Break-Even Analysis'!$CL$7:$CL$8</c:f>
              <c:strCache>
                <c:ptCount val="2"/>
                <c:pt idx="0">
                  <c:v>Total</c:v>
                </c:pt>
                <c:pt idx="1">
                  <c:v>Sales</c:v>
                </c:pt>
              </c:strCache>
            </c:strRef>
          </c:tx>
          <c:spPr>
            <a:ln w="25400">
              <a:solidFill>
                <a:srgbClr val="800000"/>
              </a:solidFill>
              <a:prstDash val="solid"/>
            </a:ln>
          </c:spPr>
          <c:marker>
            <c:symbol val="none"/>
          </c:marker>
          <c:cat>
            <c:numRef>
              <c:f>'JaxWorks Break-Even Analysis'!$CH$9:$CH$27</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'JaxWorks Break-Even Analysis'!$CL$9:$CL$27</c:f>
              <c:numCache>
                <c:formatCode>"$"#,##0_);\("$"#,##0\)</c:formatCode>
                <c:ptCount val="19"/>
                <c:pt idx="0">
                  <c:v>20</c:v>
                </c:pt>
                <c:pt idx="1">
                  <c:v>40</c:v>
                </c:pt>
                <c:pt idx="2">
                  <c:v>60</c:v>
                </c:pt>
                <c:pt idx="3">
                  <c:v>80</c:v>
                </c:pt>
                <c:pt idx="4">
                  <c:v>100</c:v>
                </c:pt>
                <c:pt idx="5">
                  <c:v>120</c:v>
                </c:pt>
                <c:pt idx="6">
                  <c:v>140</c:v>
                </c:pt>
                <c:pt idx="7">
                  <c:v>160</c:v>
                </c:pt>
                <c:pt idx="8">
                  <c:v>180</c:v>
                </c:pt>
                <c:pt idx="9">
                  <c:v>200</c:v>
                </c:pt>
                <c:pt idx="10">
                  <c:v>220</c:v>
                </c:pt>
                <c:pt idx="11">
                  <c:v>240</c:v>
                </c:pt>
                <c:pt idx="12">
                  <c:v>260</c:v>
                </c:pt>
                <c:pt idx="13">
                  <c:v>280</c:v>
                </c:pt>
                <c:pt idx="14">
                  <c:v>300</c:v>
                </c:pt>
                <c:pt idx="15">
                  <c:v>320</c:v>
                </c:pt>
                <c:pt idx="16">
                  <c:v>340</c:v>
                </c:pt>
                <c:pt idx="17">
                  <c:v>360</c:v>
                </c:pt>
                <c:pt idx="18">
                  <c:v>380</c:v>
                </c:pt>
              </c:numCache>
            </c:numRef>
          </c:val>
          <c:smooth val="0"/>
          <c:extLst>
            <c:ext xmlns:c16="http://schemas.microsoft.com/office/drawing/2014/chart" uri="{C3380CC4-5D6E-409C-BE32-E72D297353CC}">
              <c16:uniqueId val="{00000002-9ABC-42A7-B703-018DF1883CC6}"/>
            </c:ext>
          </c:extLst>
        </c:ser>
        <c:dLbls>
          <c:showLegendKey val="0"/>
          <c:showVal val="0"/>
          <c:showCatName val="0"/>
          <c:showSerName val="0"/>
          <c:showPercent val="0"/>
          <c:showBubbleSize val="0"/>
        </c:dLbls>
        <c:smooth val="0"/>
        <c:axId val="1769744160"/>
        <c:axId val="1"/>
      </c:lineChart>
      <c:catAx>
        <c:axId val="1769744160"/>
        <c:scaling>
          <c:orientation val="minMax"/>
        </c:scaling>
        <c:delete val="0"/>
        <c:axPos val="b"/>
        <c:title>
          <c:tx>
            <c:rich>
              <a:bodyPr/>
              <a:lstStyle/>
              <a:p>
                <a:pPr>
                  <a:defRPr sz="800" b="1" i="0" u="none" strike="noStrike" baseline="0">
                    <a:solidFill>
                      <a:srgbClr val="FFFFFF"/>
                    </a:solidFill>
                    <a:latin typeface="Times New Roman"/>
                    <a:ea typeface="Times New Roman"/>
                    <a:cs typeface="Times New Roman"/>
                  </a:defRPr>
                </a:pPr>
                <a:r>
                  <a:rPr lang="en-HK"/>
                  <a:t>Volume (units)</a:t>
                </a:r>
              </a:p>
            </c:rich>
          </c:tx>
          <c:layout>
            <c:manualLayout>
              <c:xMode val="edge"/>
              <c:yMode val="edge"/>
              <c:x val="0.4741234219727169"/>
              <c:y val="0.85103020101382243"/>
            </c:manualLayout>
          </c:layout>
          <c:overlay val="0"/>
          <c:spPr>
            <a:noFill/>
            <a:ln w="25400">
              <a:noFill/>
            </a:ln>
          </c:spPr>
        </c:title>
        <c:numFmt formatCode="General"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Times New Roman"/>
                <a:ea typeface="Times New Roman"/>
                <a:cs typeface="Times New Roman"/>
              </a:defRPr>
            </a:pPr>
            <a:endParaRPr lang="en-US"/>
          </a:p>
        </c:txPr>
        <c:crossAx val="1"/>
        <c:crosses val="autoZero"/>
        <c:auto val="0"/>
        <c:lblAlgn val="ctr"/>
        <c:lblOffset val="100"/>
        <c:tickLblSkip val="1"/>
        <c:tickMarkSkip val="1"/>
        <c:noMultiLvlLbl val="0"/>
      </c:catAx>
      <c:valAx>
        <c:axId val="1"/>
        <c:scaling>
          <c:orientation val="minMax"/>
        </c:scaling>
        <c:delete val="0"/>
        <c:axPos val="l"/>
        <c:title>
          <c:tx>
            <c:rich>
              <a:bodyPr/>
              <a:lstStyle/>
              <a:p>
                <a:pPr>
                  <a:defRPr sz="800" b="1" i="0" u="none" strike="noStrike" baseline="0">
                    <a:solidFill>
                      <a:srgbClr val="FFFFFF"/>
                    </a:solidFill>
                    <a:latin typeface="Times New Roman"/>
                    <a:ea typeface="Times New Roman"/>
                    <a:cs typeface="Times New Roman"/>
                  </a:defRPr>
                </a:pPr>
                <a:r>
                  <a:rPr lang="en-HK"/>
                  <a:t>Costs</a:t>
                </a:r>
              </a:p>
            </c:rich>
          </c:tx>
          <c:layout>
            <c:manualLayout>
              <c:xMode val="edge"/>
              <c:yMode val="edge"/>
              <c:x val="3.7975905158008881E-2"/>
              <c:y val="0.38253377722338483"/>
            </c:manualLayout>
          </c:layout>
          <c:overlay val="0"/>
          <c:spPr>
            <a:noFill/>
            <a:ln w="25400">
              <a:noFill/>
            </a:ln>
          </c:spPr>
        </c:title>
        <c:numFmt formatCode="&quot;$&quot;#,##0_);\(&quot;$&quot;#,##0\)" sourceLinked="1"/>
        <c:majorTickMark val="cross"/>
        <c:minorTickMark val="none"/>
        <c:tickLblPos val="nextTo"/>
        <c:spPr>
          <a:ln w="3175">
            <a:solidFill>
              <a:srgbClr val="FFFFFF"/>
            </a:solidFill>
            <a:prstDash val="solid"/>
          </a:ln>
        </c:spPr>
        <c:txPr>
          <a:bodyPr rot="0" vert="horz"/>
          <a:lstStyle/>
          <a:p>
            <a:pPr>
              <a:defRPr sz="800" b="0" i="0" u="none" strike="noStrike" baseline="0">
                <a:solidFill>
                  <a:srgbClr val="FFFFFF"/>
                </a:solidFill>
                <a:latin typeface="Times New Roman"/>
                <a:ea typeface="Times New Roman"/>
                <a:cs typeface="Times New Roman"/>
              </a:defRPr>
            </a:pPr>
            <a:endParaRPr lang="en-US"/>
          </a:p>
        </c:txPr>
        <c:crossAx val="1769744160"/>
        <c:crosses val="autoZero"/>
        <c:crossBetween val="midCat"/>
      </c:valAx>
      <c:spPr>
        <a:noFill/>
        <a:ln w="12700">
          <a:solidFill>
            <a:srgbClr val="FFFFFF"/>
          </a:solidFill>
          <a:prstDash val="solid"/>
        </a:ln>
      </c:spPr>
    </c:plotArea>
    <c:legend>
      <c:legendPos val="b"/>
      <c:layout>
        <c:manualLayout>
          <c:xMode val="edge"/>
          <c:yMode val="edge"/>
          <c:x val="0.21519679589538365"/>
          <c:y val="0.9369928475808752"/>
          <c:w val="0.57999564241322654"/>
          <c:h val="5.0144877164114116E-2"/>
        </c:manualLayout>
      </c:layout>
      <c:overlay val="0"/>
      <c:spPr>
        <a:solidFill>
          <a:srgbClr val="FFFFCC"/>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gradFill rotWithShape="0">
      <a:gsLst>
        <a:gs pos="0">
          <a:srgbClr xmlns:mc="http://schemas.openxmlformats.org/markup-compatibility/2006" xmlns:a14="http://schemas.microsoft.com/office/drawing/2010/main" val="475E76" mc:Ignorable="a14" a14:legacySpreadsheetColorIndex="44">
            <a:gamma/>
            <a:shade val="46275"/>
            <a:invGamma/>
          </a:srgbClr>
        </a:gs>
        <a:gs pos="100000">
          <a:srgbClr xmlns:mc="http://schemas.openxmlformats.org/markup-compatibility/2006" xmlns:a14="http://schemas.microsoft.com/office/drawing/2010/main" val="99CCFF" mc:Ignorable="a14" a14:legacySpreadsheetColorIndex="44"/>
        </a:gs>
      </a:gsLst>
      <a:lin ang="5400000" scaled="1"/>
    </a:grad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625" b="1" i="0" u="none" strike="noStrike" baseline="0">
                <a:solidFill>
                  <a:srgbClr val="000000"/>
                </a:solidFill>
                <a:latin typeface="Arial"/>
                <a:ea typeface="Arial"/>
                <a:cs typeface="Arial"/>
              </a:defRPr>
            </a:pPr>
            <a:r>
              <a:rPr lang="en-HK"/>
              <a:t>Current Break-Even Chart Analysis</a:t>
            </a:r>
          </a:p>
        </c:rich>
      </c:tx>
      <c:layout>
        <c:manualLayout>
          <c:xMode val="edge"/>
          <c:yMode val="edge"/>
          <c:x val="0.18708893291145859"/>
          <c:y val="4.7981360859098834E-2"/>
        </c:manualLayout>
      </c:layout>
      <c:overlay val="0"/>
      <c:spPr>
        <a:noFill/>
        <a:ln w="25400">
          <a:noFill/>
        </a:ln>
      </c:spPr>
    </c:title>
    <c:autoTitleDeleted val="0"/>
    <c:plotArea>
      <c:layout>
        <c:manualLayout>
          <c:layoutTarget val="inner"/>
          <c:xMode val="edge"/>
          <c:yMode val="edge"/>
          <c:x val="0.22495216933401568"/>
          <c:y val="0.26768548689813032"/>
          <c:w val="0.67708375720337399"/>
          <c:h val="0.5479976477065498"/>
        </c:manualLayout>
      </c:layout>
      <c:lineChart>
        <c:grouping val="standard"/>
        <c:varyColors val="0"/>
        <c:ser>
          <c:idx val="1"/>
          <c:order val="0"/>
          <c:tx>
            <c:v>REVENUE</c:v>
          </c:tx>
          <c:spPr>
            <a:ln w="12700">
              <a:solidFill>
                <a:srgbClr val="000000"/>
              </a:solidFill>
              <a:prstDash val="solid"/>
            </a:ln>
          </c:spPr>
          <c:marker>
            <c:symbol val="none"/>
          </c:marker>
          <c:cat>
            <c:strRef>
              <c:f>'BE Calculations'!$H$5:$H$16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Calculations'!$C$4:$C$16</c:f>
              <c:numCache>
                <c:formatCode>"$"#,##0</c:formatCode>
                <c:ptCount val="13"/>
                <c:pt idx="0">
                  <c:v>0</c:v>
                </c:pt>
                <c:pt idx="1">
                  <c:v>80651.5</c:v>
                </c:pt>
                <c:pt idx="2">
                  <c:v>161303</c:v>
                </c:pt>
                <c:pt idx="3">
                  <c:v>241954.5</c:v>
                </c:pt>
                <c:pt idx="4">
                  <c:v>322606</c:v>
                </c:pt>
                <c:pt idx="5">
                  <c:v>403257.5</c:v>
                </c:pt>
                <c:pt idx="6">
                  <c:v>483909</c:v>
                </c:pt>
                <c:pt idx="7">
                  <c:v>564560.5</c:v>
                </c:pt>
                <c:pt idx="8">
                  <c:v>645212</c:v>
                </c:pt>
                <c:pt idx="9">
                  <c:v>725863.5</c:v>
                </c:pt>
                <c:pt idx="10">
                  <c:v>806515</c:v>
                </c:pt>
                <c:pt idx="11">
                  <c:v>887166.5</c:v>
                </c:pt>
                <c:pt idx="12">
                  <c:v>967818</c:v>
                </c:pt>
              </c:numCache>
            </c:numRef>
          </c:val>
          <c:smooth val="1"/>
          <c:extLst>
            <c:ext xmlns:c16="http://schemas.microsoft.com/office/drawing/2014/chart" uri="{C3380CC4-5D6E-409C-BE32-E72D297353CC}">
              <c16:uniqueId val="{00000000-D651-4ACC-A8F4-66906DC6C353}"/>
            </c:ext>
          </c:extLst>
        </c:ser>
        <c:ser>
          <c:idx val="2"/>
          <c:order val="1"/>
          <c:tx>
            <c:v>FIXED COSTS</c:v>
          </c:tx>
          <c:spPr>
            <a:ln w="12700">
              <a:solidFill>
                <a:srgbClr val="000000"/>
              </a:solidFill>
              <a:prstDash val="solid"/>
            </a:ln>
          </c:spPr>
          <c:marker>
            <c:symbol val="none"/>
          </c:marker>
          <c:cat>
            <c:strRef>
              <c:f>'BE Calculations'!$H$5:$H$16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Calculations'!$D$4:$D$16</c:f>
              <c:numCache>
                <c:formatCode>"$"#,##0</c:formatCode>
                <c:ptCount val="13"/>
                <c:pt idx="0">
                  <c:v>170124</c:v>
                </c:pt>
                <c:pt idx="1">
                  <c:v>170124</c:v>
                </c:pt>
                <c:pt idx="2">
                  <c:v>170124</c:v>
                </c:pt>
                <c:pt idx="3">
                  <c:v>170124</c:v>
                </c:pt>
                <c:pt idx="4">
                  <c:v>170124</c:v>
                </c:pt>
                <c:pt idx="5">
                  <c:v>170124</c:v>
                </c:pt>
                <c:pt idx="6">
                  <c:v>170124</c:v>
                </c:pt>
                <c:pt idx="7">
                  <c:v>170124</c:v>
                </c:pt>
                <c:pt idx="8">
                  <c:v>170124</c:v>
                </c:pt>
                <c:pt idx="9">
                  <c:v>170124</c:v>
                </c:pt>
                <c:pt idx="10">
                  <c:v>170124</c:v>
                </c:pt>
                <c:pt idx="11">
                  <c:v>170124</c:v>
                </c:pt>
                <c:pt idx="12">
                  <c:v>170124</c:v>
                </c:pt>
              </c:numCache>
            </c:numRef>
          </c:val>
          <c:smooth val="1"/>
          <c:extLst>
            <c:ext xmlns:c16="http://schemas.microsoft.com/office/drawing/2014/chart" uri="{C3380CC4-5D6E-409C-BE32-E72D297353CC}">
              <c16:uniqueId val="{00000001-D651-4ACC-A8F4-66906DC6C353}"/>
            </c:ext>
          </c:extLst>
        </c:ser>
        <c:ser>
          <c:idx val="4"/>
          <c:order val="2"/>
          <c:tx>
            <c:v>TOTAL COSTS</c:v>
          </c:tx>
          <c:spPr>
            <a:ln w="12700">
              <a:solidFill>
                <a:srgbClr val="FF0000"/>
              </a:solidFill>
              <a:prstDash val="solid"/>
            </a:ln>
          </c:spPr>
          <c:marker>
            <c:symbol val="none"/>
          </c:marker>
          <c:cat>
            <c:strRef>
              <c:f>'BE Calculations'!$H$5:$H$16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Calculations'!$F$4:$F$16</c:f>
              <c:numCache>
                <c:formatCode>"$"#,##0</c:formatCode>
                <c:ptCount val="13"/>
                <c:pt idx="0">
                  <c:v>170124</c:v>
                </c:pt>
                <c:pt idx="1">
                  <c:v>237307.08333333331</c:v>
                </c:pt>
                <c:pt idx="2">
                  <c:v>304490.16666666663</c:v>
                </c:pt>
                <c:pt idx="3">
                  <c:v>371673.25</c:v>
                </c:pt>
                <c:pt idx="4">
                  <c:v>438856.33333333331</c:v>
                </c:pt>
                <c:pt idx="5">
                  <c:v>506039.41666666669</c:v>
                </c:pt>
                <c:pt idx="6">
                  <c:v>573222.5</c:v>
                </c:pt>
                <c:pt idx="7">
                  <c:v>640405.58333333326</c:v>
                </c:pt>
                <c:pt idx="8">
                  <c:v>707588.66666666663</c:v>
                </c:pt>
                <c:pt idx="9">
                  <c:v>774771.75</c:v>
                </c:pt>
                <c:pt idx="10">
                  <c:v>841954.83333333337</c:v>
                </c:pt>
                <c:pt idx="11">
                  <c:v>909137.91666666663</c:v>
                </c:pt>
                <c:pt idx="12">
                  <c:v>976321</c:v>
                </c:pt>
              </c:numCache>
            </c:numRef>
          </c:val>
          <c:smooth val="1"/>
          <c:extLst>
            <c:ext xmlns:c16="http://schemas.microsoft.com/office/drawing/2014/chart" uri="{C3380CC4-5D6E-409C-BE32-E72D297353CC}">
              <c16:uniqueId val="{00000002-D651-4ACC-A8F4-66906DC6C353}"/>
            </c:ext>
          </c:extLst>
        </c:ser>
        <c:dLbls>
          <c:showLegendKey val="0"/>
          <c:showVal val="0"/>
          <c:showCatName val="0"/>
          <c:showSerName val="0"/>
          <c:showPercent val="0"/>
          <c:showBubbleSize val="0"/>
        </c:dLbls>
        <c:smooth val="0"/>
        <c:axId val="1769748960"/>
        <c:axId val="1"/>
      </c:lineChart>
      <c:catAx>
        <c:axId val="1769748960"/>
        <c:scaling>
          <c:orientation val="minMax"/>
        </c:scaling>
        <c:delete val="0"/>
        <c:axPos val="b"/>
        <c:majorGridlines>
          <c:spPr>
            <a:ln w="3175">
              <a:solidFill>
                <a:srgbClr val="000000"/>
              </a:solidFill>
              <a:prstDash val="solid"/>
            </a:ln>
          </c:spPr>
        </c:majorGridlines>
        <c:title>
          <c:tx>
            <c:rich>
              <a:bodyPr/>
              <a:lstStyle/>
              <a:p>
                <a:pPr>
                  <a:defRPr sz="300" b="1" i="0" u="none" strike="noStrike" baseline="0">
                    <a:solidFill>
                      <a:srgbClr val="FFFFFF"/>
                    </a:solidFill>
                    <a:latin typeface="Arial"/>
                    <a:ea typeface="Arial"/>
                    <a:cs typeface="Arial"/>
                  </a:defRPr>
                </a:pPr>
                <a:r>
                  <a:rPr lang="en-HK"/>
                  <a:t>Months</a:t>
                </a:r>
              </a:p>
            </c:rich>
          </c:tx>
          <c:layout>
            <c:manualLayout>
              <c:xMode val="edge"/>
              <c:yMode val="edge"/>
              <c:x val="0.51449456550651118"/>
              <c:y val="0.89396851284847301"/>
            </c:manualLayout>
          </c:layout>
          <c:overlay val="0"/>
          <c:spPr>
            <a:noFill/>
            <a:ln w="25400">
              <a:noFill/>
            </a:ln>
          </c:spPr>
        </c:title>
        <c:numFmt formatCode="General" sourceLinked="0"/>
        <c:majorTickMark val="none"/>
        <c:minorTickMark val="none"/>
        <c:tickLblPos val="nextTo"/>
        <c:spPr>
          <a:ln w="25400">
            <a:solidFill>
              <a:srgbClr val="FFFFFF"/>
            </a:solidFill>
            <a:prstDash val="solid"/>
          </a:ln>
        </c:spPr>
        <c:txPr>
          <a:bodyPr rot="-5400000" vert="horz"/>
          <a:lstStyle/>
          <a:p>
            <a:pPr>
              <a:defRPr sz="300" b="1" i="0" u="none" strike="noStrike" baseline="0">
                <a:solidFill>
                  <a:srgbClr val="FFFFFF"/>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numFmt formatCode="&quot;$&quot;#,##0" sourceLinked="1"/>
        <c:majorTickMark val="none"/>
        <c:minorTickMark val="none"/>
        <c:tickLblPos val="nextTo"/>
        <c:spPr>
          <a:ln w="3175">
            <a:solidFill>
              <a:srgbClr val="000000"/>
            </a:solidFill>
            <a:prstDash val="solid"/>
          </a:ln>
        </c:spPr>
        <c:txPr>
          <a:bodyPr rot="0" vert="horz"/>
          <a:lstStyle/>
          <a:p>
            <a:pPr>
              <a:defRPr sz="300" b="1" i="0" u="none" strike="noStrike" baseline="0">
                <a:solidFill>
                  <a:srgbClr val="FFFFFF"/>
                </a:solidFill>
                <a:latin typeface="Arial"/>
                <a:ea typeface="Arial"/>
                <a:cs typeface="Arial"/>
              </a:defRPr>
            </a:pPr>
            <a:endParaRPr lang="en-US"/>
          </a:p>
        </c:txPr>
        <c:crossAx val="1769748960"/>
        <c:crosses val="autoZero"/>
        <c:crossBetween val="midCat"/>
      </c:valAx>
      <c:spPr>
        <a:solidFill>
          <a:srgbClr val="FFFFFF"/>
        </a:solidFill>
        <a:ln w="25400">
          <a:noFill/>
        </a:ln>
      </c:spPr>
    </c:plotArea>
    <c:plotVisOnly val="1"/>
    <c:dispBlanksAs val="gap"/>
    <c:showDLblsOverMax val="0"/>
  </c:chart>
  <c:spPr>
    <a:gradFill rotWithShape="0">
      <a:gsLst>
        <a:gs pos="0">
          <a:srgbClr xmlns:mc="http://schemas.openxmlformats.org/markup-compatibility/2006" xmlns:a14="http://schemas.microsoft.com/office/drawing/2010/main" val="00CCFF" mc:Ignorable="a14" a14:legacySpreadsheetColorIndex="40"/>
        </a:gs>
        <a:gs pos="100000">
          <a:srgbClr xmlns:mc="http://schemas.openxmlformats.org/markup-compatibility/2006" xmlns:a14="http://schemas.microsoft.com/office/drawing/2010/main" val="005E76" mc:Ignorable="a14" a14:legacySpreadsheetColorIndex="40">
            <a:gamma/>
            <a:shade val="46275"/>
            <a:invGamma/>
          </a:srgbClr>
        </a:gs>
      </a:gsLst>
      <a:lin ang="5400000" scaled="1"/>
    </a:gra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0"/>
      <c:rotY val="0"/>
      <c:rAngAx val="0"/>
      <c:perspective val="0"/>
    </c:view3D>
    <c:floor>
      <c:thickness val="0"/>
    </c:floor>
    <c:sideWall>
      <c:thickness val="0"/>
    </c:sideWall>
    <c:backWall>
      <c:thickness val="0"/>
    </c:backWall>
    <c:plotArea>
      <c:layout>
        <c:manualLayout>
          <c:layoutTarget val="inner"/>
          <c:xMode val="edge"/>
          <c:yMode val="edge"/>
          <c:x val="0.15145294569022838"/>
          <c:y val="0.11616539997466034"/>
          <c:w val="0.69712900001531597"/>
          <c:h val="0.67931505637355716"/>
        </c:manualLayout>
      </c:layout>
      <c:pie3DChart>
        <c:varyColors val="1"/>
        <c:ser>
          <c:idx val="0"/>
          <c:order val="0"/>
          <c:spPr>
            <a:solidFill>
              <a:srgbClr val="9999FF"/>
            </a:solidFill>
            <a:ln w="12700">
              <a:solidFill>
                <a:srgbClr val="000000"/>
              </a:solidFill>
              <a:prstDash val="solid"/>
            </a:ln>
          </c:spPr>
          <c:explosion val="25"/>
          <c:dPt>
            <c:idx val="0"/>
            <c:bubble3D val="0"/>
            <c:extLst>
              <c:ext xmlns:c16="http://schemas.microsoft.com/office/drawing/2014/chart" uri="{C3380CC4-5D6E-409C-BE32-E72D297353CC}">
                <c16:uniqueId val="{00000000-ACBA-4D5A-8A4A-C01D2C9E6BC2}"/>
              </c:ext>
            </c:extLst>
          </c:dPt>
          <c:dPt>
            <c:idx val="1"/>
            <c:bubble3D val="0"/>
            <c:spPr>
              <a:solidFill>
                <a:srgbClr val="FF0000"/>
              </a:solidFill>
              <a:ln w="12700">
                <a:solidFill>
                  <a:srgbClr val="000000"/>
                </a:solidFill>
                <a:prstDash val="solid"/>
              </a:ln>
            </c:spPr>
            <c:extLst>
              <c:ext xmlns:c16="http://schemas.microsoft.com/office/drawing/2014/chart" uri="{C3380CC4-5D6E-409C-BE32-E72D297353CC}">
                <c16:uniqueId val="{00000001-ACBA-4D5A-8A4A-C01D2C9E6BC2}"/>
              </c:ext>
            </c:extLst>
          </c:dPt>
          <c:dPt>
            <c:idx val="2"/>
            <c:bubble3D val="0"/>
            <c:spPr>
              <a:solidFill>
                <a:srgbClr val="33CCCC"/>
              </a:solidFill>
              <a:ln w="12700">
                <a:solidFill>
                  <a:srgbClr val="000000"/>
                </a:solidFill>
                <a:prstDash val="solid"/>
              </a:ln>
            </c:spPr>
            <c:extLst>
              <c:ext xmlns:c16="http://schemas.microsoft.com/office/drawing/2014/chart" uri="{C3380CC4-5D6E-409C-BE32-E72D297353CC}">
                <c16:uniqueId val="{00000002-ACBA-4D5A-8A4A-C01D2C9E6BC2}"/>
              </c:ext>
            </c:extLst>
          </c:dPt>
          <c:cat>
            <c:strRef>
              <c:f>'Break-Even Analysis Data Entry'!$O$23:$O$25</c:f>
              <c:strCache>
                <c:ptCount val="3"/>
                <c:pt idx="0">
                  <c:v>Fixed %</c:v>
                </c:pt>
                <c:pt idx="1">
                  <c:v>Total Variable %</c:v>
                </c:pt>
                <c:pt idx="2">
                  <c:v>Profit %</c:v>
                </c:pt>
              </c:strCache>
            </c:strRef>
          </c:cat>
          <c:val>
            <c:numRef>
              <c:f>'Break-Even Analysis Data Entry'!$P$23:$P$25</c:f>
              <c:numCache>
                <c:formatCode>0.00%_);[Red]\(0.00%\)</c:formatCode>
                <c:ptCount val="3"/>
                <c:pt idx="0">
                  <c:v>0.17578098361468789</c:v>
                </c:pt>
                <c:pt idx="1">
                  <c:v>0.83300475915926342</c:v>
                </c:pt>
                <c:pt idx="2">
                  <c:v>-8.7857427739513015E-3</c:v>
                </c:pt>
              </c:numCache>
            </c:numRef>
          </c:val>
          <c:extLst>
            <c:ext xmlns:c16="http://schemas.microsoft.com/office/drawing/2014/chart" uri="{C3380CC4-5D6E-409C-BE32-E72D297353CC}">
              <c16:uniqueId val="{00000003-ACBA-4D5A-8A4A-C01D2C9E6BC2}"/>
            </c:ext>
          </c:extLst>
        </c:ser>
        <c:dLbls>
          <c:showLegendKey val="0"/>
          <c:showVal val="0"/>
          <c:showCatName val="0"/>
          <c:showSerName val="0"/>
          <c:showPercent val="0"/>
          <c:showBubbleSize val="0"/>
          <c:showLeaderLines val="1"/>
        </c:dLbls>
      </c:pie3DChart>
      <c:spPr>
        <a:noFill/>
        <a:ln w="25400">
          <a:noFill/>
        </a:ln>
      </c:spPr>
    </c:plotArea>
    <c:legend>
      <c:legendPos val="b"/>
      <c:layout>
        <c:manualLayout>
          <c:xMode val="edge"/>
          <c:yMode val="edge"/>
          <c:x val="0.18708893291145859"/>
          <c:y val="0.89649384763053086"/>
          <c:w val="0.6258570255728555"/>
          <c:h val="7.0709373897619332E-2"/>
        </c:manualLayout>
      </c:layout>
      <c:overlay val="0"/>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0"/>
      <c:rotY val="0"/>
      <c:rAngAx val="0"/>
      <c:perspective val="0"/>
    </c:view3D>
    <c:floor>
      <c:thickness val="0"/>
    </c:floor>
    <c:sideWall>
      <c:thickness val="0"/>
    </c:sideWall>
    <c:backWall>
      <c:thickness val="0"/>
    </c:backWall>
    <c:plotArea>
      <c:layout>
        <c:manualLayout>
          <c:layoutTarget val="inner"/>
          <c:xMode val="edge"/>
          <c:yMode val="edge"/>
          <c:x val="0.15145294569022838"/>
          <c:y val="0.11616539997466034"/>
          <c:w val="0.69712900001531597"/>
          <c:h val="0.67931505637355716"/>
        </c:manualLayout>
      </c:layout>
      <c:pie3DChart>
        <c:varyColors val="1"/>
        <c:ser>
          <c:idx val="0"/>
          <c:order val="0"/>
          <c:spPr>
            <a:solidFill>
              <a:srgbClr val="9999FF"/>
            </a:solidFill>
            <a:ln w="12700">
              <a:solidFill>
                <a:srgbClr val="000000"/>
              </a:solidFill>
              <a:prstDash val="solid"/>
            </a:ln>
          </c:spPr>
          <c:explosion val="25"/>
          <c:dPt>
            <c:idx val="0"/>
            <c:bubble3D val="0"/>
            <c:extLst>
              <c:ext xmlns:c16="http://schemas.microsoft.com/office/drawing/2014/chart" uri="{C3380CC4-5D6E-409C-BE32-E72D297353CC}">
                <c16:uniqueId val="{00000000-3485-4F96-ADFD-17422A759F5E}"/>
              </c:ext>
            </c:extLst>
          </c:dPt>
          <c:dPt>
            <c:idx val="1"/>
            <c:bubble3D val="0"/>
            <c:spPr>
              <a:solidFill>
                <a:srgbClr val="FF0000"/>
              </a:solidFill>
              <a:ln w="12700">
                <a:solidFill>
                  <a:srgbClr val="000000"/>
                </a:solidFill>
                <a:prstDash val="solid"/>
              </a:ln>
            </c:spPr>
            <c:extLst>
              <c:ext xmlns:c16="http://schemas.microsoft.com/office/drawing/2014/chart" uri="{C3380CC4-5D6E-409C-BE32-E72D297353CC}">
                <c16:uniqueId val="{00000001-3485-4F96-ADFD-17422A759F5E}"/>
              </c:ext>
            </c:extLst>
          </c:dPt>
          <c:dPt>
            <c:idx val="2"/>
            <c:bubble3D val="0"/>
            <c:spPr>
              <a:solidFill>
                <a:srgbClr val="33CCCC"/>
              </a:solidFill>
              <a:ln w="12700">
                <a:solidFill>
                  <a:srgbClr val="000000"/>
                </a:solidFill>
                <a:prstDash val="solid"/>
              </a:ln>
            </c:spPr>
            <c:extLst>
              <c:ext xmlns:c16="http://schemas.microsoft.com/office/drawing/2014/chart" uri="{C3380CC4-5D6E-409C-BE32-E72D297353CC}">
                <c16:uniqueId val="{00000002-3485-4F96-ADFD-17422A759F5E}"/>
              </c:ext>
            </c:extLst>
          </c:dPt>
          <c:cat>
            <c:strRef>
              <c:f>'Break-Even Analysis Data Entry'!$S$23:$S$25</c:f>
              <c:strCache>
                <c:ptCount val="3"/>
                <c:pt idx="0">
                  <c:v>Fixed %</c:v>
                </c:pt>
                <c:pt idx="1">
                  <c:v>Total Variable %</c:v>
                </c:pt>
                <c:pt idx="2">
                  <c:v>Profit %</c:v>
                </c:pt>
              </c:strCache>
            </c:strRef>
          </c:cat>
          <c:val>
            <c:numRef>
              <c:f>'Break-Even Analysis Data Entry'!$T$23:$T$25</c:f>
              <c:numCache>
                <c:formatCode>0.00%_);[Red]\(0.00%\)</c:formatCode>
                <c:ptCount val="3"/>
                <c:pt idx="0">
                  <c:v>0.17578098361468789</c:v>
                </c:pt>
                <c:pt idx="1">
                  <c:v>0.72967954718759109</c:v>
                </c:pt>
                <c:pt idx="2">
                  <c:v>9.4539469197721063E-2</c:v>
                </c:pt>
              </c:numCache>
            </c:numRef>
          </c:val>
          <c:extLst>
            <c:ext xmlns:c16="http://schemas.microsoft.com/office/drawing/2014/chart" uri="{C3380CC4-5D6E-409C-BE32-E72D297353CC}">
              <c16:uniqueId val="{00000003-3485-4F96-ADFD-17422A759F5E}"/>
            </c:ext>
          </c:extLst>
        </c:ser>
        <c:dLbls>
          <c:showLegendKey val="0"/>
          <c:showVal val="0"/>
          <c:showCatName val="0"/>
          <c:showSerName val="0"/>
          <c:showPercent val="0"/>
          <c:showBubbleSize val="0"/>
          <c:showLeaderLines val="1"/>
        </c:dLbls>
      </c:pie3DChart>
      <c:spPr>
        <a:noFill/>
        <a:ln w="25400">
          <a:noFill/>
        </a:ln>
      </c:spPr>
    </c:plotArea>
    <c:legend>
      <c:legendPos val="b"/>
      <c:layout>
        <c:manualLayout>
          <c:xMode val="edge"/>
          <c:yMode val="edge"/>
          <c:x val="0.18708893291145859"/>
          <c:y val="0.89649384763053086"/>
          <c:w val="0.6258570255728555"/>
          <c:h val="7.0709373897619332E-2"/>
        </c:manualLayout>
      </c:layout>
      <c:overlay val="0"/>
      <c:spPr>
        <a:solidFill>
          <a:srgbClr val="FFFFFF"/>
        </a:solidFill>
        <a:ln w="3175">
          <a:solidFill>
            <a:srgbClr val="000000"/>
          </a:solidFill>
          <a:prstDash val="solid"/>
        </a:ln>
      </c:spPr>
      <c:txPr>
        <a:bodyPr/>
        <a:lstStyle/>
        <a:p>
          <a:pPr>
            <a:defRPr sz="52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625" b="1" i="0" u="none" strike="noStrike" baseline="0">
                <a:solidFill>
                  <a:srgbClr val="000000"/>
                </a:solidFill>
                <a:latin typeface="Arial"/>
                <a:ea typeface="Arial"/>
                <a:cs typeface="Arial"/>
              </a:defRPr>
            </a:pPr>
            <a:r>
              <a:rPr lang="en-HK"/>
              <a:t>Projected Break-Even Chart Analysis</a:t>
            </a:r>
          </a:p>
        </c:rich>
      </c:tx>
      <c:layout>
        <c:manualLayout>
          <c:xMode val="edge"/>
          <c:yMode val="edge"/>
          <c:x val="0.17295465097667559"/>
          <c:y val="4.774047984629607E-2"/>
        </c:manualLayout>
      </c:layout>
      <c:overlay val="0"/>
      <c:spPr>
        <a:noFill/>
        <a:ln w="25400">
          <a:noFill/>
        </a:ln>
      </c:spPr>
    </c:title>
    <c:autoTitleDeleted val="0"/>
    <c:plotArea>
      <c:layout>
        <c:manualLayout>
          <c:layoutTarget val="inner"/>
          <c:xMode val="edge"/>
          <c:yMode val="edge"/>
          <c:x val="0.22395409934159277"/>
          <c:y val="0.26885428123966737"/>
          <c:w val="0.67851439998541963"/>
          <c:h val="0.54524653298138148"/>
        </c:manualLayout>
      </c:layout>
      <c:lineChart>
        <c:grouping val="standard"/>
        <c:varyColors val="0"/>
        <c:ser>
          <c:idx val="1"/>
          <c:order val="0"/>
          <c:tx>
            <c:v>REVENUE</c:v>
          </c:tx>
          <c:spPr>
            <a:ln w="12700">
              <a:solidFill>
                <a:srgbClr val="000000"/>
              </a:solidFill>
              <a:prstDash val="solid"/>
            </a:ln>
          </c:spPr>
          <c:marker>
            <c:symbol val="none"/>
          </c:marker>
          <c:cat>
            <c:strRef>
              <c:f>'BE Calculations'!$H$20:$H$31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Calculations'!$C$19:$C$31</c:f>
              <c:numCache>
                <c:formatCode>"$"#,##0</c:formatCode>
                <c:ptCount val="13"/>
                <c:pt idx="0">
                  <c:v>0</c:v>
                </c:pt>
                <c:pt idx="1">
                  <c:v>80651.5</c:v>
                </c:pt>
                <c:pt idx="2">
                  <c:v>161303</c:v>
                </c:pt>
                <c:pt idx="3">
                  <c:v>241954.5</c:v>
                </c:pt>
                <c:pt idx="4">
                  <c:v>322606</c:v>
                </c:pt>
                <c:pt idx="5">
                  <c:v>403257.5</c:v>
                </c:pt>
                <c:pt idx="6">
                  <c:v>483909</c:v>
                </c:pt>
                <c:pt idx="7">
                  <c:v>564560.5</c:v>
                </c:pt>
                <c:pt idx="8">
                  <c:v>645212</c:v>
                </c:pt>
                <c:pt idx="9">
                  <c:v>725863.5</c:v>
                </c:pt>
                <c:pt idx="10">
                  <c:v>806515</c:v>
                </c:pt>
                <c:pt idx="11">
                  <c:v>887166.5</c:v>
                </c:pt>
                <c:pt idx="12">
                  <c:v>967818</c:v>
                </c:pt>
              </c:numCache>
            </c:numRef>
          </c:val>
          <c:smooth val="1"/>
          <c:extLst>
            <c:ext xmlns:c16="http://schemas.microsoft.com/office/drawing/2014/chart" uri="{C3380CC4-5D6E-409C-BE32-E72D297353CC}">
              <c16:uniqueId val="{00000000-5740-452A-BC9A-8F05F2501D89}"/>
            </c:ext>
          </c:extLst>
        </c:ser>
        <c:ser>
          <c:idx val="0"/>
          <c:order val="1"/>
          <c:tx>
            <c:v>FIXED COSTS</c:v>
          </c:tx>
          <c:spPr>
            <a:ln w="12700">
              <a:solidFill>
                <a:srgbClr val="000080"/>
              </a:solidFill>
              <a:prstDash val="solid"/>
            </a:ln>
          </c:spPr>
          <c:marker>
            <c:symbol val="none"/>
          </c:marker>
          <c:cat>
            <c:strRef>
              <c:f>'BE Calculations'!$H$20:$H$31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Calculations'!$D$19:$D$31</c:f>
              <c:numCache>
                <c:formatCode>"$"#,##0</c:formatCode>
                <c:ptCount val="13"/>
                <c:pt idx="0">
                  <c:v>170124</c:v>
                </c:pt>
                <c:pt idx="1">
                  <c:v>170124</c:v>
                </c:pt>
                <c:pt idx="2">
                  <c:v>170124</c:v>
                </c:pt>
                <c:pt idx="3">
                  <c:v>170124</c:v>
                </c:pt>
                <c:pt idx="4">
                  <c:v>170124</c:v>
                </c:pt>
                <c:pt idx="5">
                  <c:v>170124</c:v>
                </c:pt>
                <c:pt idx="6">
                  <c:v>170124</c:v>
                </c:pt>
                <c:pt idx="7">
                  <c:v>170124</c:v>
                </c:pt>
                <c:pt idx="8">
                  <c:v>170124</c:v>
                </c:pt>
                <c:pt idx="9">
                  <c:v>170124</c:v>
                </c:pt>
                <c:pt idx="10">
                  <c:v>170124</c:v>
                </c:pt>
                <c:pt idx="11">
                  <c:v>170124</c:v>
                </c:pt>
                <c:pt idx="12">
                  <c:v>170124</c:v>
                </c:pt>
              </c:numCache>
            </c:numRef>
          </c:val>
          <c:smooth val="0"/>
          <c:extLst>
            <c:ext xmlns:c16="http://schemas.microsoft.com/office/drawing/2014/chart" uri="{C3380CC4-5D6E-409C-BE32-E72D297353CC}">
              <c16:uniqueId val="{00000001-5740-452A-BC9A-8F05F2501D89}"/>
            </c:ext>
          </c:extLst>
        </c:ser>
        <c:ser>
          <c:idx val="2"/>
          <c:order val="2"/>
          <c:tx>
            <c:v>TOTAL COSTS</c:v>
          </c:tx>
          <c:spPr>
            <a:ln w="12700">
              <a:solidFill>
                <a:srgbClr val="FF0000"/>
              </a:solidFill>
              <a:prstDash val="solid"/>
            </a:ln>
          </c:spPr>
          <c:marker>
            <c:symbol val="none"/>
          </c:marker>
          <c:cat>
            <c:strRef>
              <c:f>'BE Calculations'!$H$20:$H$31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Calculations'!$F$19:$F$31</c:f>
              <c:numCache>
                <c:formatCode>"$"#,##0</c:formatCode>
                <c:ptCount val="13"/>
                <c:pt idx="0">
                  <c:v>170124</c:v>
                </c:pt>
                <c:pt idx="1">
                  <c:v>228973.75</c:v>
                </c:pt>
                <c:pt idx="2">
                  <c:v>287823.5</c:v>
                </c:pt>
                <c:pt idx="3">
                  <c:v>346673.25</c:v>
                </c:pt>
                <c:pt idx="4">
                  <c:v>405523</c:v>
                </c:pt>
                <c:pt idx="5">
                  <c:v>464372.75</c:v>
                </c:pt>
                <c:pt idx="6">
                  <c:v>523222.5</c:v>
                </c:pt>
                <c:pt idx="7">
                  <c:v>582072.25</c:v>
                </c:pt>
                <c:pt idx="8">
                  <c:v>640922</c:v>
                </c:pt>
                <c:pt idx="9">
                  <c:v>699771.75</c:v>
                </c:pt>
                <c:pt idx="10">
                  <c:v>758621.5</c:v>
                </c:pt>
                <c:pt idx="11">
                  <c:v>817471.25</c:v>
                </c:pt>
                <c:pt idx="12">
                  <c:v>876321</c:v>
                </c:pt>
              </c:numCache>
            </c:numRef>
          </c:val>
          <c:smooth val="1"/>
          <c:extLst>
            <c:ext xmlns:c16="http://schemas.microsoft.com/office/drawing/2014/chart" uri="{C3380CC4-5D6E-409C-BE32-E72D297353CC}">
              <c16:uniqueId val="{00000002-5740-452A-BC9A-8F05F2501D89}"/>
            </c:ext>
          </c:extLst>
        </c:ser>
        <c:dLbls>
          <c:showLegendKey val="0"/>
          <c:showVal val="0"/>
          <c:showCatName val="0"/>
          <c:showSerName val="0"/>
          <c:showPercent val="0"/>
          <c:showBubbleSize val="0"/>
        </c:dLbls>
        <c:smooth val="0"/>
        <c:axId val="1769745760"/>
        <c:axId val="1"/>
      </c:lineChart>
      <c:catAx>
        <c:axId val="1769745760"/>
        <c:scaling>
          <c:orientation val="minMax"/>
        </c:scaling>
        <c:delete val="0"/>
        <c:axPos val="b"/>
        <c:majorGridlines>
          <c:spPr>
            <a:ln w="3175">
              <a:solidFill>
                <a:srgbClr val="000000"/>
              </a:solidFill>
              <a:prstDash val="solid"/>
            </a:ln>
          </c:spPr>
        </c:majorGridlines>
        <c:title>
          <c:tx>
            <c:rich>
              <a:bodyPr/>
              <a:lstStyle/>
              <a:p>
                <a:pPr>
                  <a:defRPr sz="300" b="1" i="0" u="none" strike="noStrike" baseline="0">
                    <a:solidFill>
                      <a:srgbClr val="FFFFFF"/>
                    </a:solidFill>
                    <a:latin typeface="Arial"/>
                    <a:ea typeface="Arial"/>
                    <a:cs typeface="Arial"/>
                  </a:defRPr>
                </a:pPr>
                <a:r>
                  <a:rPr lang="en-HK"/>
                  <a:t>Months</a:t>
                </a:r>
              </a:p>
            </c:rich>
          </c:tx>
          <c:layout>
            <c:manualLayout>
              <c:xMode val="edge"/>
              <c:yMode val="edge"/>
              <c:x val="0.5144292182895992"/>
              <c:y val="0.89199317607553186"/>
            </c:manualLayout>
          </c:layout>
          <c:overlay val="0"/>
          <c:spPr>
            <a:noFill/>
            <a:ln w="25400">
              <a:noFill/>
            </a:ln>
          </c:spPr>
        </c:title>
        <c:numFmt formatCode="General" sourceLinked="0"/>
        <c:majorTickMark val="none"/>
        <c:minorTickMark val="none"/>
        <c:tickLblPos val="nextTo"/>
        <c:spPr>
          <a:ln w="25400">
            <a:solidFill>
              <a:srgbClr val="FFFFFF"/>
            </a:solidFill>
            <a:prstDash val="solid"/>
          </a:ln>
        </c:spPr>
        <c:txPr>
          <a:bodyPr rot="-5400000" vert="horz"/>
          <a:lstStyle/>
          <a:p>
            <a:pPr>
              <a:defRPr sz="300" b="1" i="0" u="none" strike="noStrike" baseline="0">
                <a:solidFill>
                  <a:srgbClr val="FFFFFF"/>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numFmt formatCode="&quot;$&quot;#,##0" sourceLinked="1"/>
        <c:majorTickMark val="none"/>
        <c:minorTickMark val="none"/>
        <c:tickLblPos val="nextTo"/>
        <c:spPr>
          <a:ln w="3175">
            <a:solidFill>
              <a:srgbClr val="000000"/>
            </a:solidFill>
            <a:prstDash val="solid"/>
          </a:ln>
        </c:spPr>
        <c:txPr>
          <a:bodyPr rot="0" vert="horz"/>
          <a:lstStyle/>
          <a:p>
            <a:pPr>
              <a:defRPr sz="300" b="1" i="0" u="none" strike="noStrike" baseline="0">
                <a:solidFill>
                  <a:srgbClr val="FFFFFF"/>
                </a:solidFill>
                <a:latin typeface="Arial"/>
                <a:ea typeface="Arial"/>
                <a:cs typeface="Arial"/>
              </a:defRPr>
            </a:pPr>
            <a:endParaRPr lang="en-US"/>
          </a:p>
        </c:txPr>
        <c:crossAx val="1769745760"/>
        <c:crosses val="autoZero"/>
        <c:crossBetween val="midCat"/>
      </c:valAx>
      <c:spPr>
        <a:solidFill>
          <a:srgbClr val="FFFFFF"/>
        </a:solidFill>
        <a:ln w="25400">
          <a:noFill/>
        </a:ln>
      </c:spPr>
    </c:plotArea>
    <c:plotVisOnly val="1"/>
    <c:dispBlanksAs val="gap"/>
    <c:showDLblsOverMax val="0"/>
  </c:chart>
  <c:spPr>
    <a:gradFill rotWithShape="0">
      <a:gsLst>
        <a:gs pos="0">
          <a:srgbClr xmlns:mc="http://schemas.openxmlformats.org/markup-compatibility/2006" xmlns:a14="http://schemas.microsoft.com/office/drawing/2010/main" val="00CCFF" mc:Ignorable="a14" a14:legacySpreadsheetColorIndex="40"/>
        </a:gs>
        <a:gs pos="100000">
          <a:srgbClr xmlns:mc="http://schemas.openxmlformats.org/markup-compatibility/2006" xmlns:a14="http://schemas.microsoft.com/office/drawing/2010/main" val="005E76" mc:Ignorable="a14" a14:legacySpreadsheetColorIndex="40">
            <a:gamma/>
            <a:shade val="46275"/>
            <a:invGamma/>
          </a:srgbClr>
        </a:gs>
      </a:gsLst>
      <a:lin ang="5400000" scaled="1"/>
    </a:gra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HK"/>
              <a:t>Current Break-Even Chart Analysis</a:t>
            </a:r>
          </a:p>
        </c:rich>
      </c:tx>
      <c:layout>
        <c:manualLayout>
          <c:xMode val="edge"/>
          <c:yMode val="edge"/>
          <c:x val="0.30727904188276661"/>
          <c:y val="3.5191709748106703E-2"/>
        </c:manualLayout>
      </c:layout>
      <c:overlay val="0"/>
      <c:spPr>
        <a:noFill/>
        <a:ln w="25400">
          <a:noFill/>
        </a:ln>
      </c:spPr>
    </c:title>
    <c:autoTitleDeleted val="0"/>
    <c:plotArea>
      <c:layout>
        <c:manualLayout>
          <c:layoutTarget val="inner"/>
          <c:xMode val="edge"/>
          <c:yMode val="edge"/>
          <c:x val="0.14050532730225909"/>
          <c:y val="0.25953885939228694"/>
          <c:w val="0.81065464926129482"/>
          <c:h val="0.53227460994011389"/>
        </c:manualLayout>
      </c:layout>
      <c:lineChart>
        <c:grouping val="standard"/>
        <c:varyColors val="0"/>
        <c:ser>
          <c:idx val="1"/>
          <c:order val="0"/>
          <c:tx>
            <c:v>REVENUE</c:v>
          </c:tx>
          <c:spPr>
            <a:ln w="12700">
              <a:solidFill>
                <a:srgbClr val="000000"/>
              </a:solidFill>
              <a:prstDash val="solid"/>
            </a:ln>
          </c:spPr>
          <c:marker>
            <c:symbol val="none"/>
          </c:marker>
          <c:cat>
            <c:strRef>
              <c:f>'BE Calculations'!$H$5:$H$16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Calculations'!$C$4:$C$16</c:f>
              <c:numCache>
                <c:formatCode>"$"#,##0</c:formatCode>
                <c:ptCount val="13"/>
                <c:pt idx="0">
                  <c:v>0</c:v>
                </c:pt>
                <c:pt idx="1">
                  <c:v>80651.5</c:v>
                </c:pt>
                <c:pt idx="2">
                  <c:v>161303</c:v>
                </c:pt>
                <c:pt idx="3">
                  <c:v>241954.5</c:v>
                </c:pt>
                <c:pt idx="4">
                  <c:v>322606</c:v>
                </c:pt>
                <c:pt idx="5">
                  <c:v>403257.5</c:v>
                </c:pt>
                <c:pt idx="6">
                  <c:v>483909</c:v>
                </c:pt>
                <c:pt idx="7">
                  <c:v>564560.5</c:v>
                </c:pt>
                <c:pt idx="8">
                  <c:v>645212</c:v>
                </c:pt>
                <c:pt idx="9">
                  <c:v>725863.5</c:v>
                </c:pt>
                <c:pt idx="10">
                  <c:v>806515</c:v>
                </c:pt>
                <c:pt idx="11">
                  <c:v>887166.5</c:v>
                </c:pt>
                <c:pt idx="12">
                  <c:v>967818</c:v>
                </c:pt>
              </c:numCache>
            </c:numRef>
          </c:val>
          <c:smooth val="1"/>
          <c:extLst>
            <c:ext xmlns:c16="http://schemas.microsoft.com/office/drawing/2014/chart" uri="{C3380CC4-5D6E-409C-BE32-E72D297353CC}">
              <c16:uniqueId val="{00000000-5C6D-4635-84C4-C3558004B797}"/>
            </c:ext>
          </c:extLst>
        </c:ser>
        <c:ser>
          <c:idx val="2"/>
          <c:order val="1"/>
          <c:tx>
            <c:v>FIXED COSTS</c:v>
          </c:tx>
          <c:spPr>
            <a:ln w="12700">
              <a:solidFill>
                <a:srgbClr val="000000"/>
              </a:solidFill>
              <a:prstDash val="solid"/>
            </a:ln>
          </c:spPr>
          <c:marker>
            <c:symbol val="none"/>
          </c:marker>
          <c:cat>
            <c:strRef>
              <c:f>'BE Calculations'!$H$5:$H$16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Calculations'!$D$4:$D$16</c:f>
              <c:numCache>
                <c:formatCode>"$"#,##0</c:formatCode>
                <c:ptCount val="13"/>
                <c:pt idx="0">
                  <c:v>170124</c:v>
                </c:pt>
                <c:pt idx="1">
                  <c:v>170124</c:v>
                </c:pt>
                <c:pt idx="2">
                  <c:v>170124</c:v>
                </c:pt>
                <c:pt idx="3">
                  <c:v>170124</c:v>
                </c:pt>
                <c:pt idx="4">
                  <c:v>170124</c:v>
                </c:pt>
                <c:pt idx="5">
                  <c:v>170124</c:v>
                </c:pt>
                <c:pt idx="6">
                  <c:v>170124</c:v>
                </c:pt>
                <c:pt idx="7">
                  <c:v>170124</c:v>
                </c:pt>
                <c:pt idx="8">
                  <c:v>170124</c:v>
                </c:pt>
                <c:pt idx="9">
                  <c:v>170124</c:v>
                </c:pt>
                <c:pt idx="10">
                  <c:v>170124</c:v>
                </c:pt>
                <c:pt idx="11">
                  <c:v>170124</c:v>
                </c:pt>
                <c:pt idx="12">
                  <c:v>170124</c:v>
                </c:pt>
              </c:numCache>
            </c:numRef>
          </c:val>
          <c:smooth val="1"/>
          <c:extLst>
            <c:ext xmlns:c16="http://schemas.microsoft.com/office/drawing/2014/chart" uri="{C3380CC4-5D6E-409C-BE32-E72D297353CC}">
              <c16:uniqueId val="{00000001-5C6D-4635-84C4-C3558004B797}"/>
            </c:ext>
          </c:extLst>
        </c:ser>
        <c:ser>
          <c:idx val="4"/>
          <c:order val="2"/>
          <c:tx>
            <c:v>TOTAL COSTS</c:v>
          </c:tx>
          <c:spPr>
            <a:ln w="12700">
              <a:solidFill>
                <a:srgbClr val="FF0000"/>
              </a:solidFill>
              <a:prstDash val="solid"/>
            </a:ln>
          </c:spPr>
          <c:marker>
            <c:symbol val="none"/>
          </c:marker>
          <c:cat>
            <c:strRef>
              <c:f>'BE Calculations'!$H$5:$H$16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Calculations'!$F$4:$F$16</c:f>
              <c:numCache>
                <c:formatCode>"$"#,##0</c:formatCode>
                <c:ptCount val="13"/>
                <c:pt idx="0">
                  <c:v>170124</c:v>
                </c:pt>
                <c:pt idx="1">
                  <c:v>237307.08333333331</c:v>
                </c:pt>
                <c:pt idx="2">
                  <c:v>304490.16666666663</c:v>
                </c:pt>
                <c:pt idx="3">
                  <c:v>371673.25</c:v>
                </c:pt>
                <c:pt idx="4">
                  <c:v>438856.33333333331</c:v>
                </c:pt>
                <c:pt idx="5">
                  <c:v>506039.41666666669</c:v>
                </c:pt>
                <c:pt idx="6">
                  <c:v>573222.5</c:v>
                </c:pt>
                <c:pt idx="7">
                  <c:v>640405.58333333326</c:v>
                </c:pt>
                <c:pt idx="8">
                  <c:v>707588.66666666663</c:v>
                </c:pt>
                <c:pt idx="9">
                  <c:v>774771.75</c:v>
                </c:pt>
                <c:pt idx="10">
                  <c:v>841954.83333333337</c:v>
                </c:pt>
                <c:pt idx="11">
                  <c:v>909137.91666666663</c:v>
                </c:pt>
                <c:pt idx="12">
                  <c:v>976321</c:v>
                </c:pt>
              </c:numCache>
            </c:numRef>
          </c:val>
          <c:smooth val="1"/>
          <c:extLst>
            <c:ext xmlns:c16="http://schemas.microsoft.com/office/drawing/2014/chart" uri="{C3380CC4-5D6E-409C-BE32-E72D297353CC}">
              <c16:uniqueId val="{00000002-5C6D-4635-84C4-C3558004B797}"/>
            </c:ext>
          </c:extLst>
        </c:ser>
        <c:dLbls>
          <c:showLegendKey val="0"/>
          <c:showVal val="0"/>
          <c:showCatName val="0"/>
          <c:showSerName val="0"/>
          <c:showPercent val="0"/>
          <c:showBubbleSize val="0"/>
        </c:dLbls>
        <c:smooth val="0"/>
        <c:axId val="1769747760"/>
        <c:axId val="1"/>
      </c:lineChart>
      <c:catAx>
        <c:axId val="176974776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FFFFFF"/>
                    </a:solidFill>
                    <a:latin typeface="Arial"/>
                    <a:ea typeface="Arial"/>
                    <a:cs typeface="Arial"/>
                  </a:defRPr>
                </a:pPr>
                <a:r>
                  <a:rPr lang="en-HK"/>
                  <a:t>Months</a:t>
                </a:r>
              </a:p>
            </c:rich>
          </c:tx>
          <c:layout>
            <c:manualLayout>
              <c:xMode val="edge"/>
              <c:yMode val="edge"/>
              <c:x val="0.50459739283333049"/>
              <c:y val="0.91351813221126987"/>
            </c:manualLayout>
          </c:layout>
          <c:overlay val="0"/>
          <c:spPr>
            <a:noFill/>
            <a:ln w="25400">
              <a:noFill/>
            </a:ln>
          </c:spPr>
        </c:title>
        <c:numFmt formatCode="General" sourceLinked="0"/>
        <c:majorTickMark val="none"/>
        <c:minorTickMark val="none"/>
        <c:tickLblPos val="nextTo"/>
        <c:spPr>
          <a:ln w="25400">
            <a:solidFill>
              <a:srgbClr val="FFFFFF"/>
            </a:solidFill>
            <a:prstDash val="solid"/>
          </a:ln>
        </c:spPr>
        <c:txPr>
          <a:bodyPr rot="-5400000" vert="horz"/>
          <a:lstStyle/>
          <a:p>
            <a:pPr>
              <a:defRPr sz="1000" b="1" i="0" u="none" strike="noStrike" baseline="0">
                <a:solidFill>
                  <a:srgbClr val="FFFFFF"/>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numFmt formatCode="&quot;$&quot;#,##0" sourceLinked="1"/>
        <c:majorTickMark val="none"/>
        <c:minorTickMark val="none"/>
        <c:tickLblPos val="nextTo"/>
        <c:spPr>
          <a:ln w="3175">
            <a:solidFill>
              <a:srgbClr val="000000"/>
            </a:solidFill>
            <a:prstDash val="solid"/>
          </a:ln>
        </c:spPr>
        <c:txPr>
          <a:bodyPr rot="0" vert="horz"/>
          <a:lstStyle/>
          <a:p>
            <a:pPr>
              <a:defRPr sz="1000" b="1" i="0" u="none" strike="noStrike" baseline="0">
                <a:solidFill>
                  <a:srgbClr val="FFFFFF"/>
                </a:solidFill>
                <a:latin typeface="Arial"/>
                <a:ea typeface="Arial"/>
                <a:cs typeface="Arial"/>
              </a:defRPr>
            </a:pPr>
            <a:endParaRPr lang="en-US"/>
          </a:p>
        </c:txPr>
        <c:crossAx val="1769747760"/>
        <c:crosses val="autoZero"/>
        <c:crossBetween val="midCat"/>
      </c:valAx>
      <c:spPr>
        <a:solidFill>
          <a:srgbClr val="FFFFFF"/>
        </a:solidFill>
        <a:ln w="25400">
          <a:noFill/>
        </a:ln>
      </c:spPr>
    </c:plotArea>
    <c:plotVisOnly val="1"/>
    <c:dispBlanksAs val="gap"/>
    <c:showDLblsOverMax val="0"/>
  </c:chart>
  <c:spPr>
    <a:gradFill rotWithShape="0">
      <a:gsLst>
        <a:gs pos="0">
          <a:srgbClr xmlns:mc="http://schemas.openxmlformats.org/markup-compatibility/2006" xmlns:a14="http://schemas.microsoft.com/office/drawing/2010/main" val="00CCFF" mc:Ignorable="a14" a14:legacySpreadsheetColorIndex="40"/>
        </a:gs>
        <a:gs pos="100000">
          <a:srgbClr xmlns:mc="http://schemas.openxmlformats.org/markup-compatibility/2006" xmlns:a14="http://schemas.microsoft.com/office/drawing/2010/main" val="005E76" mc:Ignorable="a14" a14:legacySpreadsheetColorIndex="40">
            <a:gamma/>
            <a:shade val="46275"/>
            <a:invGamma/>
          </a:srgbClr>
        </a:gs>
      </a:gsLst>
      <a:lin ang="5400000" scaled="1"/>
    </a:gra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25" b="1" i="0" u="none" strike="noStrike" baseline="0">
                <a:solidFill>
                  <a:srgbClr val="000000"/>
                </a:solidFill>
                <a:latin typeface="Arial"/>
                <a:ea typeface="Arial"/>
                <a:cs typeface="Arial"/>
              </a:defRPr>
            </a:pPr>
            <a:r>
              <a:rPr lang="en-HK"/>
              <a:t>Break-Even Chart Analysis</a:t>
            </a:r>
          </a:p>
        </c:rich>
      </c:tx>
      <c:layout>
        <c:manualLayout>
          <c:xMode val="edge"/>
          <c:yMode val="edge"/>
          <c:x val="0.34881974734604321"/>
          <c:y val="3.5613724639132809E-2"/>
        </c:manualLayout>
      </c:layout>
      <c:overlay val="0"/>
      <c:spPr>
        <a:noFill/>
        <a:ln w="25400">
          <a:noFill/>
        </a:ln>
      </c:spPr>
    </c:title>
    <c:autoTitleDeleted val="0"/>
    <c:plotArea>
      <c:layout>
        <c:manualLayout>
          <c:layoutTarget val="inner"/>
          <c:xMode val="edge"/>
          <c:yMode val="edge"/>
          <c:x val="0.1429488982118636"/>
          <c:y val="0.25214517044506024"/>
          <c:w val="0.80821107835169037"/>
          <c:h val="0.54560226147151458"/>
        </c:manualLayout>
      </c:layout>
      <c:lineChart>
        <c:grouping val="standard"/>
        <c:varyColors val="0"/>
        <c:ser>
          <c:idx val="1"/>
          <c:order val="0"/>
          <c:tx>
            <c:v>REVENUE</c:v>
          </c:tx>
          <c:spPr>
            <a:ln w="12700">
              <a:solidFill>
                <a:srgbClr val="000000"/>
              </a:solidFill>
              <a:prstDash val="solid"/>
            </a:ln>
          </c:spPr>
          <c:marker>
            <c:symbol val="none"/>
          </c:marker>
          <c:cat>
            <c:strRef>
              <c:f>'BE Calculations'!$H$20:$H$31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Calculations'!$C$19:$C$31</c:f>
              <c:numCache>
                <c:formatCode>"$"#,##0</c:formatCode>
                <c:ptCount val="13"/>
                <c:pt idx="0">
                  <c:v>0</c:v>
                </c:pt>
                <c:pt idx="1">
                  <c:v>80651.5</c:v>
                </c:pt>
                <c:pt idx="2">
                  <c:v>161303</c:v>
                </c:pt>
                <c:pt idx="3">
                  <c:v>241954.5</c:v>
                </c:pt>
                <c:pt idx="4">
                  <c:v>322606</c:v>
                </c:pt>
                <c:pt idx="5">
                  <c:v>403257.5</c:v>
                </c:pt>
                <c:pt idx="6">
                  <c:v>483909</c:v>
                </c:pt>
                <c:pt idx="7">
                  <c:v>564560.5</c:v>
                </c:pt>
                <c:pt idx="8">
                  <c:v>645212</c:v>
                </c:pt>
                <c:pt idx="9">
                  <c:v>725863.5</c:v>
                </c:pt>
                <c:pt idx="10">
                  <c:v>806515</c:v>
                </c:pt>
                <c:pt idx="11">
                  <c:v>887166.5</c:v>
                </c:pt>
                <c:pt idx="12">
                  <c:v>967818</c:v>
                </c:pt>
              </c:numCache>
            </c:numRef>
          </c:val>
          <c:smooth val="1"/>
          <c:extLst>
            <c:ext xmlns:c16="http://schemas.microsoft.com/office/drawing/2014/chart" uri="{C3380CC4-5D6E-409C-BE32-E72D297353CC}">
              <c16:uniqueId val="{00000000-1226-46E9-99FA-6F0878DB9AD1}"/>
            </c:ext>
          </c:extLst>
        </c:ser>
        <c:ser>
          <c:idx val="0"/>
          <c:order val="1"/>
          <c:tx>
            <c:v>FIXED COSTS</c:v>
          </c:tx>
          <c:spPr>
            <a:ln w="12700">
              <a:solidFill>
                <a:srgbClr val="000080"/>
              </a:solidFill>
              <a:prstDash val="solid"/>
            </a:ln>
          </c:spPr>
          <c:marker>
            <c:symbol val="none"/>
          </c:marker>
          <c:cat>
            <c:strRef>
              <c:f>'BE Calculations'!$H$20:$H$31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Calculations'!$D$19:$D$31</c:f>
              <c:numCache>
                <c:formatCode>"$"#,##0</c:formatCode>
                <c:ptCount val="13"/>
                <c:pt idx="0">
                  <c:v>170124</c:v>
                </c:pt>
                <c:pt idx="1">
                  <c:v>170124</c:v>
                </c:pt>
                <c:pt idx="2">
                  <c:v>170124</c:v>
                </c:pt>
                <c:pt idx="3">
                  <c:v>170124</c:v>
                </c:pt>
                <c:pt idx="4">
                  <c:v>170124</c:v>
                </c:pt>
                <c:pt idx="5">
                  <c:v>170124</c:v>
                </c:pt>
                <c:pt idx="6">
                  <c:v>170124</c:v>
                </c:pt>
                <c:pt idx="7">
                  <c:v>170124</c:v>
                </c:pt>
                <c:pt idx="8">
                  <c:v>170124</c:v>
                </c:pt>
                <c:pt idx="9">
                  <c:v>170124</c:v>
                </c:pt>
                <c:pt idx="10">
                  <c:v>170124</c:v>
                </c:pt>
                <c:pt idx="11">
                  <c:v>170124</c:v>
                </c:pt>
                <c:pt idx="12">
                  <c:v>170124</c:v>
                </c:pt>
              </c:numCache>
            </c:numRef>
          </c:val>
          <c:smooth val="0"/>
          <c:extLst>
            <c:ext xmlns:c16="http://schemas.microsoft.com/office/drawing/2014/chart" uri="{C3380CC4-5D6E-409C-BE32-E72D297353CC}">
              <c16:uniqueId val="{00000001-1226-46E9-99FA-6F0878DB9AD1}"/>
            </c:ext>
          </c:extLst>
        </c:ser>
        <c:ser>
          <c:idx val="2"/>
          <c:order val="2"/>
          <c:tx>
            <c:v>TOTAL COSTS</c:v>
          </c:tx>
          <c:spPr>
            <a:ln w="12700">
              <a:solidFill>
                <a:srgbClr val="FF0000"/>
              </a:solidFill>
              <a:prstDash val="solid"/>
            </a:ln>
          </c:spPr>
          <c:marker>
            <c:symbol val="none"/>
          </c:marker>
          <c:cat>
            <c:strRef>
              <c:f>'BE Calculations'!$H$20:$H$31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'BE Calculations'!$F$19:$F$31</c:f>
              <c:numCache>
                <c:formatCode>"$"#,##0</c:formatCode>
                <c:ptCount val="13"/>
                <c:pt idx="0">
                  <c:v>170124</c:v>
                </c:pt>
                <c:pt idx="1">
                  <c:v>228973.75</c:v>
                </c:pt>
                <c:pt idx="2">
                  <c:v>287823.5</c:v>
                </c:pt>
                <c:pt idx="3">
                  <c:v>346673.25</c:v>
                </c:pt>
                <c:pt idx="4">
                  <c:v>405523</c:v>
                </c:pt>
                <c:pt idx="5">
                  <c:v>464372.75</c:v>
                </c:pt>
                <c:pt idx="6">
                  <c:v>523222.5</c:v>
                </c:pt>
                <c:pt idx="7">
                  <c:v>582072.25</c:v>
                </c:pt>
                <c:pt idx="8">
                  <c:v>640922</c:v>
                </c:pt>
                <c:pt idx="9">
                  <c:v>699771.75</c:v>
                </c:pt>
                <c:pt idx="10">
                  <c:v>758621.5</c:v>
                </c:pt>
                <c:pt idx="11">
                  <c:v>817471.25</c:v>
                </c:pt>
                <c:pt idx="12">
                  <c:v>876321</c:v>
                </c:pt>
              </c:numCache>
            </c:numRef>
          </c:val>
          <c:smooth val="1"/>
          <c:extLst>
            <c:ext xmlns:c16="http://schemas.microsoft.com/office/drawing/2014/chart" uri="{C3380CC4-5D6E-409C-BE32-E72D297353CC}">
              <c16:uniqueId val="{00000002-1226-46E9-99FA-6F0878DB9AD1}"/>
            </c:ext>
          </c:extLst>
        </c:ser>
        <c:dLbls>
          <c:showLegendKey val="0"/>
          <c:showVal val="0"/>
          <c:showCatName val="0"/>
          <c:showSerName val="0"/>
          <c:showPercent val="0"/>
          <c:showBubbleSize val="0"/>
        </c:dLbls>
        <c:smooth val="0"/>
        <c:axId val="1977730656"/>
        <c:axId val="1"/>
      </c:lineChart>
      <c:catAx>
        <c:axId val="1977730656"/>
        <c:scaling>
          <c:orientation val="minMax"/>
        </c:scaling>
        <c:delete val="0"/>
        <c:axPos val="b"/>
        <c:majorGridlines>
          <c:spPr>
            <a:ln w="3175">
              <a:solidFill>
                <a:srgbClr val="000000"/>
              </a:solidFill>
              <a:prstDash val="solid"/>
            </a:ln>
          </c:spPr>
        </c:majorGridlines>
        <c:title>
          <c:tx>
            <c:rich>
              <a:bodyPr/>
              <a:lstStyle/>
              <a:p>
                <a:pPr>
                  <a:defRPr sz="1025" b="1" i="0" u="none" strike="noStrike" baseline="0">
                    <a:solidFill>
                      <a:srgbClr val="FFFFFF"/>
                    </a:solidFill>
                    <a:latin typeface="Arial"/>
                    <a:ea typeface="Arial"/>
                    <a:cs typeface="Arial"/>
                  </a:defRPr>
                </a:pPr>
                <a:r>
                  <a:rPr lang="en-HK"/>
                  <a:t>Months</a:t>
                </a:r>
              </a:p>
            </c:rich>
          </c:tx>
          <c:layout>
            <c:manualLayout>
              <c:xMode val="edge"/>
              <c:yMode val="edge"/>
              <c:x val="0.50581917828813272"/>
              <c:y val="0.91598499771849573"/>
            </c:manualLayout>
          </c:layout>
          <c:overlay val="0"/>
          <c:spPr>
            <a:noFill/>
            <a:ln w="25400">
              <a:noFill/>
            </a:ln>
          </c:spPr>
        </c:title>
        <c:numFmt formatCode="General" sourceLinked="0"/>
        <c:majorTickMark val="none"/>
        <c:minorTickMark val="none"/>
        <c:tickLblPos val="nextTo"/>
        <c:spPr>
          <a:ln w="25400">
            <a:solidFill>
              <a:srgbClr val="FFFFFF"/>
            </a:solidFill>
            <a:prstDash val="solid"/>
          </a:ln>
        </c:spPr>
        <c:txPr>
          <a:bodyPr rot="-5400000" vert="horz"/>
          <a:lstStyle/>
          <a:p>
            <a:pPr>
              <a:defRPr sz="1025" b="1" i="0" u="none" strike="noStrike" baseline="0">
                <a:solidFill>
                  <a:srgbClr val="FFFFFF"/>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numFmt formatCode="&quot;$&quot;#,##0" sourceLinked="1"/>
        <c:majorTickMark val="none"/>
        <c:minorTickMark val="none"/>
        <c:tickLblPos val="nextTo"/>
        <c:spPr>
          <a:ln w="3175">
            <a:solidFill>
              <a:srgbClr val="000000"/>
            </a:solidFill>
            <a:prstDash val="solid"/>
          </a:ln>
        </c:spPr>
        <c:txPr>
          <a:bodyPr rot="0" vert="horz"/>
          <a:lstStyle/>
          <a:p>
            <a:pPr>
              <a:defRPr sz="1025" b="1" i="0" u="none" strike="noStrike" baseline="0">
                <a:solidFill>
                  <a:srgbClr val="FFFFFF"/>
                </a:solidFill>
                <a:latin typeface="Arial"/>
                <a:ea typeface="Arial"/>
                <a:cs typeface="Arial"/>
              </a:defRPr>
            </a:pPr>
            <a:endParaRPr lang="en-US"/>
          </a:p>
        </c:txPr>
        <c:crossAx val="1977730656"/>
        <c:crosses val="autoZero"/>
        <c:crossBetween val="midCat"/>
      </c:valAx>
      <c:spPr>
        <a:solidFill>
          <a:srgbClr val="FFFFFF"/>
        </a:solidFill>
        <a:ln w="25400">
          <a:noFill/>
        </a:ln>
      </c:spPr>
    </c:plotArea>
    <c:plotVisOnly val="1"/>
    <c:dispBlanksAs val="gap"/>
    <c:showDLblsOverMax val="0"/>
  </c:chart>
  <c:spPr>
    <a:gradFill rotWithShape="0">
      <a:gsLst>
        <a:gs pos="0">
          <a:srgbClr xmlns:mc="http://schemas.openxmlformats.org/markup-compatibility/2006" xmlns:a14="http://schemas.microsoft.com/office/drawing/2010/main" val="00CCFF" mc:Ignorable="a14" a14:legacySpreadsheetColorIndex="40"/>
        </a:gs>
        <a:gs pos="100000">
          <a:srgbClr xmlns:mc="http://schemas.openxmlformats.org/markup-compatibility/2006" xmlns:a14="http://schemas.microsoft.com/office/drawing/2010/main" val="005E76" mc:Ignorable="a14" a14:legacySpreadsheetColorIndex="40">
            <a:gamma/>
            <a:shade val="46275"/>
            <a:invGamma/>
          </a:srgbClr>
        </a:gs>
      </a:gsLst>
      <a:lin ang="5400000" scaled="1"/>
    </a:gra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0"/>
      <c:rotY val="0"/>
      <c:rAngAx val="0"/>
      <c:perspective val="0"/>
    </c:view3D>
    <c:floor>
      <c:thickness val="0"/>
    </c:floor>
    <c:sideWall>
      <c:thickness val="0"/>
    </c:sideWall>
    <c:backWall>
      <c:thickness val="0"/>
    </c:backWall>
    <c:plotArea>
      <c:layout>
        <c:manualLayout>
          <c:layoutTarget val="inner"/>
          <c:xMode val="edge"/>
          <c:yMode val="edge"/>
          <c:x val="0.24032659162949058"/>
          <c:y val="0.21745361981575248"/>
          <c:w val="0.52051778376624258"/>
          <c:h val="0.49559197074287775"/>
        </c:manualLayout>
      </c:layout>
      <c:pie3DChart>
        <c:varyColors val="1"/>
        <c:ser>
          <c:idx val="0"/>
          <c:order val="0"/>
          <c:spPr>
            <a:solidFill>
              <a:srgbClr val="9999FF"/>
            </a:solidFill>
            <a:ln w="12700">
              <a:solidFill>
                <a:srgbClr val="000000"/>
              </a:solidFill>
              <a:prstDash val="solid"/>
            </a:ln>
          </c:spPr>
          <c:explosion val="25"/>
          <c:dPt>
            <c:idx val="0"/>
            <c:bubble3D val="0"/>
            <c:extLst>
              <c:ext xmlns:c16="http://schemas.microsoft.com/office/drawing/2014/chart" uri="{C3380CC4-5D6E-409C-BE32-E72D297353CC}">
                <c16:uniqueId val="{00000000-27BC-49DD-8301-3F5394D7C813}"/>
              </c:ext>
            </c:extLst>
          </c:dPt>
          <c:dPt>
            <c:idx val="1"/>
            <c:bubble3D val="0"/>
            <c:spPr>
              <a:solidFill>
                <a:srgbClr val="FF0000"/>
              </a:solidFill>
              <a:ln w="12700">
                <a:solidFill>
                  <a:srgbClr val="000000"/>
                </a:solidFill>
                <a:prstDash val="solid"/>
              </a:ln>
            </c:spPr>
            <c:extLst>
              <c:ext xmlns:c16="http://schemas.microsoft.com/office/drawing/2014/chart" uri="{C3380CC4-5D6E-409C-BE32-E72D297353CC}">
                <c16:uniqueId val="{00000001-27BC-49DD-8301-3F5394D7C813}"/>
              </c:ext>
            </c:extLst>
          </c:dPt>
          <c:dPt>
            <c:idx val="2"/>
            <c:bubble3D val="0"/>
            <c:spPr>
              <a:solidFill>
                <a:srgbClr val="33CCCC"/>
              </a:solidFill>
              <a:ln w="12700">
                <a:solidFill>
                  <a:srgbClr val="000000"/>
                </a:solidFill>
                <a:prstDash val="solid"/>
              </a:ln>
            </c:spPr>
            <c:extLst>
              <c:ext xmlns:c16="http://schemas.microsoft.com/office/drawing/2014/chart" uri="{C3380CC4-5D6E-409C-BE32-E72D297353CC}">
                <c16:uniqueId val="{00000002-27BC-49DD-8301-3F5394D7C813}"/>
              </c:ext>
            </c:extLst>
          </c:dPt>
          <c:dLbls>
            <c:spPr>
              <a:noFill/>
              <a:ln w="25400">
                <a:noFill/>
              </a:ln>
            </c:spPr>
            <c:txPr>
              <a:bodyPr wrap="square" lIns="38100" tIns="19050" rIns="38100" bIns="19050" anchor="ctr">
                <a:spAutoFit/>
              </a:bodyPr>
              <a:lstStyle/>
              <a:p>
                <a:pPr>
                  <a:defRPr sz="115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'Break-Even Analysis Data Entry'!$O$23:$O$25</c:f>
              <c:strCache>
                <c:ptCount val="3"/>
                <c:pt idx="0">
                  <c:v>Fixed %</c:v>
                </c:pt>
                <c:pt idx="1">
                  <c:v>Total Variable %</c:v>
                </c:pt>
                <c:pt idx="2">
                  <c:v>Profit %</c:v>
                </c:pt>
              </c:strCache>
            </c:strRef>
          </c:cat>
          <c:val>
            <c:numRef>
              <c:f>'Break-Even Analysis Data Entry'!$P$23:$P$25</c:f>
              <c:numCache>
                <c:formatCode>0.00%_);[Red]\(0.00%\)</c:formatCode>
                <c:ptCount val="3"/>
                <c:pt idx="0">
                  <c:v>0.17578098361468789</c:v>
                </c:pt>
                <c:pt idx="1">
                  <c:v>0.83300475915926342</c:v>
                </c:pt>
                <c:pt idx="2">
                  <c:v>-8.7857427739513015E-3</c:v>
                </c:pt>
              </c:numCache>
            </c:numRef>
          </c:val>
          <c:extLst>
            <c:ext xmlns:c16="http://schemas.microsoft.com/office/drawing/2014/chart" uri="{C3380CC4-5D6E-409C-BE32-E72D297353CC}">
              <c16:uniqueId val="{00000003-27BC-49DD-8301-3F5394D7C813}"/>
            </c:ext>
          </c:extLst>
        </c:ser>
        <c:dLbls>
          <c:showLegendKey val="0"/>
          <c:showVal val="0"/>
          <c:showCatName val="0"/>
          <c:showSerName val="0"/>
          <c:showPercent val="0"/>
          <c:showBubbleSize val="0"/>
          <c:showLeaderLines val="1"/>
        </c:dLbls>
      </c:pie3DChart>
      <c:spPr>
        <a:noFill/>
        <a:ln w="25400">
          <a:noFill/>
        </a:ln>
      </c:spPr>
    </c:plotArea>
    <c:legend>
      <c:legendPos val="b"/>
      <c:layout>
        <c:manualLayout>
          <c:xMode val="edge"/>
          <c:yMode val="edge"/>
          <c:x val="0.17312626506010695"/>
          <c:y val="0.92291361898546109"/>
          <c:w val="0.65377944831908807"/>
          <c:h val="6.0684731111372785E-2"/>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0"/>
      <c:rotY val="0"/>
      <c:rAngAx val="0"/>
      <c:perspective val="0"/>
    </c:view3D>
    <c:floor>
      <c:thickness val="0"/>
    </c:floor>
    <c:sideWall>
      <c:thickness val="0"/>
    </c:sideWall>
    <c:backWall>
      <c:thickness val="0"/>
    </c:backWall>
    <c:plotArea>
      <c:layout>
        <c:manualLayout>
          <c:layoutTarget val="inner"/>
          <c:xMode val="edge"/>
          <c:yMode val="edge"/>
          <c:x val="0.23690962587172532"/>
          <c:y val="0.21366082412129167"/>
          <c:w val="0.52735171528177316"/>
          <c:h val="0.50191329690031239"/>
        </c:manualLayout>
      </c:layout>
      <c:pie3DChart>
        <c:varyColors val="1"/>
        <c:ser>
          <c:idx val="0"/>
          <c:order val="0"/>
          <c:spPr>
            <a:solidFill>
              <a:srgbClr val="9999FF"/>
            </a:solidFill>
            <a:ln w="12700">
              <a:solidFill>
                <a:srgbClr val="000000"/>
              </a:solidFill>
              <a:prstDash val="solid"/>
            </a:ln>
          </c:spPr>
          <c:explosion val="25"/>
          <c:dPt>
            <c:idx val="0"/>
            <c:bubble3D val="0"/>
            <c:extLst>
              <c:ext xmlns:c16="http://schemas.microsoft.com/office/drawing/2014/chart" uri="{C3380CC4-5D6E-409C-BE32-E72D297353CC}">
                <c16:uniqueId val="{00000000-1B7B-499A-B9E3-5D3898473DCC}"/>
              </c:ext>
            </c:extLst>
          </c:dPt>
          <c:dPt>
            <c:idx val="1"/>
            <c:bubble3D val="0"/>
            <c:spPr>
              <a:solidFill>
                <a:srgbClr val="FF0000"/>
              </a:solidFill>
              <a:ln w="12700">
                <a:solidFill>
                  <a:srgbClr val="000000"/>
                </a:solidFill>
                <a:prstDash val="solid"/>
              </a:ln>
            </c:spPr>
            <c:extLst>
              <c:ext xmlns:c16="http://schemas.microsoft.com/office/drawing/2014/chart" uri="{C3380CC4-5D6E-409C-BE32-E72D297353CC}">
                <c16:uniqueId val="{00000001-1B7B-499A-B9E3-5D3898473DCC}"/>
              </c:ext>
            </c:extLst>
          </c:dPt>
          <c:dPt>
            <c:idx val="2"/>
            <c:bubble3D val="0"/>
            <c:spPr>
              <a:solidFill>
                <a:srgbClr val="33CCCC"/>
              </a:solidFill>
              <a:ln w="12700">
                <a:solidFill>
                  <a:srgbClr val="000000"/>
                </a:solidFill>
                <a:prstDash val="solid"/>
              </a:ln>
            </c:spPr>
            <c:extLst>
              <c:ext xmlns:c16="http://schemas.microsoft.com/office/drawing/2014/chart" uri="{C3380CC4-5D6E-409C-BE32-E72D297353CC}">
                <c16:uniqueId val="{00000002-1B7B-499A-B9E3-5D3898473DCC}"/>
              </c:ext>
            </c:extLst>
          </c:dPt>
          <c:dLbls>
            <c:spPr>
              <a:noFill/>
              <a:ln w="25400">
                <a:noFill/>
              </a:ln>
            </c:spPr>
            <c:txPr>
              <a:bodyPr wrap="square" lIns="38100" tIns="19050" rIns="38100" bIns="19050" anchor="ctr">
                <a:spAutoFit/>
              </a:bodyPr>
              <a:lstStyle/>
              <a:p>
                <a:pPr>
                  <a:defRPr sz="115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'Break-Even Analysis Data Entry'!$S$23:$S$25</c:f>
              <c:strCache>
                <c:ptCount val="3"/>
                <c:pt idx="0">
                  <c:v>Fixed %</c:v>
                </c:pt>
                <c:pt idx="1">
                  <c:v>Total Variable %</c:v>
                </c:pt>
                <c:pt idx="2">
                  <c:v>Profit %</c:v>
                </c:pt>
              </c:strCache>
            </c:strRef>
          </c:cat>
          <c:val>
            <c:numRef>
              <c:f>'Break-Even Analysis Data Entry'!$T$23:$T$25</c:f>
              <c:numCache>
                <c:formatCode>0.00%_);[Red]\(0.00%\)</c:formatCode>
                <c:ptCount val="3"/>
                <c:pt idx="0">
                  <c:v>0.17578098361468789</c:v>
                </c:pt>
                <c:pt idx="1">
                  <c:v>0.72967954718759109</c:v>
                </c:pt>
                <c:pt idx="2">
                  <c:v>9.4539469197721063E-2</c:v>
                </c:pt>
              </c:numCache>
            </c:numRef>
          </c:val>
          <c:extLst>
            <c:ext xmlns:c16="http://schemas.microsoft.com/office/drawing/2014/chart" uri="{C3380CC4-5D6E-409C-BE32-E72D297353CC}">
              <c16:uniqueId val="{00000003-1B7B-499A-B9E3-5D3898473DCC}"/>
            </c:ext>
          </c:extLst>
        </c:ser>
        <c:dLbls>
          <c:showLegendKey val="0"/>
          <c:showVal val="0"/>
          <c:showCatName val="0"/>
          <c:showSerName val="0"/>
          <c:showPercent val="0"/>
          <c:showBubbleSize val="0"/>
          <c:showLeaderLines val="1"/>
        </c:dLbls>
      </c:pie3DChart>
      <c:spPr>
        <a:noFill/>
        <a:ln w="25400">
          <a:noFill/>
        </a:ln>
      </c:spPr>
    </c:plotArea>
    <c:legend>
      <c:legendPos val="b"/>
      <c:layout>
        <c:manualLayout>
          <c:xMode val="edge"/>
          <c:yMode val="edge"/>
          <c:x val="0.17312626506010695"/>
          <c:y val="0.92291361898546109"/>
          <c:w val="0.65377944831908807"/>
          <c:h val="6.0684731111372785E-2"/>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Times New Roman"/>
                <a:ea typeface="Times New Roman"/>
                <a:cs typeface="Times New Roman"/>
              </a:defRPr>
            </a:pPr>
            <a:r>
              <a:rPr lang="en-HK"/>
              <a:t>Store A</a:t>
            </a:r>
          </a:p>
        </c:rich>
      </c:tx>
      <c:layout>
        <c:manualLayout>
          <c:xMode val="edge"/>
          <c:yMode val="edge"/>
          <c:x val="0.46388180487439096"/>
          <c:y val="4.4644320951176902E-2"/>
        </c:manualLayout>
      </c:layout>
      <c:overlay val="0"/>
      <c:spPr>
        <a:noFill/>
        <a:ln w="25400">
          <a:noFill/>
        </a:ln>
      </c:spPr>
    </c:title>
    <c:autoTitleDeleted val="0"/>
    <c:plotArea>
      <c:layout>
        <c:manualLayout>
          <c:layoutTarget val="inner"/>
          <c:xMode val="edge"/>
          <c:yMode val="edge"/>
          <c:x val="0.15918470356742259"/>
          <c:y val="0.21652495661320798"/>
          <c:w val="0.81545538330550837"/>
          <c:h val="0.6004661167933294"/>
        </c:manualLayout>
      </c:layout>
      <c:lineChart>
        <c:grouping val="standard"/>
        <c:varyColors val="0"/>
        <c:ser>
          <c:idx val="0"/>
          <c:order val="0"/>
          <c:tx>
            <c:strRef>
              <c:f>'Applying Break-Even'!$D$56</c:f>
              <c:strCache>
                <c:ptCount val="1"/>
                <c:pt idx="0">
                  <c:v>Sales</c:v>
                </c:pt>
              </c:strCache>
            </c:strRef>
          </c:tx>
          <c:spPr>
            <a:ln w="12700">
              <a:solidFill>
                <a:srgbClr val="000000"/>
              </a:solidFill>
              <a:prstDash val="solid"/>
            </a:ln>
          </c:spPr>
          <c:marker>
            <c:symbol val="none"/>
          </c:marker>
          <c:cat>
            <c:numRef>
              <c:f>'Applying Break-Even'!$C$57:$C$63</c:f>
              <c:numCache>
                <c:formatCode>0,</c:formatCode>
                <c:ptCount val="7"/>
                <c:pt idx="0">
                  <c:v>20000</c:v>
                </c:pt>
                <c:pt idx="1">
                  <c:v>50000</c:v>
                </c:pt>
                <c:pt idx="2">
                  <c:v>80000</c:v>
                </c:pt>
                <c:pt idx="3">
                  <c:v>110000</c:v>
                </c:pt>
                <c:pt idx="4">
                  <c:v>140000</c:v>
                </c:pt>
                <c:pt idx="5">
                  <c:v>170000</c:v>
                </c:pt>
                <c:pt idx="6">
                  <c:v>200000</c:v>
                </c:pt>
              </c:numCache>
            </c:numRef>
          </c:cat>
          <c:val>
            <c:numRef>
              <c:f>'Applying Break-Even'!$D$57:$D$63</c:f>
              <c:numCache>
                <c:formatCode>"$"#,##0_);\("$"#,##0\)</c:formatCode>
                <c:ptCount val="7"/>
                <c:pt idx="0">
                  <c:v>40000</c:v>
                </c:pt>
                <c:pt idx="1">
                  <c:v>100000</c:v>
                </c:pt>
                <c:pt idx="2">
                  <c:v>160000</c:v>
                </c:pt>
                <c:pt idx="3">
                  <c:v>220000</c:v>
                </c:pt>
                <c:pt idx="4">
                  <c:v>280000</c:v>
                </c:pt>
                <c:pt idx="5">
                  <c:v>340000</c:v>
                </c:pt>
                <c:pt idx="6">
                  <c:v>400000</c:v>
                </c:pt>
              </c:numCache>
            </c:numRef>
          </c:val>
          <c:smooth val="0"/>
          <c:extLst>
            <c:ext xmlns:c16="http://schemas.microsoft.com/office/drawing/2014/chart" uri="{C3380CC4-5D6E-409C-BE32-E72D297353CC}">
              <c16:uniqueId val="{00000000-47CA-4C47-8CBA-9535821D4C6F}"/>
            </c:ext>
          </c:extLst>
        </c:ser>
        <c:ser>
          <c:idx val="1"/>
          <c:order val="1"/>
          <c:tx>
            <c:strRef>
              <c:f>'Applying Break-Even'!$E$56</c:f>
              <c:strCache>
                <c:ptCount val="1"/>
                <c:pt idx="0">
                  <c:v>Fixed costs</c:v>
                </c:pt>
              </c:strCache>
            </c:strRef>
          </c:tx>
          <c:spPr>
            <a:ln w="12700">
              <a:solidFill>
                <a:srgbClr val="000000"/>
              </a:solidFill>
              <a:prstDash val="solid"/>
            </a:ln>
          </c:spPr>
          <c:marker>
            <c:symbol val="none"/>
          </c:marker>
          <c:cat>
            <c:numRef>
              <c:f>'Applying Break-Even'!$C$57:$C$63</c:f>
              <c:numCache>
                <c:formatCode>0,</c:formatCode>
                <c:ptCount val="7"/>
                <c:pt idx="0">
                  <c:v>20000</c:v>
                </c:pt>
                <c:pt idx="1">
                  <c:v>50000</c:v>
                </c:pt>
                <c:pt idx="2">
                  <c:v>80000</c:v>
                </c:pt>
                <c:pt idx="3">
                  <c:v>110000</c:v>
                </c:pt>
                <c:pt idx="4">
                  <c:v>140000</c:v>
                </c:pt>
                <c:pt idx="5">
                  <c:v>170000</c:v>
                </c:pt>
                <c:pt idx="6">
                  <c:v>200000</c:v>
                </c:pt>
              </c:numCache>
            </c:numRef>
          </c:cat>
          <c:val>
            <c:numRef>
              <c:f>'Applying Break-Even'!$E$57:$E$63</c:f>
              <c:numCache>
                <c:formatCode>"$"#,##0_);\("$"#,##0\)</c:formatCode>
                <c:ptCount val="7"/>
                <c:pt idx="0">
                  <c:v>20000</c:v>
                </c:pt>
                <c:pt idx="1">
                  <c:v>20000</c:v>
                </c:pt>
                <c:pt idx="2">
                  <c:v>20000</c:v>
                </c:pt>
                <c:pt idx="3">
                  <c:v>20000</c:v>
                </c:pt>
                <c:pt idx="4">
                  <c:v>20000</c:v>
                </c:pt>
                <c:pt idx="5">
                  <c:v>20000</c:v>
                </c:pt>
                <c:pt idx="6">
                  <c:v>20000</c:v>
                </c:pt>
              </c:numCache>
            </c:numRef>
          </c:val>
          <c:smooth val="0"/>
          <c:extLst>
            <c:ext xmlns:c16="http://schemas.microsoft.com/office/drawing/2014/chart" uri="{C3380CC4-5D6E-409C-BE32-E72D297353CC}">
              <c16:uniqueId val="{00000001-47CA-4C47-8CBA-9535821D4C6F}"/>
            </c:ext>
          </c:extLst>
        </c:ser>
        <c:ser>
          <c:idx val="2"/>
          <c:order val="2"/>
          <c:tx>
            <c:strRef>
              <c:f>'Applying Break-Even'!$G$56</c:f>
              <c:strCache>
                <c:ptCount val="1"/>
                <c:pt idx="0">
                  <c:v>Total Costs</c:v>
                </c:pt>
              </c:strCache>
            </c:strRef>
          </c:tx>
          <c:spPr>
            <a:ln w="12700">
              <a:solidFill>
                <a:srgbClr val="000000"/>
              </a:solidFill>
              <a:prstDash val="solid"/>
            </a:ln>
          </c:spPr>
          <c:marker>
            <c:symbol val="none"/>
          </c:marker>
          <c:cat>
            <c:numRef>
              <c:f>'Applying Break-Even'!$C$57:$C$63</c:f>
              <c:numCache>
                <c:formatCode>0,</c:formatCode>
                <c:ptCount val="7"/>
                <c:pt idx="0">
                  <c:v>20000</c:v>
                </c:pt>
                <c:pt idx="1">
                  <c:v>50000</c:v>
                </c:pt>
                <c:pt idx="2">
                  <c:v>80000</c:v>
                </c:pt>
                <c:pt idx="3">
                  <c:v>110000</c:v>
                </c:pt>
                <c:pt idx="4">
                  <c:v>140000</c:v>
                </c:pt>
                <c:pt idx="5">
                  <c:v>170000</c:v>
                </c:pt>
                <c:pt idx="6">
                  <c:v>200000</c:v>
                </c:pt>
              </c:numCache>
            </c:numRef>
          </c:cat>
          <c:val>
            <c:numRef>
              <c:f>'Applying Break-Even'!$G$57:$G$63</c:f>
              <c:numCache>
                <c:formatCode>"$"#,##0_);\("$"#,##0\)</c:formatCode>
                <c:ptCount val="7"/>
                <c:pt idx="0">
                  <c:v>50000</c:v>
                </c:pt>
                <c:pt idx="1">
                  <c:v>95000</c:v>
                </c:pt>
                <c:pt idx="2">
                  <c:v>140000</c:v>
                </c:pt>
                <c:pt idx="3">
                  <c:v>185000</c:v>
                </c:pt>
                <c:pt idx="4">
                  <c:v>230000</c:v>
                </c:pt>
                <c:pt idx="5">
                  <c:v>275000</c:v>
                </c:pt>
                <c:pt idx="6">
                  <c:v>320000</c:v>
                </c:pt>
              </c:numCache>
            </c:numRef>
          </c:val>
          <c:smooth val="0"/>
          <c:extLst>
            <c:ext xmlns:c16="http://schemas.microsoft.com/office/drawing/2014/chart" uri="{C3380CC4-5D6E-409C-BE32-E72D297353CC}">
              <c16:uniqueId val="{00000002-47CA-4C47-8CBA-9535821D4C6F}"/>
            </c:ext>
          </c:extLst>
        </c:ser>
        <c:dLbls>
          <c:showLegendKey val="0"/>
          <c:showVal val="0"/>
          <c:showCatName val="0"/>
          <c:showSerName val="0"/>
          <c:showPercent val="0"/>
          <c:showBubbleSize val="0"/>
        </c:dLbls>
        <c:smooth val="0"/>
        <c:axId val="1782054352"/>
        <c:axId val="1"/>
      </c:lineChart>
      <c:catAx>
        <c:axId val="1782054352"/>
        <c:scaling>
          <c:orientation val="minMax"/>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HK"/>
                  <a:t>Units Sold (000)</a:t>
                </a:r>
              </a:p>
            </c:rich>
          </c:tx>
          <c:layout>
            <c:manualLayout>
              <c:xMode val="edge"/>
              <c:yMode val="edge"/>
              <c:x val="0.4863434501630457"/>
              <c:y val="0.895118635071096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
        <c:crossesAt val="-50000"/>
        <c:auto val="0"/>
        <c:lblAlgn val="ctr"/>
        <c:lblOffset val="100"/>
        <c:tickLblSkip val="1"/>
        <c:tickMarkSkip val="1"/>
        <c:noMultiLvlLbl val="0"/>
      </c:catAx>
      <c:valAx>
        <c:axId val="1"/>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HK"/>
                  <a:t>Cost, Sales and Profit</a:t>
                </a:r>
              </a:p>
            </c:rich>
          </c:tx>
          <c:layout>
            <c:manualLayout>
              <c:xMode val="edge"/>
              <c:yMode val="edge"/>
              <c:x val="1.757867892155587E-2"/>
              <c:y val="0.29018808618264985"/>
            </c:manualLayout>
          </c:layout>
          <c:overlay val="0"/>
          <c:spPr>
            <a:noFill/>
            <a:ln w="25400">
              <a:noFill/>
            </a:ln>
          </c:spPr>
        </c:title>
        <c:numFmt formatCode="&quot;$&quot;#,##0_);\(&quot;$&quot;#,##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7820543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orientation="landscape" horizontalDpi="300" verticalDpi="3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Times New Roman"/>
                <a:ea typeface="Times New Roman"/>
                <a:cs typeface="Times New Roman"/>
              </a:defRPr>
            </a:pPr>
            <a:r>
              <a:rPr lang="en-HK"/>
              <a:t>Store B</a:t>
            </a:r>
          </a:p>
        </c:rich>
      </c:tx>
      <c:layout>
        <c:manualLayout>
          <c:xMode val="edge"/>
          <c:yMode val="edge"/>
          <c:x val="0.46388180487439096"/>
          <c:y val="4.4644320951176902E-2"/>
        </c:manualLayout>
      </c:layout>
      <c:overlay val="0"/>
      <c:spPr>
        <a:noFill/>
        <a:ln w="25400">
          <a:noFill/>
        </a:ln>
      </c:spPr>
    </c:title>
    <c:autoTitleDeleted val="0"/>
    <c:plotArea>
      <c:layout>
        <c:manualLayout>
          <c:layoutTarget val="inner"/>
          <c:xMode val="edge"/>
          <c:yMode val="edge"/>
          <c:x val="0.15918470356742259"/>
          <c:y val="0.22322160475588451"/>
          <c:w val="0.81545538330550837"/>
          <c:h val="0.5803761723652997"/>
        </c:manualLayout>
      </c:layout>
      <c:lineChart>
        <c:grouping val="standard"/>
        <c:varyColors val="0"/>
        <c:ser>
          <c:idx val="0"/>
          <c:order val="0"/>
          <c:tx>
            <c:strRef>
              <c:f>'Applying Break-Even'!$D$83</c:f>
              <c:strCache>
                <c:ptCount val="1"/>
                <c:pt idx="0">
                  <c:v>Sales</c:v>
                </c:pt>
              </c:strCache>
            </c:strRef>
          </c:tx>
          <c:spPr>
            <a:ln w="12700">
              <a:solidFill>
                <a:srgbClr val="000000"/>
              </a:solidFill>
              <a:prstDash val="solid"/>
            </a:ln>
          </c:spPr>
          <c:marker>
            <c:symbol val="none"/>
          </c:marker>
          <c:cat>
            <c:numRef>
              <c:f>'Applying Break-Even'!$C$84:$C$90</c:f>
              <c:numCache>
                <c:formatCode>0,</c:formatCode>
                <c:ptCount val="7"/>
                <c:pt idx="0">
                  <c:v>20000</c:v>
                </c:pt>
                <c:pt idx="1">
                  <c:v>50000</c:v>
                </c:pt>
                <c:pt idx="2">
                  <c:v>80000</c:v>
                </c:pt>
                <c:pt idx="3">
                  <c:v>110000</c:v>
                </c:pt>
                <c:pt idx="4">
                  <c:v>140000</c:v>
                </c:pt>
                <c:pt idx="5">
                  <c:v>170000</c:v>
                </c:pt>
                <c:pt idx="6">
                  <c:v>200000</c:v>
                </c:pt>
              </c:numCache>
            </c:numRef>
          </c:cat>
          <c:val>
            <c:numRef>
              <c:f>'Applying Break-Even'!$D$84:$D$90</c:f>
              <c:numCache>
                <c:formatCode>"$"#,##0_);\("$"#,##0\)</c:formatCode>
                <c:ptCount val="7"/>
                <c:pt idx="0">
                  <c:v>40000</c:v>
                </c:pt>
                <c:pt idx="1">
                  <c:v>100000</c:v>
                </c:pt>
                <c:pt idx="2">
                  <c:v>160000</c:v>
                </c:pt>
                <c:pt idx="3">
                  <c:v>220000</c:v>
                </c:pt>
                <c:pt idx="4">
                  <c:v>280000</c:v>
                </c:pt>
                <c:pt idx="5">
                  <c:v>340000</c:v>
                </c:pt>
                <c:pt idx="6">
                  <c:v>400000</c:v>
                </c:pt>
              </c:numCache>
            </c:numRef>
          </c:val>
          <c:smooth val="0"/>
          <c:extLst>
            <c:ext xmlns:c16="http://schemas.microsoft.com/office/drawing/2014/chart" uri="{C3380CC4-5D6E-409C-BE32-E72D297353CC}">
              <c16:uniqueId val="{00000000-F350-4DF8-8813-849BED34C86C}"/>
            </c:ext>
          </c:extLst>
        </c:ser>
        <c:ser>
          <c:idx val="1"/>
          <c:order val="1"/>
          <c:tx>
            <c:strRef>
              <c:f>'Applying Break-Even'!$E$56</c:f>
              <c:strCache>
                <c:ptCount val="1"/>
                <c:pt idx="0">
                  <c:v>Fixed costs</c:v>
                </c:pt>
              </c:strCache>
            </c:strRef>
          </c:tx>
          <c:spPr>
            <a:ln w="12700">
              <a:solidFill>
                <a:srgbClr val="000000"/>
              </a:solidFill>
              <a:prstDash val="solid"/>
            </a:ln>
          </c:spPr>
          <c:marker>
            <c:symbol val="none"/>
          </c:marker>
          <c:cat>
            <c:numRef>
              <c:f>'Applying Break-Even'!$C$57:$C$63</c:f>
              <c:numCache>
                <c:formatCode>0,</c:formatCode>
                <c:ptCount val="7"/>
                <c:pt idx="0">
                  <c:v>20000</c:v>
                </c:pt>
                <c:pt idx="1">
                  <c:v>50000</c:v>
                </c:pt>
                <c:pt idx="2">
                  <c:v>80000</c:v>
                </c:pt>
                <c:pt idx="3">
                  <c:v>110000</c:v>
                </c:pt>
                <c:pt idx="4">
                  <c:v>140000</c:v>
                </c:pt>
                <c:pt idx="5">
                  <c:v>170000</c:v>
                </c:pt>
                <c:pt idx="6">
                  <c:v>200000</c:v>
                </c:pt>
              </c:numCache>
            </c:numRef>
          </c:cat>
          <c:val>
            <c:numRef>
              <c:f>'Applying Break-Even'!$E$57:$E$63</c:f>
              <c:numCache>
                <c:formatCode>"$"#,##0_);\("$"#,##0\)</c:formatCode>
                <c:ptCount val="7"/>
                <c:pt idx="0">
                  <c:v>20000</c:v>
                </c:pt>
                <c:pt idx="1">
                  <c:v>20000</c:v>
                </c:pt>
                <c:pt idx="2">
                  <c:v>20000</c:v>
                </c:pt>
                <c:pt idx="3">
                  <c:v>20000</c:v>
                </c:pt>
                <c:pt idx="4">
                  <c:v>20000</c:v>
                </c:pt>
                <c:pt idx="5">
                  <c:v>20000</c:v>
                </c:pt>
                <c:pt idx="6">
                  <c:v>20000</c:v>
                </c:pt>
              </c:numCache>
            </c:numRef>
          </c:val>
          <c:smooth val="0"/>
          <c:extLst>
            <c:ext xmlns:c16="http://schemas.microsoft.com/office/drawing/2014/chart" uri="{C3380CC4-5D6E-409C-BE32-E72D297353CC}">
              <c16:uniqueId val="{00000001-F350-4DF8-8813-849BED34C86C}"/>
            </c:ext>
          </c:extLst>
        </c:ser>
        <c:ser>
          <c:idx val="2"/>
          <c:order val="2"/>
          <c:tx>
            <c:strRef>
              <c:f>'Applying Break-Even'!$G$83</c:f>
              <c:strCache>
                <c:ptCount val="1"/>
                <c:pt idx="0">
                  <c:v>Total Costs</c:v>
                </c:pt>
              </c:strCache>
            </c:strRef>
          </c:tx>
          <c:spPr>
            <a:ln w="12700">
              <a:solidFill>
                <a:srgbClr val="000000"/>
              </a:solidFill>
              <a:prstDash val="solid"/>
            </a:ln>
          </c:spPr>
          <c:marker>
            <c:symbol val="none"/>
          </c:marker>
          <c:cat>
            <c:numRef>
              <c:f>'Applying Break-Even'!$C$84:$C$90</c:f>
              <c:numCache>
                <c:formatCode>0,</c:formatCode>
                <c:ptCount val="7"/>
                <c:pt idx="0">
                  <c:v>20000</c:v>
                </c:pt>
                <c:pt idx="1">
                  <c:v>50000</c:v>
                </c:pt>
                <c:pt idx="2">
                  <c:v>80000</c:v>
                </c:pt>
                <c:pt idx="3">
                  <c:v>110000</c:v>
                </c:pt>
                <c:pt idx="4">
                  <c:v>140000</c:v>
                </c:pt>
                <c:pt idx="5">
                  <c:v>170000</c:v>
                </c:pt>
                <c:pt idx="6">
                  <c:v>200000</c:v>
                </c:pt>
              </c:numCache>
            </c:numRef>
          </c:cat>
          <c:val>
            <c:numRef>
              <c:f>'Applying Break-Even'!$G$84:$G$90</c:f>
              <c:numCache>
                <c:formatCode>"$"#,##0_);\("$"#,##0\)</c:formatCode>
                <c:ptCount val="7"/>
                <c:pt idx="0">
                  <c:v>64000</c:v>
                </c:pt>
                <c:pt idx="1">
                  <c:v>100000</c:v>
                </c:pt>
                <c:pt idx="2">
                  <c:v>136000</c:v>
                </c:pt>
                <c:pt idx="3">
                  <c:v>172000</c:v>
                </c:pt>
                <c:pt idx="4">
                  <c:v>208000</c:v>
                </c:pt>
                <c:pt idx="5">
                  <c:v>244000</c:v>
                </c:pt>
                <c:pt idx="6">
                  <c:v>280000</c:v>
                </c:pt>
              </c:numCache>
            </c:numRef>
          </c:val>
          <c:smooth val="0"/>
          <c:extLst>
            <c:ext xmlns:c16="http://schemas.microsoft.com/office/drawing/2014/chart" uri="{C3380CC4-5D6E-409C-BE32-E72D297353CC}">
              <c16:uniqueId val="{00000002-F350-4DF8-8813-849BED34C86C}"/>
            </c:ext>
          </c:extLst>
        </c:ser>
        <c:dLbls>
          <c:showLegendKey val="0"/>
          <c:showVal val="0"/>
          <c:showCatName val="0"/>
          <c:showSerName val="0"/>
          <c:showPercent val="0"/>
          <c:showBubbleSize val="0"/>
        </c:dLbls>
        <c:smooth val="0"/>
        <c:axId val="1782057952"/>
        <c:axId val="1"/>
      </c:lineChart>
      <c:catAx>
        <c:axId val="1782057952"/>
        <c:scaling>
          <c:orientation val="minMax"/>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HK"/>
                  <a:t>Units Sold (000)</a:t>
                </a:r>
              </a:p>
            </c:rich>
          </c:tx>
          <c:layout>
            <c:manualLayout>
              <c:xMode val="edge"/>
              <c:yMode val="edge"/>
              <c:x val="0.4863434501630457"/>
              <c:y val="0.895118635071096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
        <c:crossesAt val="-50000"/>
        <c:auto val="0"/>
        <c:lblAlgn val="ctr"/>
        <c:lblOffset val="100"/>
        <c:tickLblSkip val="1"/>
        <c:tickMarkSkip val="1"/>
        <c:noMultiLvlLbl val="0"/>
      </c:catAx>
      <c:valAx>
        <c:axId val="1"/>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HK"/>
                  <a:t>Cost, Sales and Profit</a:t>
                </a:r>
              </a:p>
            </c:rich>
          </c:tx>
          <c:layout>
            <c:manualLayout>
              <c:xMode val="edge"/>
              <c:yMode val="edge"/>
              <c:x val="1.757867892155587E-2"/>
              <c:y val="0.28795587013509105"/>
            </c:manualLayout>
          </c:layout>
          <c:overlay val="0"/>
          <c:spPr>
            <a:noFill/>
            <a:ln w="25400">
              <a:noFill/>
            </a:ln>
          </c:spPr>
        </c:title>
        <c:numFmt formatCode="&quot;$&quot;#,##0_);\(&quot;$&quot;#,##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7820579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orientation="landscape" horizontalDpi="300" verticalDpi="30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Times New Roman"/>
                <a:ea typeface="Times New Roman"/>
                <a:cs typeface="Times New Roman"/>
              </a:defRPr>
            </a:pPr>
            <a:r>
              <a:rPr lang="en-HK"/>
              <a:t>Store C</a:t>
            </a:r>
          </a:p>
        </c:rich>
      </c:tx>
      <c:layout>
        <c:manualLayout>
          <c:xMode val="edge"/>
          <c:yMode val="edge"/>
          <c:x val="0.46468059118075594"/>
          <c:y val="4.4249325213995071E-2"/>
        </c:manualLayout>
      </c:layout>
      <c:overlay val="0"/>
      <c:spPr>
        <a:noFill/>
        <a:ln w="25400">
          <a:noFill/>
        </a:ln>
      </c:spPr>
    </c:title>
    <c:autoTitleDeleted val="0"/>
    <c:plotArea>
      <c:layout>
        <c:manualLayout>
          <c:layoutTarget val="inner"/>
          <c:xMode val="edge"/>
          <c:yMode val="edge"/>
          <c:x val="0.15779778408846504"/>
          <c:y val="0.22345909233067512"/>
          <c:w val="0.81706337282616248"/>
          <c:h val="0.59294095786753398"/>
        </c:manualLayout>
      </c:layout>
      <c:lineChart>
        <c:grouping val="standard"/>
        <c:varyColors val="0"/>
        <c:ser>
          <c:idx val="0"/>
          <c:order val="0"/>
          <c:tx>
            <c:strRef>
              <c:f>'Applying Break-Even'!$D$110</c:f>
              <c:strCache>
                <c:ptCount val="1"/>
                <c:pt idx="0">
                  <c:v>Sales</c:v>
                </c:pt>
              </c:strCache>
            </c:strRef>
          </c:tx>
          <c:spPr>
            <a:ln w="12700">
              <a:solidFill>
                <a:srgbClr val="000000"/>
              </a:solidFill>
              <a:prstDash val="solid"/>
            </a:ln>
          </c:spPr>
          <c:marker>
            <c:symbol val="none"/>
          </c:marker>
          <c:cat>
            <c:numRef>
              <c:f>'Applying Break-Even'!$C$111:$C$117</c:f>
              <c:numCache>
                <c:formatCode>0,</c:formatCode>
                <c:ptCount val="7"/>
                <c:pt idx="0">
                  <c:v>20000</c:v>
                </c:pt>
                <c:pt idx="1">
                  <c:v>50000</c:v>
                </c:pt>
                <c:pt idx="2">
                  <c:v>80000</c:v>
                </c:pt>
                <c:pt idx="3">
                  <c:v>110000</c:v>
                </c:pt>
                <c:pt idx="4">
                  <c:v>140000</c:v>
                </c:pt>
                <c:pt idx="5">
                  <c:v>170000</c:v>
                </c:pt>
                <c:pt idx="6">
                  <c:v>200000</c:v>
                </c:pt>
              </c:numCache>
            </c:numRef>
          </c:cat>
          <c:val>
            <c:numRef>
              <c:f>'Applying Break-Even'!$D$111:$D$117</c:f>
              <c:numCache>
                <c:formatCode>"$"#,##0_);\("$"#,##0\)</c:formatCode>
                <c:ptCount val="7"/>
                <c:pt idx="0">
                  <c:v>40000</c:v>
                </c:pt>
                <c:pt idx="1">
                  <c:v>100000</c:v>
                </c:pt>
                <c:pt idx="2">
                  <c:v>160000</c:v>
                </c:pt>
                <c:pt idx="3">
                  <c:v>220000</c:v>
                </c:pt>
                <c:pt idx="4">
                  <c:v>280000</c:v>
                </c:pt>
                <c:pt idx="5">
                  <c:v>340000</c:v>
                </c:pt>
                <c:pt idx="6">
                  <c:v>400000</c:v>
                </c:pt>
              </c:numCache>
            </c:numRef>
          </c:val>
          <c:smooth val="0"/>
          <c:extLst>
            <c:ext xmlns:c16="http://schemas.microsoft.com/office/drawing/2014/chart" uri="{C3380CC4-5D6E-409C-BE32-E72D297353CC}">
              <c16:uniqueId val="{00000000-73A6-40C2-AF15-23A2BB14B62A}"/>
            </c:ext>
          </c:extLst>
        </c:ser>
        <c:ser>
          <c:idx val="1"/>
          <c:order val="1"/>
          <c:tx>
            <c:strRef>
              <c:f>'Applying Break-Even'!$E$56</c:f>
              <c:strCache>
                <c:ptCount val="1"/>
                <c:pt idx="0">
                  <c:v>Fixed costs</c:v>
                </c:pt>
              </c:strCache>
            </c:strRef>
          </c:tx>
          <c:spPr>
            <a:ln w="12700">
              <a:solidFill>
                <a:srgbClr val="000000"/>
              </a:solidFill>
              <a:prstDash val="solid"/>
            </a:ln>
          </c:spPr>
          <c:marker>
            <c:symbol val="none"/>
          </c:marker>
          <c:cat>
            <c:numRef>
              <c:f>'Applying Break-Even'!$C$57:$C$63</c:f>
              <c:numCache>
                <c:formatCode>0,</c:formatCode>
                <c:ptCount val="7"/>
                <c:pt idx="0">
                  <c:v>20000</c:v>
                </c:pt>
                <c:pt idx="1">
                  <c:v>50000</c:v>
                </c:pt>
                <c:pt idx="2">
                  <c:v>80000</c:v>
                </c:pt>
                <c:pt idx="3">
                  <c:v>110000</c:v>
                </c:pt>
                <c:pt idx="4">
                  <c:v>140000</c:v>
                </c:pt>
                <c:pt idx="5">
                  <c:v>170000</c:v>
                </c:pt>
                <c:pt idx="6">
                  <c:v>200000</c:v>
                </c:pt>
              </c:numCache>
            </c:numRef>
          </c:cat>
          <c:val>
            <c:numRef>
              <c:f>'Applying Break-Even'!$E$57:$E$63</c:f>
              <c:numCache>
                <c:formatCode>"$"#,##0_);\("$"#,##0\)</c:formatCode>
                <c:ptCount val="7"/>
                <c:pt idx="0">
                  <c:v>20000</c:v>
                </c:pt>
                <c:pt idx="1">
                  <c:v>20000</c:v>
                </c:pt>
                <c:pt idx="2">
                  <c:v>20000</c:v>
                </c:pt>
                <c:pt idx="3">
                  <c:v>20000</c:v>
                </c:pt>
                <c:pt idx="4">
                  <c:v>20000</c:v>
                </c:pt>
                <c:pt idx="5">
                  <c:v>20000</c:v>
                </c:pt>
                <c:pt idx="6">
                  <c:v>20000</c:v>
                </c:pt>
              </c:numCache>
            </c:numRef>
          </c:val>
          <c:smooth val="0"/>
          <c:extLst>
            <c:ext xmlns:c16="http://schemas.microsoft.com/office/drawing/2014/chart" uri="{C3380CC4-5D6E-409C-BE32-E72D297353CC}">
              <c16:uniqueId val="{00000001-73A6-40C2-AF15-23A2BB14B62A}"/>
            </c:ext>
          </c:extLst>
        </c:ser>
        <c:ser>
          <c:idx val="3"/>
          <c:order val="2"/>
          <c:tx>
            <c:strRef>
              <c:f>'Applying Break-Even'!$H$110</c:f>
              <c:strCache>
                <c:ptCount val="1"/>
                <c:pt idx="0">
                  <c:v>Profits</c:v>
                </c:pt>
              </c:strCache>
            </c:strRef>
          </c:tx>
          <c:spPr>
            <a:ln w="12700">
              <a:solidFill>
                <a:srgbClr val="000000"/>
              </a:solidFill>
              <a:prstDash val="solid"/>
            </a:ln>
          </c:spPr>
          <c:marker>
            <c:symbol val="none"/>
          </c:marker>
          <c:cat>
            <c:numRef>
              <c:f>'Applying Break-Even'!$C$111:$C$117</c:f>
              <c:numCache>
                <c:formatCode>0,</c:formatCode>
                <c:ptCount val="7"/>
                <c:pt idx="0">
                  <c:v>20000</c:v>
                </c:pt>
                <c:pt idx="1">
                  <c:v>50000</c:v>
                </c:pt>
                <c:pt idx="2">
                  <c:v>80000</c:v>
                </c:pt>
                <c:pt idx="3">
                  <c:v>110000</c:v>
                </c:pt>
                <c:pt idx="4">
                  <c:v>140000</c:v>
                </c:pt>
                <c:pt idx="5">
                  <c:v>170000</c:v>
                </c:pt>
                <c:pt idx="6">
                  <c:v>200000</c:v>
                </c:pt>
              </c:numCache>
            </c:numRef>
          </c:cat>
          <c:val>
            <c:numRef>
              <c:f>'Applying Break-Even'!$G$111:$G$117</c:f>
              <c:numCache>
                <c:formatCode>"$"#,##0_);\("$"#,##0\)</c:formatCode>
                <c:ptCount val="7"/>
                <c:pt idx="0">
                  <c:v>80000</c:v>
                </c:pt>
                <c:pt idx="1">
                  <c:v>110000</c:v>
                </c:pt>
                <c:pt idx="2">
                  <c:v>140000</c:v>
                </c:pt>
                <c:pt idx="3">
                  <c:v>170000</c:v>
                </c:pt>
                <c:pt idx="4">
                  <c:v>200000</c:v>
                </c:pt>
                <c:pt idx="5">
                  <c:v>230000</c:v>
                </c:pt>
                <c:pt idx="6">
                  <c:v>260000</c:v>
                </c:pt>
              </c:numCache>
            </c:numRef>
          </c:val>
          <c:smooth val="0"/>
          <c:extLst>
            <c:ext xmlns:c16="http://schemas.microsoft.com/office/drawing/2014/chart" uri="{C3380CC4-5D6E-409C-BE32-E72D297353CC}">
              <c16:uniqueId val="{00000002-73A6-40C2-AF15-23A2BB14B62A}"/>
            </c:ext>
          </c:extLst>
        </c:ser>
        <c:dLbls>
          <c:showLegendKey val="0"/>
          <c:showVal val="0"/>
          <c:showCatName val="0"/>
          <c:showSerName val="0"/>
          <c:showPercent val="0"/>
          <c:showBubbleSize val="0"/>
        </c:dLbls>
        <c:smooth val="0"/>
        <c:axId val="1782050752"/>
        <c:axId val="1"/>
      </c:lineChart>
      <c:catAx>
        <c:axId val="1782050752"/>
        <c:scaling>
          <c:orientation val="minMax"/>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HK"/>
                  <a:t>Units Sold (000)</a:t>
                </a:r>
              </a:p>
            </c:rich>
          </c:tx>
          <c:layout>
            <c:manualLayout>
              <c:xMode val="edge"/>
              <c:yMode val="edge"/>
              <c:x val="0.49178695899963332"/>
              <c:y val="0.896048835583400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
        <c:crossesAt val="-50000"/>
        <c:auto val="0"/>
        <c:lblAlgn val="ctr"/>
        <c:lblOffset val="100"/>
        <c:tickLblSkip val="1"/>
        <c:tickMarkSkip val="1"/>
        <c:noMultiLvlLbl val="0"/>
      </c:catAx>
      <c:valAx>
        <c:axId val="1"/>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HK"/>
                  <a:t>Cost, Sales and Profit</a:t>
                </a:r>
              </a:p>
            </c:rich>
          </c:tx>
          <c:layout>
            <c:manualLayout>
              <c:xMode val="edge"/>
              <c:yMode val="edge"/>
              <c:x val="1.7425522169278347E-2"/>
              <c:y val="0.29647047893376699"/>
            </c:manualLayout>
          </c:layout>
          <c:overlay val="0"/>
          <c:spPr>
            <a:noFill/>
            <a:ln w="25400">
              <a:noFill/>
            </a:ln>
          </c:spPr>
        </c:title>
        <c:numFmt formatCode="&quot;$&quot;#,##0_);\(&quot;$&quot;#,##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7820507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orientation="landscape" horizontalDpi="300" verticalDpi="30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60764694333147"/>
          <c:y val="0.1057730898111294"/>
          <c:w val="0.73866738414328204"/>
          <c:h val="0.54809691993039777"/>
        </c:manualLayout>
      </c:layout>
      <c:barChart>
        <c:barDir val="col"/>
        <c:grouping val="clustered"/>
        <c:varyColors val="0"/>
        <c:ser>
          <c:idx val="0"/>
          <c:order val="0"/>
          <c:spPr>
            <a:solidFill>
              <a:srgbClr val="9999FF"/>
            </a:solidFill>
            <a:ln w="12700">
              <a:solidFill>
                <a:srgbClr val="000000"/>
              </a:solidFill>
              <a:prstDash val="solid"/>
            </a:ln>
          </c:spPr>
          <c:invertIfNegative val="0"/>
          <c:dLbls>
            <c:delete val="1"/>
          </c:dLbls>
          <c:cat>
            <c:multiLvlStrRef>
              <c:f>'Applying Break-Even'!$C$211:$D$216</c:f>
              <c:multiLvlStrCache>
                <c:ptCount val="6"/>
                <c:lvl>
                  <c:pt idx="0">
                    <c:v>120</c:v>
                  </c:pt>
                  <c:pt idx="1">
                    <c:v>200</c:v>
                  </c:pt>
                  <c:pt idx="2">
                    <c:v>120</c:v>
                  </c:pt>
                  <c:pt idx="3">
                    <c:v>200</c:v>
                  </c:pt>
                  <c:pt idx="4">
                    <c:v>120</c:v>
                  </c:pt>
                  <c:pt idx="5">
                    <c:v>200</c:v>
                  </c:pt>
                </c:lvl>
                <c:lvl>
                  <c:pt idx="0">
                    <c:v>Store A</c:v>
                  </c:pt>
                  <c:pt idx="1">
                    <c:v>Store A</c:v>
                  </c:pt>
                  <c:pt idx="2">
                    <c:v>Store B</c:v>
                  </c:pt>
                  <c:pt idx="3">
                    <c:v>Store B</c:v>
                  </c:pt>
                  <c:pt idx="4">
                    <c:v>Store C</c:v>
                  </c:pt>
                  <c:pt idx="5">
                    <c:v>Store C</c:v>
                  </c:pt>
                </c:lvl>
              </c:multiLvlStrCache>
            </c:multiLvlStrRef>
          </c:cat>
          <c:val>
            <c:numRef>
              <c:f>'Applying Break-Even'!$H$211:$H$216</c:f>
              <c:numCache>
                <c:formatCode>"$"#,##0_);\("$"#,##0\)</c:formatCode>
                <c:ptCount val="6"/>
                <c:pt idx="0">
                  <c:v>40000</c:v>
                </c:pt>
                <c:pt idx="1">
                  <c:v>80000</c:v>
                </c:pt>
                <c:pt idx="2">
                  <c:v>56000</c:v>
                </c:pt>
                <c:pt idx="3">
                  <c:v>120000</c:v>
                </c:pt>
                <c:pt idx="4">
                  <c:v>60000</c:v>
                </c:pt>
                <c:pt idx="5">
                  <c:v>140000</c:v>
                </c:pt>
              </c:numCache>
            </c:numRef>
          </c:val>
          <c:extLst>
            <c:ext xmlns:c16="http://schemas.microsoft.com/office/drawing/2014/chart" uri="{C3380CC4-5D6E-409C-BE32-E72D297353CC}">
              <c16:uniqueId val="{00000000-894F-4B90-A1E1-1C4D047A681E}"/>
            </c:ext>
          </c:extLst>
        </c:ser>
        <c:dLbls>
          <c:showLegendKey val="0"/>
          <c:showVal val="0"/>
          <c:showCatName val="1"/>
          <c:showSerName val="0"/>
          <c:showPercent val="0"/>
          <c:showBubbleSize val="0"/>
        </c:dLbls>
        <c:gapWidth val="150"/>
        <c:axId val="1782055152"/>
        <c:axId val="1"/>
      </c:barChart>
      <c:catAx>
        <c:axId val="1782055152"/>
        <c:scaling>
          <c:orientation val="minMax"/>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HK"/>
                  <a:t>Units Sold (000)</a:t>
                </a:r>
              </a:p>
            </c:rich>
          </c:tx>
          <c:layout>
            <c:manualLayout>
              <c:xMode val="edge"/>
              <c:yMode val="edge"/>
              <c:x val="0.43783913495589699"/>
              <c:y val="0.8654161893637860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
        <c:crossesAt val="-50000"/>
        <c:auto val="0"/>
        <c:lblAlgn val="ctr"/>
        <c:lblOffset val="100"/>
        <c:tickLblSkip val="1"/>
        <c:tickMarkSkip val="1"/>
        <c:noMultiLvlLbl val="0"/>
      </c:catAx>
      <c:valAx>
        <c:axId val="1"/>
        <c:scaling>
          <c:orientation val="minMax"/>
          <c:max val="16000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HK"/>
                  <a:t>Profit ($)</a:t>
                </a:r>
              </a:p>
            </c:rich>
          </c:tx>
          <c:layout>
            <c:manualLayout>
              <c:xMode val="edge"/>
              <c:yMode val="edge"/>
              <c:x val="1.5637111962710608E-2"/>
              <c:y val="0.27164452610585504"/>
            </c:manualLayout>
          </c:layout>
          <c:overlay val="0"/>
          <c:spPr>
            <a:noFill/>
            <a:ln w="25400">
              <a:noFill/>
            </a:ln>
          </c:spPr>
        </c:title>
        <c:numFmt formatCode="&quot;$&quot;#,##0_);\(&quot;$&quot;#,##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78205515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60764694333147"/>
          <c:y val="0.11813621289756057"/>
          <c:w val="0.73866738414328204"/>
          <c:h val="0.48353426674350375"/>
        </c:manualLayout>
      </c:layout>
      <c:barChart>
        <c:barDir val="col"/>
        <c:grouping val="clustered"/>
        <c:varyColors val="0"/>
        <c:ser>
          <c:idx val="0"/>
          <c:order val="0"/>
          <c:spPr>
            <a:solidFill>
              <a:srgbClr val="9999FF"/>
            </a:solidFill>
            <a:ln w="12700">
              <a:solidFill>
                <a:srgbClr val="000000"/>
              </a:solidFill>
              <a:prstDash val="solid"/>
            </a:ln>
          </c:spPr>
          <c:invertIfNegative val="0"/>
          <c:dLbls>
            <c:delete val="1"/>
          </c:dLbls>
          <c:cat>
            <c:multiLvlStrRef>
              <c:f>'Applying Break-Even'!$C$243:$D$248</c:f>
              <c:multiLvlStrCache>
                <c:ptCount val="6"/>
                <c:lvl>
                  <c:pt idx="0">
                    <c:v>200</c:v>
                  </c:pt>
                  <c:pt idx="1">
                    <c:v>120</c:v>
                  </c:pt>
                  <c:pt idx="2">
                    <c:v>200</c:v>
                  </c:pt>
                  <c:pt idx="3">
                    <c:v>120</c:v>
                  </c:pt>
                  <c:pt idx="4">
                    <c:v>200</c:v>
                  </c:pt>
                  <c:pt idx="5">
                    <c:v>120</c:v>
                  </c:pt>
                </c:lvl>
                <c:lvl>
                  <c:pt idx="0">
                    <c:v>Store A</c:v>
                  </c:pt>
                  <c:pt idx="1">
                    <c:v>Store A</c:v>
                  </c:pt>
                  <c:pt idx="2">
                    <c:v>Store B</c:v>
                  </c:pt>
                  <c:pt idx="3">
                    <c:v>Store B</c:v>
                  </c:pt>
                  <c:pt idx="4">
                    <c:v>Store C</c:v>
                  </c:pt>
                  <c:pt idx="5">
                    <c:v>Store C</c:v>
                  </c:pt>
                </c:lvl>
              </c:multiLvlStrCache>
            </c:multiLvlStrRef>
          </c:cat>
          <c:val>
            <c:numRef>
              <c:f>'Applying Break-Even'!$H$243:$H$248</c:f>
              <c:numCache>
                <c:formatCode>"$"#,##0_);\("$"#,##0\)</c:formatCode>
                <c:ptCount val="6"/>
                <c:pt idx="0">
                  <c:v>80000</c:v>
                </c:pt>
                <c:pt idx="1">
                  <c:v>40000</c:v>
                </c:pt>
                <c:pt idx="2">
                  <c:v>120000</c:v>
                </c:pt>
                <c:pt idx="3">
                  <c:v>56000</c:v>
                </c:pt>
                <c:pt idx="4">
                  <c:v>140000</c:v>
                </c:pt>
                <c:pt idx="5">
                  <c:v>60000</c:v>
                </c:pt>
              </c:numCache>
            </c:numRef>
          </c:val>
          <c:extLst>
            <c:ext xmlns:c16="http://schemas.microsoft.com/office/drawing/2014/chart" uri="{C3380CC4-5D6E-409C-BE32-E72D297353CC}">
              <c16:uniqueId val="{00000000-778E-4E04-B91B-FEB4418FAFD4}"/>
            </c:ext>
          </c:extLst>
        </c:ser>
        <c:dLbls>
          <c:showLegendKey val="0"/>
          <c:showVal val="0"/>
          <c:showCatName val="1"/>
          <c:showSerName val="0"/>
          <c:showPercent val="0"/>
          <c:showBubbleSize val="0"/>
        </c:dLbls>
        <c:gapWidth val="150"/>
        <c:axId val="1782056752"/>
        <c:axId val="1"/>
      </c:barChart>
      <c:catAx>
        <c:axId val="1782056752"/>
        <c:scaling>
          <c:orientation val="minMax"/>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HK"/>
                  <a:t>Units Sold (000)</a:t>
                </a:r>
              </a:p>
            </c:rich>
          </c:tx>
          <c:layout>
            <c:manualLayout>
              <c:xMode val="edge"/>
              <c:yMode val="edge"/>
              <c:x val="0.43783913495589699"/>
              <c:y val="0.8434376130128161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
        <c:crossesAt val="-50000"/>
        <c:auto val="0"/>
        <c:lblAlgn val="ctr"/>
        <c:lblOffset val="100"/>
        <c:tickLblSkip val="1"/>
        <c:tickMarkSkip val="1"/>
        <c:noMultiLvlLbl val="0"/>
      </c:catAx>
      <c:valAx>
        <c:axId val="1"/>
        <c:scaling>
          <c:orientation val="minMax"/>
          <c:max val="160000"/>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HK"/>
                  <a:t>Profit ($)</a:t>
                </a:r>
              </a:p>
            </c:rich>
          </c:tx>
          <c:layout>
            <c:manualLayout>
              <c:xMode val="edge"/>
              <c:yMode val="edge"/>
              <c:x val="1.5637111962710608E-2"/>
              <c:y val="0.23627242579512114"/>
            </c:manualLayout>
          </c:layout>
          <c:overlay val="0"/>
          <c:spPr>
            <a:noFill/>
            <a:ln w="25400">
              <a:noFill/>
            </a:ln>
          </c:spPr>
        </c:title>
        <c:numFmt formatCode="&quot;$&quot;#,##0_);\(&quot;$&quot;#,##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782056752"/>
        <c:crosses val="autoZero"/>
        <c:crossBetween val="between"/>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8537031254983"/>
          <c:y val="9.3889707704351122E-2"/>
          <c:w val="0.74668193458576748"/>
          <c:h val="0.67687928810113596"/>
        </c:manualLayout>
      </c:layout>
      <c:lineChart>
        <c:grouping val="standard"/>
        <c:varyColors val="0"/>
        <c:ser>
          <c:idx val="0"/>
          <c:order val="0"/>
          <c:tx>
            <c:v>Store A</c:v>
          </c:tx>
          <c:spPr>
            <a:ln w="12700">
              <a:solidFill>
                <a:srgbClr val="008000"/>
              </a:solidFill>
              <a:prstDash val="solid"/>
            </a:ln>
          </c:spPr>
          <c:marker>
            <c:symbol val="diamond"/>
            <c:size val="5"/>
            <c:spPr>
              <a:solidFill>
                <a:srgbClr val="000080"/>
              </a:solidFill>
              <a:ln>
                <a:solidFill>
                  <a:srgbClr val="000080"/>
                </a:solidFill>
                <a:prstDash val="solid"/>
              </a:ln>
            </c:spPr>
          </c:marker>
          <c:cat>
            <c:numRef>
              <c:f>'Applying Break-Even'!$C$151:$C$157</c:f>
              <c:numCache>
                <c:formatCode>0,</c:formatCode>
                <c:ptCount val="7"/>
                <c:pt idx="0">
                  <c:v>20000</c:v>
                </c:pt>
                <c:pt idx="1">
                  <c:v>50000</c:v>
                </c:pt>
                <c:pt idx="2">
                  <c:v>80000</c:v>
                </c:pt>
                <c:pt idx="3">
                  <c:v>110000</c:v>
                </c:pt>
                <c:pt idx="4">
                  <c:v>140000</c:v>
                </c:pt>
                <c:pt idx="5">
                  <c:v>170000</c:v>
                </c:pt>
                <c:pt idx="6">
                  <c:v>200000</c:v>
                </c:pt>
              </c:numCache>
            </c:numRef>
          </c:cat>
          <c:val>
            <c:numRef>
              <c:f>'Applying Break-Even'!$G$151:$G$157</c:f>
              <c:numCache>
                <c:formatCode>"$"#,##0_);\("$"#,##0\)</c:formatCode>
                <c:ptCount val="7"/>
                <c:pt idx="0">
                  <c:v>-10000</c:v>
                </c:pt>
                <c:pt idx="1">
                  <c:v>5000</c:v>
                </c:pt>
                <c:pt idx="2">
                  <c:v>20000</c:v>
                </c:pt>
                <c:pt idx="3">
                  <c:v>35000</c:v>
                </c:pt>
                <c:pt idx="4">
                  <c:v>50000</c:v>
                </c:pt>
                <c:pt idx="5">
                  <c:v>65000</c:v>
                </c:pt>
                <c:pt idx="6">
                  <c:v>80000</c:v>
                </c:pt>
              </c:numCache>
            </c:numRef>
          </c:val>
          <c:smooth val="0"/>
          <c:extLst>
            <c:ext xmlns:c16="http://schemas.microsoft.com/office/drawing/2014/chart" uri="{C3380CC4-5D6E-409C-BE32-E72D297353CC}">
              <c16:uniqueId val="{00000000-BEEC-4E7C-BDE3-E542CBA6A65D}"/>
            </c:ext>
          </c:extLst>
        </c:ser>
        <c:ser>
          <c:idx val="1"/>
          <c:order val="1"/>
          <c:tx>
            <c:v>Store B</c:v>
          </c:tx>
          <c:spPr>
            <a:ln w="12700">
              <a:solidFill>
                <a:srgbClr val="0000FF"/>
              </a:solidFill>
              <a:prstDash val="solid"/>
            </a:ln>
          </c:spPr>
          <c:marker>
            <c:symbol val="none"/>
          </c:marker>
          <c:cat>
            <c:numRef>
              <c:f>'Applying Break-Even'!$C$151:$C$157</c:f>
              <c:numCache>
                <c:formatCode>0,</c:formatCode>
                <c:ptCount val="7"/>
                <c:pt idx="0">
                  <c:v>20000</c:v>
                </c:pt>
                <c:pt idx="1">
                  <c:v>50000</c:v>
                </c:pt>
                <c:pt idx="2">
                  <c:v>80000</c:v>
                </c:pt>
                <c:pt idx="3">
                  <c:v>110000</c:v>
                </c:pt>
                <c:pt idx="4">
                  <c:v>140000</c:v>
                </c:pt>
                <c:pt idx="5">
                  <c:v>170000</c:v>
                </c:pt>
                <c:pt idx="6">
                  <c:v>200000</c:v>
                </c:pt>
              </c:numCache>
            </c:numRef>
          </c:cat>
          <c:val>
            <c:numRef>
              <c:f>'Applying Break-Even'!$G$160:$G$166</c:f>
              <c:numCache>
                <c:formatCode>"$"#,##0_);\("$"#,##0\)</c:formatCode>
                <c:ptCount val="7"/>
                <c:pt idx="0">
                  <c:v>-24000</c:v>
                </c:pt>
                <c:pt idx="1">
                  <c:v>0</c:v>
                </c:pt>
                <c:pt idx="2">
                  <c:v>24000</c:v>
                </c:pt>
                <c:pt idx="3">
                  <c:v>48000</c:v>
                </c:pt>
                <c:pt idx="4">
                  <c:v>72000</c:v>
                </c:pt>
                <c:pt idx="5">
                  <c:v>96000</c:v>
                </c:pt>
                <c:pt idx="6">
                  <c:v>120000</c:v>
                </c:pt>
              </c:numCache>
            </c:numRef>
          </c:val>
          <c:smooth val="0"/>
          <c:extLst>
            <c:ext xmlns:c16="http://schemas.microsoft.com/office/drawing/2014/chart" uri="{C3380CC4-5D6E-409C-BE32-E72D297353CC}">
              <c16:uniqueId val="{00000001-BEEC-4E7C-BDE3-E542CBA6A65D}"/>
            </c:ext>
          </c:extLst>
        </c:ser>
        <c:ser>
          <c:idx val="2"/>
          <c:order val="2"/>
          <c:tx>
            <c:v>Store C</c:v>
          </c:tx>
          <c:spPr>
            <a:ln w="12700">
              <a:solidFill>
                <a:srgbClr val="FF0000"/>
              </a:solidFill>
              <a:prstDash val="solid"/>
            </a:ln>
          </c:spPr>
          <c:marker>
            <c:symbol val="triangle"/>
            <c:size val="5"/>
            <c:spPr>
              <a:solidFill>
                <a:srgbClr val="000000"/>
              </a:solidFill>
              <a:ln>
                <a:solidFill>
                  <a:srgbClr val="000000"/>
                </a:solidFill>
                <a:prstDash val="solid"/>
              </a:ln>
            </c:spPr>
          </c:marker>
          <c:cat>
            <c:numRef>
              <c:f>'Applying Break-Even'!$C$151:$C$157</c:f>
              <c:numCache>
                <c:formatCode>0,</c:formatCode>
                <c:ptCount val="7"/>
                <c:pt idx="0">
                  <c:v>20000</c:v>
                </c:pt>
                <c:pt idx="1">
                  <c:v>50000</c:v>
                </c:pt>
                <c:pt idx="2">
                  <c:v>80000</c:v>
                </c:pt>
                <c:pt idx="3">
                  <c:v>110000</c:v>
                </c:pt>
                <c:pt idx="4">
                  <c:v>140000</c:v>
                </c:pt>
                <c:pt idx="5">
                  <c:v>170000</c:v>
                </c:pt>
                <c:pt idx="6">
                  <c:v>200000</c:v>
                </c:pt>
              </c:numCache>
            </c:numRef>
          </c:cat>
          <c:val>
            <c:numRef>
              <c:f>'Applying Break-Even'!$G$169:$G$175</c:f>
              <c:numCache>
                <c:formatCode>"$"#,##0_);\("$"#,##0\)</c:formatCode>
                <c:ptCount val="7"/>
                <c:pt idx="0">
                  <c:v>-40000</c:v>
                </c:pt>
                <c:pt idx="1">
                  <c:v>-10000</c:v>
                </c:pt>
                <c:pt idx="2">
                  <c:v>20000</c:v>
                </c:pt>
                <c:pt idx="3">
                  <c:v>50000</c:v>
                </c:pt>
                <c:pt idx="4">
                  <c:v>80000</c:v>
                </c:pt>
                <c:pt idx="5">
                  <c:v>110000</c:v>
                </c:pt>
                <c:pt idx="6">
                  <c:v>140000</c:v>
                </c:pt>
              </c:numCache>
            </c:numRef>
          </c:val>
          <c:smooth val="0"/>
          <c:extLst>
            <c:ext xmlns:c16="http://schemas.microsoft.com/office/drawing/2014/chart" uri="{C3380CC4-5D6E-409C-BE32-E72D297353CC}">
              <c16:uniqueId val="{00000002-BEEC-4E7C-BDE3-E542CBA6A65D}"/>
            </c:ext>
          </c:extLst>
        </c:ser>
        <c:dLbls>
          <c:showLegendKey val="0"/>
          <c:showVal val="0"/>
          <c:showCatName val="0"/>
          <c:showSerName val="0"/>
          <c:showPercent val="0"/>
          <c:showBubbleSize val="0"/>
        </c:dLbls>
        <c:marker val="1"/>
        <c:smooth val="0"/>
        <c:axId val="1782059952"/>
        <c:axId val="1"/>
      </c:lineChart>
      <c:catAx>
        <c:axId val="1782059952"/>
        <c:scaling>
          <c:orientation val="minMax"/>
        </c:scaling>
        <c:delete val="0"/>
        <c:axPos val="b"/>
        <c:title>
          <c:tx>
            <c:rich>
              <a:bodyPr/>
              <a:lstStyle/>
              <a:p>
                <a:pPr>
                  <a:defRPr sz="800" b="1" i="0" u="none" strike="noStrike" baseline="0">
                    <a:solidFill>
                      <a:srgbClr val="000000"/>
                    </a:solidFill>
                    <a:latin typeface="Times New Roman"/>
                    <a:ea typeface="Times New Roman"/>
                    <a:cs typeface="Times New Roman"/>
                  </a:defRPr>
                </a:pPr>
                <a:r>
                  <a:rPr lang="en-HK"/>
                  <a:t>Units Sold (000)</a:t>
                </a:r>
              </a:p>
            </c:rich>
          </c:tx>
          <c:layout>
            <c:manualLayout>
              <c:xMode val="edge"/>
              <c:yMode val="edge"/>
              <c:x val="0.42893201449760116"/>
              <c:y val="0.8100716641468434"/>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Times New Roman"/>
                <a:ea typeface="Times New Roman"/>
                <a:cs typeface="Times New Roman"/>
              </a:defRPr>
            </a:pPr>
            <a:endParaRPr lang="en-US"/>
          </a:p>
        </c:txPr>
        <c:crossAx val="1"/>
        <c:crossesAt val="-40000"/>
        <c:auto val="0"/>
        <c:lblAlgn val="ctr"/>
        <c:lblOffset val="100"/>
        <c:tickLblSkip val="1"/>
        <c:tickMarkSkip val="1"/>
        <c:noMultiLvlLbl val="0"/>
      </c:catAx>
      <c:valAx>
        <c:axId val="1"/>
        <c:scaling>
          <c:orientation val="minMax"/>
        </c:scaling>
        <c:delete val="0"/>
        <c:axPos val="l"/>
        <c:title>
          <c:tx>
            <c:rich>
              <a:bodyPr/>
              <a:lstStyle/>
              <a:p>
                <a:pPr>
                  <a:defRPr sz="800" b="1" i="0" u="none" strike="noStrike" baseline="0">
                    <a:solidFill>
                      <a:srgbClr val="000000"/>
                    </a:solidFill>
                    <a:latin typeface="Times New Roman"/>
                    <a:ea typeface="Times New Roman"/>
                    <a:cs typeface="Times New Roman"/>
                  </a:defRPr>
                </a:pPr>
                <a:r>
                  <a:rPr lang="en-HK"/>
                  <a:t>Profits ($)</a:t>
                </a:r>
              </a:p>
            </c:rich>
          </c:tx>
          <c:layout>
            <c:manualLayout>
              <c:xMode val="edge"/>
              <c:yMode val="edge"/>
              <c:x val="1.2758600997804001E-2"/>
              <c:y val="0.32533875460344924"/>
            </c:manualLayout>
          </c:layout>
          <c:overlay val="0"/>
          <c:spPr>
            <a:noFill/>
            <a:ln w="25400">
              <a:noFill/>
            </a:ln>
          </c:spPr>
        </c:title>
        <c:numFmt formatCode="&quot;$&quot;#,##0_);\(&quot;$&quot;#,##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imes New Roman"/>
                <a:ea typeface="Times New Roman"/>
                <a:cs typeface="Times New Roman"/>
              </a:defRPr>
            </a:pPr>
            <a:endParaRPr lang="en-US"/>
          </a:p>
        </c:txPr>
        <c:crossAx val="1782059952"/>
        <c:crosses val="autoZero"/>
        <c:crossBetween val="midCat"/>
      </c:valAx>
      <c:spPr>
        <a:noFill/>
        <a:ln w="12700">
          <a:solidFill>
            <a:srgbClr val="808080"/>
          </a:solidFill>
          <a:prstDash val="solid"/>
        </a:ln>
      </c:spPr>
    </c:plotArea>
    <c:legend>
      <c:legendPos val="b"/>
      <c:layout>
        <c:manualLayout>
          <c:xMode val="edge"/>
          <c:yMode val="edge"/>
          <c:x val="0.38093537264871946"/>
          <c:y val="0.90396137185119452"/>
          <c:w val="0.246666285957544"/>
          <c:h val="7.6421855108192771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Times New Roman"/>
          <a:ea typeface="Times New Roman"/>
          <a:cs typeface="Times New Roman"/>
        </a:defRPr>
      </a:pPr>
      <a:endParaRPr lang="en-US"/>
    </a:p>
  </c:txPr>
  <c:printSettings>
    <c:headerFooter alignWithMargins="0">
      <c:oddHeader>&amp;A</c:oddHeader>
      <c:oddFooter>Page &amp;P</c:oddFooter>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Start Here'!A1"/><Relationship Id="rId2" Type="http://schemas.openxmlformats.org/officeDocument/2006/relationships/image" Target="../media/image1.png"/><Relationship Id="rId1" Type="http://schemas.openxmlformats.org/officeDocument/2006/relationships/hyperlink" Target="http://www.jaxworks.com/products.htm" TargetMode="External"/><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image" Target="../media/image4.emf"/></Relationships>
</file>

<file path=xl/drawings/_rels/drawing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0.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42863</xdr:colOff>
      <xdr:row>3</xdr:row>
      <xdr:rowOff>76200</xdr:rowOff>
    </xdr:from>
    <xdr:to>
      <xdr:col>15</xdr:col>
      <xdr:colOff>700088</xdr:colOff>
      <xdr:row>25</xdr:row>
      <xdr:rowOff>38100</xdr:rowOff>
    </xdr:to>
    <xdr:sp macro="" textlink="">
      <xdr:nvSpPr>
        <xdr:cNvPr id="29697" name="Text Box 1">
          <a:extLst>
            <a:ext uri="{FF2B5EF4-FFF2-40B4-BE49-F238E27FC236}">
              <a16:creationId xmlns:a16="http://schemas.microsoft.com/office/drawing/2014/main" id="{9444C9FA-87F0-40F2-9CCA-FFD81D4647BF}"/>
            </a:ext>
          </a:extLst>
        </xdr:cNvPr>
        <xdr:cNvSpPr txBox="1">
          <a:spLocks noChangeArrowheads="1"/>
        </xdr:cNvSpPr>
      </xdr:nvSpPr>
      <xdr:spPr bwMode="auto">
        <a:xfrm>
          <a:off x="676275" y="561975"/>
          <a:ext cx="9882188" cy="3524250"/>
        </a:xfrm>
        <a:prstGeom prst="rect">
          <a:avLst/>
        </a:prstGeom>
        <a:solidFill>
          <a:srgbClr val="FFFFFF"/>
        </a:solidFill>
        <a:ln w="9525">
          <a:solidFill>
            <a:srgbClr val="000000"/>
          </a:solidFill>
          <a:miter lim="800000"/>
          <a:headEnd/>
          <a:tailEnd/>
        </a:ln>
      </xdr:spPr>
      <xdr:txBody>
        <a:bodyPr vertOverflow="clip" wrap="square" lIns="91440" tIns="45720" rIns="91440" bIns="45720" anchor="t"/>
        <a:lstStyle/>
        <a:p>
          <a:pPr algn="l" rtl="0">
            <a:defRPr sz="1000"/>
          </a:pPr>
          <a:endParaRPr lang="en-HK" sz="1000" b="0" i="0" u="none" strike="noStrike" baseline="0">
            <a:solidFill>
              <a:srgbClr val="000000"/>
            </a:solidFill>
            <a:latin typeface="Arial"/>
            <a:cs typeface="Arial"/>
          </a:endParaRPr>
        </a:p>
        <a:p>
          <a:pPr algn="l" rtl="0">
            <a:defRPr sz="1000"/>
          </a:pPr>
          <a:endParaRPr lang="en-HK" sz="1000" b="0" i="0" u="none" strike="noStrike" baseline="0">
            <a:solidFill>
              <a:srgbClr val="000000"/>
            </a:solidFill>
            <a:latin typeface="Arial"/>
            <a:cs typeface="Arial"/>
          </a:endParaRPr>
        </a:p>
        <a:p>
          <a:pPr algn="l" rtl="0">
            <a:defRPr sz="1000"/>
          </a:pPr>
          <a:r>
            <a:rPr lang="en-HK" sz="1200" b="0" i="0" u="none" strike="noStrike" baseline="0">
              <a:solidFill>
                <a:srgbClr val="000000"/>
              </a:solidFill>
              <a:latin typeface="Arial"/>
              <a:cs typeface="Arial"/>
            </a:rPr>
            <a:t>Since 1996, JaxWorks has offered a suite of </a:t>
          </a:r>
          <a:r>
            <a:rPr lang="en-HK" sz="1200" b="1" i="0" u="none" strike="noStrike" baseline="0">
              <a:solidFill>
                <a:srgbClr val="FF0000"/>
              </a:solidFill>
              <a:latin typeface="Arial"/>
              <a:cs typeface="Arial"/>
            </a:rPr>
            <a:t>Free</a:t>
          </a:r>
          <a:r>
            <a:rPr lang="en-HK" sz="1200" b="0" i="0" u="none" strike="noStrike" baseline="0">
              <a:solidFill>
                <a:srgbClr val="000000"/>
              </a:solidFill>
              <a:latin typeface="Arial"/>
              <a:cs typeface="Arial"/>
            </a:rPr>
            <a:t> Excel workbooks and spreadsheets, and associated MS Word, PDF and HTML documents, that cover a number of financial, accounting and sales functions. These are invaluable small business tools.  </a:t>
          </a:r>
        </a:p>
        <a:p>
          <a:pPr algn="l" rtl="0">
            <a:defRPr sz="1000"/>
          </a:pPr>
          <a:endParaRPr lang="en-HK" sz="1200" b="0" i="0" u="none" strike="noStrike" baseline="0">
            <a:solidFill>
              <a:srgbClr val="000000"/>
            </a:solidFill>
            <a:latin typeface="Arial"/>
            <a:cs typeface="Arial"/>
          </a:endParaRPr>
        </a:p>
        <a:p>
          <a:pPr algn="l" rtl="0">
            <a:defRPr sz="1000"/>
          </a:pPr>
          <a:r>
            <a:rPr lang="en-HK" sz="1200" b="0" i="0" u="none" strike="noStrike" baseline="0">
              <a:solidFill>
                <a:srgbClr val="000000"/>
              </a:solidFill>
              <a:latin typeface="Arial"/>
              <a:cs typeface="Arial"/>
            </a:rPr>
            <a:t>Also included </a:t>
          </a:r>
          <a:r>
            <a:rPr lang="en-HK" sz="1200" b="1" i="0" u="none" strike="noStrike" baseline="0">
              <a:solidFill>
                <a:srgbClr val="FF0000"/>
              </a:solidFill>
              <a:latin typeface="Arial"/>
              <a:cs typeface="Arial"/>
            </a:rPr>
            <a:t>Free</a:t>
          </a:r>
          <a:r>
            <a:rPr lang="en-HK" sz="1200" b="0" i="0" u="none" strike="noStrike" baseline="0">
              <a:solidFill>
                <a:srgbClr val="000000"/>
              </a:solidFill>
              <a:latin typeface="Arial"/>
              <a:cs typeface="Arial"/>
            </a:rPr>
            <a:t> are:</a:t>
          </a:r>
        </a:p>
        <a:p>
          <a:pPr algn="l" rtl="0">
            <a:defRPr sz="1000"/>
          </a:pPr>
          <a:r>
            <a:rPr lang="en-HK" sz="1200" b="0" i="0" u="none" strike="noStrike" baseline="0">
              <a:solidFill>
                <a:srgbClr val="000000"/>
              </a:solidFill>
              <a:latin typeface="Arial"/>
              <a:cs typeface="Arial"/>
            </a:rPr>
            <a:t>     - business plan tools, including spreadsheets and excellent instructions</a:t>
          </a:r>
        </a:p>
        <a:p>
          <a:pPr algn="l" rtl="0">
            <a:defRPr sz="1000"/>
          </a:pPr>
          <a:r>
            <a:rPr lang="en-HK" sz="1200" b="0" i="0" u="none" strike="noStrike" baseline="0">
              <a:solidFill>
                <a:srgbClr val="000000"/>
              </a:solidFill>
              <a:latin typeface="Arial"/>
              <a:cs typeface="Arial"/>
            </a:rPr>
            <a:t>     - Excel functions glossary and guide;</a:t>
          </a:r>
        </a:p>
        <a:p>
          <a:pPr algn="l" rtl="0">
            <a:defRPr sz="1000"/>
          </a:pPr>
          <a:r>
            <a:rPr lang="en-HK" sz="1200" b="0" i="0" u="none" strike="noStrike" baseline="0">
              <a:solidFill>
                <a:srgbClr val="000000"/>
              </a:solidFill>
              <a:latin typeface="Arial"/>
              <a:cs typeface="Arial"/>
            </a:rPr>
            <a:t>     - free training courses for most Microsoft Office applications. These guides are in PDF format and rival commercial books!</a:t>
          </a:r>
        </a:p>
        <a:p>
          <a:pPr algn="l" rtl="0">
            <a:defRPr sz="1000"/>
          </a:pPr>
          <a:r>
            <a:rPr lang="en-HK" sz="1200" b="0" i="0" u="none" strike="noStrike" baseline="0">
              <a:solidFill>
                <a:srgbClr val="000000"/>
              </a:solidFill>
              <a:latin typeface="Arial"/>
              <a:cs typeface="Arial"/>
            </a:rPr>
            <a:t>     - comprehensive list of acronyms, ratios and formulas in customer financial  analysis, and financial terms;</a:t>
          </a:r>
        </a:p>
        <a:p>
          <a:pPr algn="l" rtl="0">
            <a:defRPr sz="1000"/>
          </a:pPr>
          <a:r>
            <a:rPr lang="en-HK" sz="1200" b="0" i="0" u="none" strike="noStrike" baseline="0">
              <a:solidFill>
                <a:srgbClr val="000000"/>
              </a:solidFill>
              <a:latin typeface="Arial"/>
              <a:cs typeface="Arial"/>
            </a:rPr>
            <a:t>     - suite of online calculators, including, breakeven analysis, productivity analysis, business evaluation;</a:t>
          </a:r>
        </a:p>
        <a:p>
          <a:pPr algn="l" rtl="0">
            <a:defRPr sz="1000"/>
          </a:pPr>
          <a:r>
            <a:rPr lang="en-HK" sz="1200" b="0" i="0" u="none" strike="noStrike" baseline="0">
              <a:solidFill>
                <a:srgbClr val="000000"/>
              </a:solidFill>
              <a:latin typeface="Arial"/>
              <a:cs typeface="Arial"/>
            </a:rPr>
            <a:t>     - Altman Z-Score (covering publicly and privately held firms, and small businesses);</a:t>
          </a:r>
        </a:p>
        <a:p>
          <a:pPr algn="l" rtl="0">
            <a:defRPr sz="1000"/>
          </a:pPr>
          <a:r>
            <a:rPr lang="en-HK" sz="1200" b="0" i="0" u="none" strike="noStrike" baseline="0">
              <a:solidFill>
                <a:srgbClr val="000000"/>
              </a:solidFill>
              <a:latin typeface="Arial"/>
              <a:cs typeface="Arial"/>
            </a:rPr>
            <a:t>     - and payroll analysis.</a:t>
          </a:r>
        </a:p>
        <a:p>
          <a:pPr algn="l" rtl="0">
            <a:defRPr sz="1000"/>
          </a:pPr>
          <a:endParaRPr lang="en-HK" sz="1200" b="0" i="0" u="none" strike="noStrike" baseline="0">
            <a:solidFill>
              <a:srgbClr val="000000"/>
            </a:solidFill>
            <a:latin typeface="Arial"/>
            <a:cs typeface="Arial"/>
          </a:endParaRPr>
        </a:p>
        <a:p>
          <a:pPr algn="l" rtl="0">
            <a:defRPr sz="1000"/>
          </a:pPr>
          <a:r>
            <a:rPr lang="en-HK" sz="1200" b="0" i="0" u="none" strike="noStrike" baseline="0">
              <a:solidFill>
                <a:srgbClr val="000000"/>
              </a:solidFill>
              <a:latin typeface="Arial"/>
              <a:cs typeface="Arial"/>
            </a:rPr>
            <a:t>If you are involved in financial analysis at any level, or want to learn more about MS Excel and other applications in the Office suite this site is invaluable. </a:t>
          </a:r>
        </a:p>
      </xdr:txBody>
    </xdr:sp>
    <xdr:clientData/>
  </xdr:twoCellAnchor>
  <xdr:twoCellAnchor>
    <xdr:from>
      <xdr:col>0</xdr:col>
      <xdr:colOff>0</xdr:colOff>
      <xdr:row>0</xdr:row>
      <xdr:rowOff>0</xdr:rowOff>
    </xdr:from>
    <xdr:to>
      <xdr:col>1</xdr:col>
      <xdr:colOff>152400</xdr:colOff>
      <xdr:row>1</xdr:row>
      <xdr:rowOff>76200</xdr:rowOff>
    </xdr:to>
    <xdr:sp macro="" textlink="">
      <xdr:nvSpPr>
        <xdr:cNvPr id="29698" name="Rectangle 2">
          <a:extLst>
            <a:ext uri="{FF2B5EF4-FFF2-40B4-BE49-F238E27FC236}">
              <a16:creationId xmlns:a16="http://schemas.microsoft.com/office/drawing/2014/main" id="{8380CEA9-B558-465C-9765-F9C0314D1998}"/>
            </a:ext>
          </a:extLst>
        </xdr:cNvPr>
        <xdr:cNvSpPr>
          <a:spLocks noChangeArrowheads="1"/>
        </xdr:cNvSpPr>
      </xdr:nvSpPr>
      <xdr:spPr bwMode="auto">
        <a:xfrm>
          <a:off x="0" y="0"/>
          <a:ext cx="442913" cy="2381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xdr:col>
      <xdr:colOff>42863</xdr:colOff>
      <xdr:row>1</xdr:row>
      <xdr:rowOff>76200</xdr:rowOff>
    </xdr:from>
    <xdr:to>
      <xdr:col>9</xdr:col>
      <xdr:colOff>585788</xdr:colOff>
      <xdr:row>5</xdr:row>
      <xdr:rowOff>47625</xdr:rowOff>
    </xdr:to>
    <xdr:pic>
      <xdr:nvPicPr>
        <xdr:cNvPr id="29699" name="Picture 3">
          <a:hlinkClick xmlns:r="http://schemas.openxmlformats.org/officeDocument/2006/relationships" r:id="rId1"/>
          <a:extLst>
            <a:ext uri="{FF2B5EF4-FFF2-40B4-BE49-F238E27FC236}">
              <a16:creationId xmlns:a16="http://schemas.microsoft.com/office/drawing/2014/main" id="{3044C582-E6F9-4CF5-A98E-8AC11694865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38125"/>
          <a:ext cx="5510213"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7</xdr:col>
      <xdr:colOff>519113</xdr:colOff>
      <xdr:row>22</xdr:row>
      <xdr:rowOff>28575</xdr:rowOff>
    </xdr:from>
    <xdr:to>
      <xdr:col>10</xdr:col>
      <xdr:colOff>76200</xdr:colOff>
      <xdr:row>25</xdr:row>
      <xdr:rowOff>0</xdr:rowOff>
    </xdr:to>
    <xdr:pic>
      <xdr:nvPicPr>
        <xdr:cNvPr id="29700" name="Picture 5">
          <a:hlinkClick xmlns:r="http://schemas.openxmlformats.org/officeDocument/2006/relationships" r:id="rId3"/>
          <a:extLst>
            <a:ext uri="{FF2B5EF4-FFF2-40B4-BE49-F238E27FC236}">
              <a16:creationId xmlns:a16="http://schemas.microsoft.com/office/drawing/2014/main" id="{AF52C91B-A3AB-4D33-9BD7-50AF37EDA18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00588" y="3590925"/>
          <a:ext cx="168592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266700</xdr:colOff>
      <xdr:row>1</xdr:row>
      <xdr:rowOff>76200</xdr:rowOff>
    </xdr:to>
    <xdr:sp macro="" textlink="">
      <xdr:nvSpPr>
        <xdr:cNvPr id="12289" name="Rectangle 1">
          <a:extLst>
            <a:ext uri="{FF2B5EF4-FFF2-40B4-BE49-F238E27FC236}">
              <a16:creationId xmlns:a16="http://schemas.microsoft.com/office/drawing/2014/main" id="{99A13BD0-7BF8-4BAA-A6C3-0805EF54D135}"/>
            </a:ext>
          </a:extLst>
        </xdr:cNvPr>
        <xdr:cNvSpPr>
          <a:spLocks noChangeArrowheads="1"/>
        </xdr:cNvSpPr>
      </xdr:nvSpPr>
      <xdr:spPr bwMode="auto">
        <a:xfrm>
          <a:off x="0" y="0"/>
          <a:ext cx="333375" cy="1714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4</xdr:row>
      <xdr:rowOff>57150</xdr:rowOff>
    </xdr:from>
    <xdr:to>
      <xdr:col>14</xdr:col>
      <xdr:colOff>590550</xdr:colOff>
      <xdr:row>22</xdr:row>
      <xdr:rowOff>90488</xdr:rowOff>
    </xdr:to>
    <xdr:sp macro="" textlink="">
      <xdr:nvSpPr>
        <xdr:cNvPr id="12290" name="Text Box 2">
          <a:extLst>
            <a:ext uri="{FF2B5EF4-FFF2-40B4-BE49-F238E27FC236}">
              <a16:creationId xmlns:a16="http://schemas.microsoft.com/office/drawing/2014/main" id="{651CD4E2-3974-4414-BA92-876218706EE5}"/>
            </a:ext>
          </a:extLst>
        </xdr:cNvPr>
        <xdr:cNvSpPr txBox="1">
          <a:spLocks noChangeArrowheads="1"/>
        </xdr:cNvSpPr>
      </xdr:nvSpPr>
      <xdr:spPr bwMode="auto">
        <a:xfrm>
          <a:off x="690563" y="652463"/>
          <a:ext cx="8077200" cy="3033712"/>
        </a:xfrm>
        <a:prstGeom prst="rect">
          <a:avLst/>
        </a:prstGeom>
        <a:solidFill>
          <a:srgbClr xmlns:mc="http://schemas.openxmlformats.org/markup-compatibility/2006" xmlns:a14="http://schemas.microsoft.com/office/drawing/2010/main" val="FFFFFF" mc:Ignorable="a14" a14:legacySpreadsheetColorIndex="9"/>
        </a:solidFill>
        <a:ln w="3175">
          <a:solidFill>
            <a:srgbClr xmlns:mc="http://schemas.openxmlformats.org/markup-compatibility/2006" xmlns:a14="http://schemas.microsoft.com/office/drawing/2010/main" val="000000" mc:Ignorable="a14" a14:legacySpreadsheetColorIndex="8"/>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1440" tIns="45720" rIns="91440" bIns="45720" anchor="t" upright="1"/>
        <a:lstStyle/>
        <a:p>
          <a:pPr algn="just" rtl="0">
            <a:defRPr sz="1000"/>
          </a:pPr>
          <a:endParaRPr lang="en-HK" sz="1100" b="1" i="0" u="none" strike="noStrike" baseline="0">
            <a:solidFill>
              <a:srgbClr val="000000"/>
            </a:solidFill>
            <a:latin typeface="Arial"/>
            <a:cs typeface="Arial"/>
          </a:endParaRPr>
        </a:p>
        <a:p>
          <a:pPr algn="just" rtl="0">
            <a:defRPr sz="1000"/>
          </a:pPr>
          <a:r>
            <a:rPr lang="en-HK" sz="1100" b="1" i="0" u="none" strike="noStrike" baseline="0">
              <a:solidFill>
                <a:srgbClr val="000000"/>
              </a:solidFill>
              <a:latin typeface="Arial"/>
              <a:cs typeface="Arial"/>
            </a:rPr>
            <a:t>This workbook was produced at the request of hundreds of our loyal visitors to our web site. It appears there is a great demand for an in-depth understanding of the financial "tool-of-tools" known as the Break-Even Analysis. </a:t>
          </a:r>
        </a:p>
        <a:p>
          <a:pPr algn="just" rtl="0">
            <a:defRPr sz="1000"/>
          </a:pPr>
          <a:endParaRPr lang="en-HK" sz="1100" b="1" i="0" u="none" strike="noStrike" baseline="0">
            <a:solidFill>
              <a:srgbClr val="000000"/>
            </a:solidFill>
            <a:latin typeface="Arial"/>
            <a:cs typeface="Arial"/>
          </a:endParaRPr>
        </a:p>
        <a:p>
          <a:pPr algn="just" rtl="0">
            <a:defRPr sz="1000"/>
          </a:pPr>
          <a:r>
            <a:rPr lang="en-HK" sz="1100" b="1" i="0" u="none" strike="noStrike" baseline="0">
              <a:solidFill>
                <a:srgbClr val="000000"/>
              </a:solidFill>
              <a:latin typeface="Arial"/>
              <a:cs typeface="Arial"/>
            </a:rPr>
            <a:t>Actually the Break-Even is only a portion of a larger concept known as "Contribution and Margin Analysis" that has at its heart the analysis of cost/volume/and profit relationships.</a:t>
          </a:r>
        </a:p>
        <a:p>
          <a:pPr algn="just" rtl="0">
            <a:defRPr sz="1000"/>
          </a:pPr>
          <a:endParaRPr lang="en-HK" sz="1100" b="1" i="0" u="none" strike="noStrike" baseline="0">
            <a:solidFill>
              <a:srgbClr val="000000"/>
            </a:solidFill>
            <a:latin typeface="Arial"/>
            <a:cs typeface="Arial"/>
          </a:endParaRPr>
        </a:p>
        <a:p>
          <a:pPr algn="just" rtl="0">
            <a:defRPr sz="1000"/>
          </a:pPr>
          <a:r>
            <a:rPr lang="en-HK" sz="1100" b="1" i="0" u="none" strike="noStrike" baseline="0">
              <a:solidFill>
                <a:srgbClr val="000000"/>
              </a:solidFill>
              <a:latin typeface="Arial"/>
              <a:cs typeface="Arial"/>
            </a:rPr>
            <a:t>This product makes an attempt at demystifying all of these concepts with examples and popup explanations. This workbook can be used with your business by entering your own data.</a:t>
          </a:r>
        </a:p>
        <a:p>
          <a:pPr algn="just" rtl="0">
            <a:defRPr sz="1000"/>
          </a:pPr>
          <a:endParaRPr lang="en-HK" sz="1100" b="1" i="0" u="none" strike="noStrike" baseline="0">
            <a:solidFill>
              <a:srgbClr val="000000"/>
            </a:solidFill>
            <a:latin typeface="Arial"/>
            <a:cs typeface="Arial"/>
          </a:endParaRPr>
        </a:p>
        <a:p>
          <a:pPr algn="just" rtl="0">
            <a:defRPr sz="1000"/>
          </a:pPr>
          <a:r>
            <a:rPr lang="en-HK" sz="1100" b="1" i="0" u="none" strike="noStrike" baseline="0">
              <a:solidFill>
                <a:srgbClr val="000000"/>
              </a:solidFill>
              <a:latin typeface="Arial"/>
              <a:cs typeface="Arial"/>
            </a:rPr>
            <a:t>We suggest that you print the included Adobe Acrobat PDF file or MS Word Document. This workbook is unprotected so be careful with cells that contain formulas.</a:t>
          </a:r>
        </a:p>
      </xdr:txBody>
    </xdr:sp>
    <xdr:clientData/>
  </xdr:twoCellAnchor>
  <xdr:twoCellAnchor>
    <xdr:from>
      <xdr:col>1</xdr:col>
      <xdr:colOff>590550</xdr:colOff>
      <xdr:row>1</xdr:row>
      <xdr:rowOff>90488</xdr:rowOff>
    </xdr:from>
    <xdr:to>
      <xdr:col>15</xdr:col>
      <xdr:colOff>0</xdr:colOff>
      <xdr:row>3</xdr:row>
      <xdr:rowOff>157163</xdr:rowOff>
    </xdr:to>
    <xdr:sp macro="" textlink="">
      <xdr:nvSpPr>
        <xdr:cNvPr id="12291" name="Text Box 3">
          <a:extLst>
            <a:ext uri="{FF2B5EF4-FFF2-40B4-BE49-F238E27FC236}">
              <a16:creationId xmlns:a16="http://schemas.microsoft.com/office/drawing/2014/main" id="{1BCF8A64-A325-465A-B6A5-8C0C3385425E}"/>
            </a:ext>
          </a:extLst>
        </xdr:cNvPr>
        <xdr:cNvSpPr txBox="1">
          <a:spLocks noChangeArrowheads="1"/>
        </xdr:cNvSpPr>
      </xdr:nvSpPr>
      <xdr:spPr bwMode="auto">
        <a:xfrm>
          <a:off x="657225" y="185738"/>
          <a:ext cx="8143875" cy="400050"/>
        </a:xfrm>
        <a:prstGeom prst="rect">
          <a:avLst/>
        </a:prstGeom>
        <a:solidFill>
          <a:srgbClr xmlns:mc="http://schemas.openxmlformats.org/markup-compatibility/2006" xmlns:a14="http://schemas.microsoft.com/office/drawing/2010/main" val="000080" mc:Ignorable="a14" a14:legacySpreadsheetColorIndex="18"/>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3152" tIns="64008" rIns="73152" bIns="0" anchor="t" upright="1"/>
        <a:lstStyle/>
        <a:p>
          <a:pPr algn="ctr" rtl="0">
            <a:defRPr sz="1000"/>
          </a:pPr>
          <a:r>
            <a:rPr lang="en-HK" sz="2000" b="1" i="1" u="none" strike="noStrike" baseline="0">
              <a:solidFill>
                <a:srgbClr val="FFFFFF"/>
              </a:solidFill>
              <a:latin typeface="Times New Roman"/>
              <a:cs typeface="Times New Roman"/>
            </a:rPr>
            <a:t>NeoCalc</a:t>
          </a:r>
          <a:r>
            <a:rPr lang="en-HK" sz="1400" b="1" i="1" u="none" strike="noStrike" baseline="30000">
              <a:solidFill>
                <a:srgbClr val="FFFFFF"/>
              </a:solidFill>
              <a:latin typeface="Arial"/>
              <a:cs typeface="Arial"/>
            </a:rPr>
            <a:t>™</a:t>
          </a:r>
          <a:r>
            <a:rPr lang="en-HK" sz="2000" b="1" i="1" u="none" strike="noStrike" baseline="0">
              <a:solidFill>
                <a:srgbClr val="FFFFFF"/>
              </a:solidFill>
              <a:latin typeface="Times New Roman"/>
              <a:cs typeface="Times New Roman"/>
            </a:rPr>
            <a:t> Comprehensive Break-Even Analysis</a:t>
          </a:r>
        </a:p>
      </xdr:txBody>
    </xdr:sp>
    <xdr:clientData/>
  </xdr:twoCellAnchor>
  <mc:AlternateContent xmlns:mc="http://schemas.openxmlformats.org/markup-compatibility/2006">
    <mc:Choice xmlns:a14="http://schemas.microsoft.com/office/drawing/2010/main" Requires="a14">
      <xdr:twoCellAnchor>
        <xdr:from>
          <xdr:col>7</xdr:col>
          <xdr:colOff>157163</xdr:colOff>
          <xdr:row>23</xdr:row>
          <xdr:rowOff>9525</xdr:rowOff>
        </xdr:from>
        <xdr:to>
          <xdr:col>9</xdr:col>
          <xdr:colOff>566738</xdr:colOff>
          <xdr:row>24</xdr:row>
          <xdr:rowOff>9525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10E65FDB-DADF-476E-84A6-92B9DCC7E5C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1" i="0" u="none" strike="noStrike" baseline="0">
                  <a:solidFill>
                    <a:srgbClr val="FF0000"/>
                  </a:solidFill>
                  <a:latin typeface="Arial"/>
                  <a:cs typeface="Arial"/>
                </a:rPr>
                <a:t>Go To Break-Even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60</xdr:col>
      <xdr:colOff>9525</xdr:colOff>
      <xdr:row>6</xdr:row>
      <xdr:rowOff>19050</xdr:rowOff>
    </xdr:from>
    <xdr:to>
      <xdr:col>66</xdr:col>
      <xdr:colOff>9525</xdr:colOff>
      <xdr:row>23</xdr:row>
      <xdr:rowOff>147638</xdr:rowOff>
    </xdr:to>
    <xdr:graphicFrame macro="">
      <xdr:nvGraphicFramePr>
        <xdr:cNvPr id="7169" name="Chart 1">
          <a:extLst>
            <a:ext uri="{FF2B5EF4-FFF2-40B4-BE49-F238E27FC236}">
              <a16:creationId xmlns:a16="http://schemas.microsoft.com/office/drawing/2014/main" id="{E0DA0920-1F0F-4932-88D6-EB0534C87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74</xdr:col>
      <xdr:colOff>9525</xdr:colOff>
      <xdr:row>6</xdr:row>
      <xdr:rowOff>19050</xdr:rowOff>
    </xdr:from>
    <xdr:to>
      <xdr:col>80</xdr:col>
      <xdr:colOff>209550</xdr:colOff>
      <xdr:row>23</xdr:row>
      <xdr:rowOff>147638</xdr:rowOff>
    </xdr:to>
    <xdr:graphicFrame macro="">
      <xdr:nvGraphicFramePr>
        <xdr:cNvPr id="7170" name="Chart 2">
          <a:extLst>
            <a:ext uri="{FF2B5EF4-FFF2-40B4-BE49-F238E27FC236}">
              <a16:creationId xmlns:a16="http://schemas.microsoft.com/office/drawing/2014/main" id="{9DBAA4B8-B76C-4179-8B2D-8B4796A33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90</xdr:col>
      <xdr:colOff>42863</xdr:colOff>
      <xdr:row>6</xdr:row>
      <xdr:rowOff>28575</xdr:rowOff>
    </xdr:from>
    <xdr:to>
      <xdr:col>96</xdr:col>
      <xdr:colOff>533400</xdr:colOff>
      <xdr:row>26</xdr:row>
      <xdr:rowOff>19050</xdr:rowOff>
    </xdr:to>
    <xdr:graphicFrame macro="">
      <xdr:nvGraphicFramePr>
        <xdr:cNvPr id="7171" name="Chart 3">
          <a:extLst>
            <a:ext uri="{FF2B5EF4-FFF2-40B4-BE49-F238E27FC236}">
              <a16:creationId xmlns:a16="http://schemas.microsoft.com/office/drawing/2014/main" id="{F0972FE9-D35C-4F71-9C0A-EE900818AA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104</xdr:col>
      <xdr:colOff>23813</xdr:colOff>
      <xdr:row>7</xdr:row>
      <xdr:rowOff>9525</xdr:rowOff>
    </xdr:from>
    <xdr:to>
      <xdr:col>109</xdr:col>
      <xdr:colOff>314325</xdr:colOff>
      <xdr:row>26</xdr:row>
      <xdr:rowOff>9525</xdr:rowOff>
    </xdr:to>
    <xdr:graphicFrame macro="">
      <xdr:nvGraphicFramePr>
        <xdr:cNvPr id="7172" name="Chart 4">
          <a:extLst>
            <a:ext uri="{FF2B5EF4-FFF2-40B4-BE49-F238E27FC236}">
              <a16:creationId xmlns:a16="http://schemas.microsoft.com/office/drawing/2014/main" id="{7356180A-1BD4-4369-8FE7-780C4CC219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119</xdr:col>
      <xdr:colOff>42863</xdr:colOff>
      <xdr:row>7</xdr:row>
      <xdr:rowOff>9525</xdr:rowOff>
    </xdr:from>
    <xdr:to>
      <xdr:col>125</xdr:col>
      <xdr:colOff>33338</xdr:colOff>
      <xdr:row>26</xdr:row>
      <xdr:rowOff>138113</xdr:rowOff>
    </xdr:to>
    <xdr:graphicFrame macro="">
      <xdr:nvGraphicFramePr>
        <xdr:cNvPr id="7173" name="Chart 5">
          <a:extLst>
            <a:ext uri="{FF2B5EF4-FFF2-40B4-BE49-F238E27FC236}">
              <a16:creationId xmlns:a16="http://schemas.microsoft.com/office/drawing/2014/main" id="{8E4B8D97-6A96-4898-853D-91D33B14AA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0</xdr:colOff>
          <xdr:row>1</xdr:row>
          <xdr:rowOff>47625</xdr:rowOff>
        </xdr:from>
        <xdr:to>
          <xdr:col>3</xdr:col>
          <xdr:colOff>1443038</xdr:colOff>
          <xdr:row>3</xdr:row>
          <xdr:rowOff>47625</xdr:rowOff>
        </xdr:to>
        <xdr:sp macro="" textlink="">
          <xdr:nvSpPr>
            <xdr:cNvPr id="7176" name="Button 8" hidden="1">
              <a:extLst>
                <a:ext uri="{63B3BB69-23CF-44E3-9099-C40C66FF867C}">
                  <a14:compatExt spid="_x0000_s7176"/>
                </a:ext>
                <a:ext uri="{FF2B5EF4-FFF2-40B4-BE49-F238E27FC236}">
                  <a16:creationId xmlns:a16="http://schemas.microsoft.com/office/drawing/2014/main" id="{AE8D597B-2C9B-42E3-B2EE-A99FA7202DFF}"/>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Introduction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2309813</xdr:colOff>
          <xdr:row>1</xdr:row>
          <xdr:rowOff>47625</xdr:rowOff>
        </xdr:from>
        <xdr:to>
          <xdr:col>7</xdr:col>
          <xdr:colOff>9525</xdr:colOff>
          <xdr:row>3</xdr:row>
          <xdr:rowOff>47625</xdr:rowOff>
        </xdr:to>
        <xdr:sp macro="" textlink="">
          <xdr:nvSpPr>
            <xdr:cNvPr id="7177" name="Button 9" hidden="1">
              <a:extLst>
                <a:ext uri="{63B3BB69-23CF-44E3-9099-C40C66FF867C}">
                  <a14:compatExt spid="_x0000_s7177"/>
                </a:ext>
                <a:ext uri="{FF2B5EF4-FFF2-40B4-BE49-F238E27FC236}">
                  <a16:creationId xmlns:a16="http://schemas.microsoft.com/office/drawing/2014/main" id="{29489411-14F4-4FA1-8B89-E7CE6060DE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0" i="0" u="none" strike="noStrike" baseline="0">
                  <a:solidFill>
                    <a:srgbClr val="000000"/>
                  </a:solidFill>
                  <a:latin typeface="Arial"/>
                  <a:cs typeface="Arial"/>
                </a:rPr>
                <a:t>Calculating The Contribution</a:t>
              </a:r>
            </a:p>
            <a:p>
              <a:pPr algn="ctr" rtl="0">
                <a:defRPr sz="1000"/>
              </a:pPr>
              <a:r>
                <a:rPr lang="en-HK" sz="800" b="0" i="0" u="none" strike="noStrike" baseline="0">
                  <a:solidFill>
                    <a:srgbClr val="000000"/>
                  </a:solidFill>
                  <a:latin typeface="Arial"/>
                  <a:cs typeface="Arial"/>
                </a:rPr>
                <a:t>Margin</a:t>
              </a:r>
            </a:p>
          </xdr:txBody>
        </xdr:sp>
        <xdr:clientData fPrintsWithSheet="0"/>
      </xdr:twoCellAnchor>
    </mc:Choice>
    <mc:Fallback/>
  </mc:AlternateContent>
  <xdr:twoCellAnchor>
    <xdr:from>
      <xdr:col>0</xdr:col>
      <xdr:colOff>0</xdr:colOff>
      <xdr:row>0</xdr:row>
      <xdr:rowOff>0</xdr:rowOff>
    </xdr:from>
    <xdr:to>
      <xdr:col>1</xdr:col>
      <xdr:colOff>242888</xdr:colOff>
      <xdr:row>1</xdr:row>
      <xdr:rowOff>66675</xdr:rowOff>
    </xdr:to>
    <xdr:sp macro="" textlink="">
      <xdr:nvSpPr>
        <xdr:cNvPr id="7178" name="Rectangle 10">
          <a:extLst>
            <a:ext uri="{FF2B5EF4-FFF2-40B4-BE49-F238E27FC236}">
              <a16:creationId xmlns:a16="http://schemas.microsoft.com/office/drawing/2014/main" id="{E1E114BD-AB4F-41AD-ABDB-0F8BA30DCE63}"/>
            </a:ext>
          </a:extLst>
        </xdr:cNvPr>
        <xdr:cNvSpPr>
          <a:spLocks noChangeArrowheads="1"/>
        </xdr:cNvSpPr>
      </xdr:nvSpPr>
      <xdr:spPr bwMode="auto">
        <a:xfrm>
          <a:off x="0" y="0"/>
          <a:ext cx="333375" cy="1714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mc:AlternateContent xmlns:mc="http://schemas.openxmlformats.org/markup-compatibility/2006">
    <mc:Choice xmlns:a14="http://schemas.microsoft.com/office/drawing/2010/main" Requires="a14">
      <xdr:twoCellAnchor>
        <xdr:from>
          <xdr:col>9</xdr:col>
          <xdr:colOff>0</xdr:colOff>
          <xdr:row>1</xdr:row>
          <xdr:rowOff>47625</xdr:rowOff>
        </xdr:from>
        <xdr:to>
          <xdr:col>10</xdr:col>
          <xdr:colOff>1443038</xdr:colOff>
          <xdr:row>3</xdr:row>
          <xdr:rowOff>47625</xdr:rowOff>
        </xdr:to>
        <xdr:sp macro="" textlink="">
          <xdr:nvSpPr>
            <xdr:cNvPr id="7179" name="Button 11" hidden="1">
              <a:extLst>
                <a:ext uri="{63B3BB69-23CF-44E3-9099-C40C66FF867C}">
                  <a14:compatExt spid="_x0000_s7179"/>
                </a:ext>
                <a:ext uri="{FF2B5EF4-FFF2-40B4-BE49-F238E27FC236}">
                  <a16:creationId xmlns:a16="http://schemas.microsoft.com/office/drawing/2014/main" id="{2F057507-E23F-4F5C-8F52-D37E222E0D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0" i="0" u="none" strike="noStrike" baseline="0">
                  <a:solidFill>
                    <a:srgbClr val="000000"/>
                  </a:solidFill>
                  <a:latin typeface="Arial"/>
                  <a:cs typeface="Arial"/>
                </a:rPr>
                <a:t>Fixed, Variable, and</a:t>
              </a:r>
            </a:p>
            <a:p>
              <a:pPr algn="ctr" rtl="0">
                <a:defRPr sz="1000"/>
              </a:pPr>
              <a:r>
                <a:rPr lang="en-HK" sz="800" b="0" i="0" u="none" strike="noStrike" baseline="0">
                  <a:solidFill>
                    <a:srgbClr val="000000"/>
                  </a:solidFill>
                  <a:latin typeface="Arial"/>
                  <a:cs typeface="Arial"/>
                </a:rPr>
                <a:t>Semi-variable Costs Part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157163</xdr:colOff>
          <xdr:row>1</xdr:row>
          <xdr:rowOff>47625</xdr:rowOff>
        </xdr:from>
        <xdr:to>
          <xdr:col>13</xdr:col>
          <xdr:colOff>142875</xdr:colOff>
          <xdr:row>3</xdr:row>
          <xdr:rowOff>47625</xdr:rowOff>
        </xdr:to>
        <xdr:sp macro="" textlink="">
          <xdr:nvSpPr>
            <xdr:cNvPr id="7180" name="Button 12" hidden="1">
              <a:extLst>
                <a:ext uri="{63B3BB69-23CF-44E3-9099-C40C66FF867C}">
                  <a14:compatExt spid="_x0000_s7180"/>
                </a:ext>
                <a:ext uri="{FF2B5EF4-FFF2-40B4-BE49-F238E27FC236}">
                  <a16:creationId xmlns:a16="http://schemas.microsoft.com/office/drawing/2014/main" id="{3CCB6543-87AF-4CA6-B7F5-FBEAC8C58CB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HK" sz="800" b="0" i="0" u="none" strike="noStrike" baseline="0">
                  <a:solidFill>
                    <a:srgbClr val="000000"/>
                  </a:solidFill>
                  <a:latin typeface="Arial"/>
                  <a:cs typeface="Arial"/>
                </a:rPr>
                <a:t>Fixed, Variable, and</a:t>
              </a:r>
            </a:p>
            <a:p>
              <a:pPr algn="ctr" rtl="0">
                <a:defRPr sz="1000"/>
              </a:pPr>
              <a:r>
                <a:rPr lang="en-HK" sz="800" b="0" i="0" u="none" strike="noStrike" baseline="0">
                  <a:solidFill>
                    <a:srgbClr val="000000"/>
                  </a:solidFill>
                  <a:latin typeface="Arial"/>
                  <a:cs typeface="Arial"/>
                </a:rPr>
                <a:t>Semi-variable Costs Part 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xdr:colOff>
          <xdr:row>1</xdr:row>
          <xdr:rowOff>57150</xdr:rowOff>
        </xdr:from>
        <xdr:to>
          <xdr:col>20</xdr:col>
          <xdr:colOff>1457325</xdr:colOff>
          <xdr:row>3</xdr:row>
          <xdr:rowOff>57150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FD519E41-E7C4-4526-9D8B-F342EEB8599B}"/>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Using Unit Contribution</a:t>
              </a:r>
            </a:p>
          </xdr:txBody>
        </xdr:sp>
        <xdr:clientData fPrintsWithSheet="0"/>
      </xdr:twoCellAnchor>
    </mc:Choice>
    <mc:Fallback/>
  </mc:AlternateContent>
  <xdr:twoCellAnchor>
    <xdr:from>
      <xdr:col>35</xdr:col>
      <xdr:colOff>100013</xdr:colOff>
      <xdr:row>10</xdr:row>
      <xdr:rowOff>38100</xdr:rowOff>
    </xdr:from>
    <xdr:to>
      <xdr:col>36</xdr:col>
      <xdr:colOff>523875</xdr:colOff>
      <xdr:row>10</xdr:row>
      <xdr:rowOff>38100</xdr:rowOff>
    </xdr:to>
    <xdr:sp macro="" textlink="">
      <xdr:nvSpPr>
        <xdr:cNvPr id="7182" name="Line 14">
          <a:extLst>
            <a:ext uri="{FF2B5EF4-FFF2-40B4-BE49-F238E27FC236}">
              <a16:creationId xmlns:a16="http://schemas.microsoft.com/office/drawing/2014/main" id="{1362BB5E-B098-4A13-8487-51BF25E345BF}"/>
            </a:ext>
          </a:extLst>
        </xdr:cNvPr>
        <xdr:cNvSpPr>
          <a:spLocks noChangeShapeType="1"/>
        </xdr:cNvSpPr>
      </xdr:nvSpPr>
      <xdr:spPr bwMode="auto">
        <a:xfrm>
          <a:off x="27836813" y="1647825"/>
          <a:ext cx="1047750" cy="0"/>
        </a:xfrm>
        <a:prstGeom prst="line">
          <a:avLst/>
        </a:prstGeom>
        <a:noFill/>
        <a:ln w="19050">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90</xdr:col>
      <xdr:colOff>42863</xdr:colOff>
      <xdr:row>27</xdr:row>
      <xdr:rowOff>104775</xdr:rowOff>
    </xdr:from>
    <xdr:to>
      <xdr:col>96</xdr:col>
      <xdr:colOff>566738</xdr:colOff>
      <xdr:row>48</xdr:row>
      <xdr:rowOff>38100</xdr:rowOff>
    </xdr:to>
    <xdr:pic>
      <xdr:nvPicPr>
        <xdr:cNvPr id="7184" name="Picture 16">
          <a:extLst>
            <a:ext uri="{FF2B5EF4-FFF2-40B4-BE49-F238E27FC236}">
              <a16:creationId xmlns:a16="http://schemas.microsoft.com/office/drawing/2014/main" id="{AD815605-F603-42E1-BCE7-47FA9B13F39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5412938" y="4548188"/>
          <a:ext cx="4267200" cy="33480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85</xdr:col>
      <xdr:colOff>90488</xdr:colOff>
      <xdr:row>30</xdr:row>
      <xdr:rowOff>28575</xdr:rowOff>
    </xdr:from>
    <xdr:to>
      <xdr:col>89</xdr:col>
      <xdr:colOff>566738</xdr:colOff>
      <xdr:row>46</xdr:row>
      <xdr:rowOff>38100</xdr:rowOff>
    </xdr:to>
    <xdr:sp macro="" textlink="">
      <xdr:nvSpPr>
        <xdr:cNvPr id="7185" name="Text Box 17">
          <a:extLst>
            <a:ext uri="{FF2B5EF4-FFF2-40B4-BE49-F238E27FC236}">
              <a16:creationId xmlns:a16="http://schemas.microsoft.com/office/drawing/2014/main" id="{4AED6AB5-CD6D-4EC3-BF9E-0FFD5F9D6236}"/>
            </a:ext>
          </a:extLst>
        </xdr:cNvPr>
        <xdr:cNvSpPr txBox="1">
          <a:spLocks noChangeArrowheads="1"/>
        </xdr:cNvSpPr>
      </xdr:nvSpPr>
      <xdr:spPr bwMode="auto">
        <a:xfrm>
          <a:off x="62488763" y="4967288"/>
          <a:ext cx="2857500" cy="2605087"/>
        </a:xfrm>
        <a:prstGeom prst="rect">
          <a:avLst/>
        </a:prstGeom>
        <a:solidFill>
          <a:srgbClr val="FFFFCC"/>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just" rtl="0">
            <a:defRPr sz="1000"/>
          </a:pPr>
          <a:r>
            <a:rPr lang="en-HK" sz="900" b="0" i="0" u="none" strike="noStrike" baseline="0">
              <a:solidFill>
                <a:srgbClr val="000000"/>
              </a:solidFill>
              <a:latin typeface="Arial"/>
              <a:cs typeface="Arial"/>
            </a:rPr>
            <a:t>The graphical representation of a company's current cost/volume/profit relationship gives you an effective tool for determining what adjustments you need to make to volume, cost, or both so as to increase your profit level. Relationships among these variables can become extremely complex, especially when several different products are involved. </a:t>
          </a:r>
        </a:p>
        <a:p>
          <a:pPr algn="just" rtl="0">
            <a:defRPr sz="1000"/>
          </a:pPr>
          <a:endParaRPr lang="en-HK" sz="900" b="0" i="0" u="none" strike="noStrike" baseline="0">
            <a:solidFill>
              <a:srgbClr val="000000"/>
            </a:solidFill>
            <a:latin typeface="Arial"/>
            <a:cs typeface="Arial"/>
          </a:endParaRPr>
        </a:p>
        <a:p>
          <a:pPr algn="just" rtl="0">
            <a:defRPr sz="1000"/>
          </a:pPr>
          <a:r>
            <a:rPr lang="en-HK" sz="900" b="0" i="0" u="none" strike="noStrike" baseline="0">
              <a:solidFill>
                <a:srgbClr val="000000"/>
              </a:solidFill>
              <a:latin typeface="Arial"/>
              <a:cs typeface="Arial"/>
            </a:rPr>
            <a:t>When you are dealing with a complicated situation, it is usually easier to make sense of the relationships by viewing them on a chart, rather than by gazing at a table of raw numbers. </a:t>
          </a:r>
        </a:p>
      </xdr:txBody>
    </xdr:sp>
    <xdr:clientData/>
  </xdr:twoCellAnchor>
  <xdr:twoCellAnchor>
    <xdr:from>
      <xdr:col>94</xdr:col>
      <xdr:colOff>581025</xdr:colOff>
      <xdr:row>29</xdr:row>
      <xdr:rowOff>47625</xdr:rowOff>
    </xdr:from>
    <xdr:to>
      <xdr:col>96</xdr:col>
      <xdr:colOff>9525</xdr:colOff>
      <xdr:row>30</xdr:row>
      <xdr:rowOff>66675</xdr:rowOff>
    </xdr:to>
    <xdr:sp macro="" textlink="">
      <xdr:nvSpPr>
        <xdr:cNvPr id="7186" name="Text Box 18">
          <a:extLst>
            <a:ext uri="{FF2B5EF4-FFF2-40B4-BE49-F238E27FC236}">
              <a16:creationId xmlns:a16="http://schemas.microsoft.com/office/drawing/2014/main" id="{880CACF4-16AA-48E5-83C3-57855FDC98A4}"/>
            </a:ext>
          </a:extLst>
        </xdr:cNvPr>
        <xdr:cNvSpPr txBox="1">
          <a:spLocks noChangeArrowheads="1"/>
        </xdr:cNvSpPr>
      </xdr:nvSpPr>
      <xdr:spPr bwMode="auto">
        <a:xfrm>
          <a:off x="68446650" y="4819650"/>
          <a:ext cx="676275" cy="18573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45720" tIns="36576" rIns="45720" bIns="0" anchor="t" upright="1"/>
        <a:lstStyle/>
        <a:p>
          <a:pPr algn="ctr" rtl="0">
            <a:defRPr sz="1000"/>
          </a:pPr>
          <a:r>
            <a:rPr lang="en-HK" sz="1000" b="0" i="0" u="none" strike="noStrike" baseline="0">
              <a:solidFill>
                <a:srgbClr val="000000"/>
              </a:solidFill>
              <a:latin typeface="Arial"/>
              <a:cs typeface="Arial"/>
            </a:rPr>
            <a:t>Profit</a:t>
          </a:r>
        </a:p>
      </xdr:txBody>
    </xdr:sp>
    <xdr:clientData/>
  </xdr:twoCellAnchor>
  <xdr:twoCellAnchor>
    <xdr:from>
      <xdr:col>91</xdr:col>
      <xdr:colOff>447675</xdr:colOff>
      <xdr:row>33</xdr:row>
      <xdr:rowOff>152400</xdr:rowOff>
    </xdr:from>
    <xdr:to>
      <xdr:col>92</xdr:col>
      <xdr:colOff>500063</xdr:colOff>
      <xdr:row>35</xdr:row>
      <xdr:rowOff>19050</xdr:rowOff>
    </xdr:to>
    <xdr:sp macro="" textlink="">
      <xdr:nvSpPr>
        <xdr:cNvPr id="7187" name="Text Box 19">
          <a:extLst>
            <a:ext uri="{FF2B5EF4-FFF2-40B4-BE49-F238E27FC236}">
              <a16:creationId xmlns:a16="http://schemas.microsoft.com/office/drawing/2014/main" id="{237559DE-E752-4AE6-8E1B-96BA8DE99FD5}"/>
            </a:ext>
          </a:extLst>
        </xdr:cNvPr>
        <xdr:cNvSpPr txBox="1">
          <a:spLocks noChangeArrowheads="1"/>
        </xdr:cNvSpPr>
      </xdr:nvSpPr>
      <xdr:spPr bwMode="auto">
        <a:xfrm>
          <a:off x="66441638" y="5581650"/>
          <a:ext cx="676275" cy="190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45720" tIns="36576" rIns="45720" bIns="0" anchor="t" upright="1"/>
        <a:lstStyle/>
        <a:p>
          <a:pPr algn="ctr" rtl="0">
            <a:defRPr sz="1000"/>
          </a:pPr>
          <a:r>
            <a:rPr lang="en-HK" sz="1000" b="0" i="0" u="none" strike="noStrike" baseline="0">
              <a:solidFill>
                <a:srgbClr val="000000"/>
              </a:solidFill>
              <a:latin typeface="Arial"/>
              <a:cs typeface="Arial"/>
            </a:rPr>
            <a:t>Loss</a:t>
          </a:r>
        </a:p>
      </xdr:txBody>
    </xdr:sp>
    <xdr:clientData/>
  </xdr:twoCellAnchor>
  <xdr:twoCellAnchor>
    <xdr:from>
      <xdr:col>93</xdr:col>
      <xdr:colOff>176213</xdr:colOff>
      <xdr:row>31</xdr:row>
      <xdr:rowOff>95250</xdr:rowOff>
    </xdr:from>
    <xdr:to>
      <xdr:col>94</xdr:col>
      <xdr:colOff>447675</xdr:colOff>
      <xdr:row>32</xdr:row>
      <xdr:rowOff>133350</xdr:rowOff>
    </xdr:to>
    <xdr:sp macro="" textlink="">
      <xdr:nvSpPr>
        <xdr:cNvPr id="7188" name="Text Box 20">
          <a:extLst>
            <a:ext uri="{FF2B5EF4-FFF2-40B4-BE49-F238E27FC236}">
              <a16:creationId xmlns:a16="http://schemas.microsoft.com/office/drawing/2014/main" id="{3B9BD9FB-1FC8-4FFC-BE7F-BA05AED14547}"/>
            </a:ext>
          </a:extLst>
        </xdr:cNvPr>
        <xdr:cNvSpPr txBox="1">
          <a:spLocks noChangeArrowheads="1"/>
        </xdr:cNvSpPr>
      </xdr:nvSpPr>
      <xdr:spPr bwMode="auto">
        <a:xfrm>
          <a:off x="67417950" y="5200650"/>
          <a:ext cx="895350" cy="2000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45720" tIns="36576" rIns="45720" bIns="0" anchor="t" upright="1"/>
        <a:lstStyle/>
        <a:p>
          <a:pPr algn="ctr" rtl="0">
            <a:defRPr sz="1000"/>
          </a:pPr>
          <a:r>
            <a:rPr lang="en-HK" sz="1000" b="0" i="0" u="none" strike="noStrike" baseline="0">
              <a:solidFill>
                <a:srgbClr val="000000"/>
              </a:solidFill>
              <a:latin typeface="Arial"/>
              <a:cs typeface="Arial"/>
            </a:rPr>
            <a:t>Break-Even</a:t>
          </a:r>
        </a:p>
      </xdr:txBody>
    </xdr:sp>
    <xdr:clientData/>
  </xdr:twoCellAnchor>
  <xdr:twoCellAnchor>
    <xdr:from>
      <xdr:col>95</xdr:col>
      <xdr:colOff>300038</xdr:colOff>
      <xdr:row>30</xdr:row>
      <xdr:rowOff>76200</xdr:rowOff>
    </xdr:from>
    <xdr:to>
      <xdr:col>95</xdr:col>
      <xdr:colOff>300038</xdr:colOff>
      <xdr:row>33</xdr:row>
      <xdr:rowOff>142875</xdr:rowOff>
    </xdr:to>
    <xdr:sp macro="" textlink="">
      <xdr:nvSpPr>
        <xdr:cNvPr id="7189" name="Line 21">
          <a:extLst>
            <a:ext uri="{FF2B5EF4-FFF2-40B4-BE49-F238E27FC236}">
              <a16:creationId xmlns:a16="http://schemas.microsoft.com/office/drawing/2014/main" id="{E17AAC89-E1D6-46D0-862A-DAC1DCA93D65}"/>
            </a:ext>
          </a:extLst>
        </xdr:cNvPr>
        <xdr:cNvSpPr>
          <a:spLocks noChangeShapeType="1"/>
        </xdr:cNvSpPr>
      </xdr:nvSpPr>
      <xdr:spPr bwMode="auto">
        <a:xfrm>
          <a:off x="68789550" y="5014913"/>
          <a:ext cx="0" cy="557212"/>
        </a:xfrm>
        <a:prstGeom prst="line">
          <a:avLst/>
        </a:prstGeom>
        <a:noFill/>
        <a:ln w="9525">
          <a:solidFill>
            <a:srgbClr xmlns:mc="http://schemas.openxmlformats.org/markup-compatibility/2006" xmlns:a14="http://schemas.microsoft.com/office/drawing/2010/main" val="FFFFFF" mc:Ignorable="a14" a14:legacySpreadsheetColorIndex="9"/>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93</xdr:col>
      <xdr:colOff>614363</xdr:colOff>
      <xdr:row>32</xdr:row>
      <xdr:rowOff>142875</xdr:rowOff>
    </xdr:from>
    <xdr:to>
      <xdr:col>93</xdr:col>
      <xdr:colOff>614363</xdr:colOff>
      <xdr:row>36</xdr:row>
      <xdr:rowOff>0</xdr:rowOff>
    </xdr:to>
    <xdr:sp macro="" textlink="">
      <xdr:nvSpPr>
        <xdr:cNvPr id="7190" name="Line 22">
          <a:extLst>
            <a:ext uri="{FF2B5EF4-FFF2-40B4-BE49-F238E27FC236}">
              <a16:creationId xmlns:a16="http://schemas.microsoft.com/office/drawing/2014/main" id="{6EB744E6-2760-4642-8720-0557EC4AD32B}"/>
            </a:ext>
          </a:extLst>
        </xdr:cNvPr>
        <xdr:cNvSpPr>
          <a:spLocks noChangeShapeType="1"/>
        </xdr:cNvSpPr>
      </xdr:nvSpPr>
      <xdr:spPr bwMode="auto">
        <a:xfrm>
          <a:off x="67856100" y="5410200"/>
          <a:ext cx="0" cy="504825"/>
        </a:xfrm>
        <a:prstGeom prst="line">
          <a:avLst/>
        </a:prstGeom>
        <a:noFill/>
        <a:ln w="9525">
          <a:solidFill>
            <a:srgbClr xmlns:mc="http://schemas.openxmlformats.org/markup-compatibility/2006" xmlns:a14="http://schemas.microsoft.com/office/drawing/2010/main" val="FFFFFF" mc:Ignorable="a14" a14:legacySpreadsheetColorIndex="9"/>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92</xdr:col>
      <xdr:colOff>166688</xdr:colOff>
      <xdr:row>35</xdr:row>
      <xdr:rowOff>28575</xdr:rowOff>
    </xdr:from>
    <xdr:to>
      <xdr:col>92</xdr:col>
      <xdr:colOff>166688</xdr:colOff>
      <xdr:row>38</xdr:row>
      <xdr:rowOff>47625</xdr:rowOff>
    </xdr:to>
    <xdr:sp macro="" textlink="">
      <xdr:nvSpPr>
        <xdr:cNvPr id="7191" name="Line 23">
          <a:extLst>
            <a:ext uri="{FF2B5EF4-FFF2-40B4-BE49-F238E27FC236}">
              <a16:creationId xmlns:a16="http://schemas.microsoft.com/office/drawing/2014/main" id="{F2162B73-E26A-4F24-B53F-E3CA10E25727}"/>
            </a:ext>
          </a:extLst>
        </xdr:cNvPr>
        <xdr:cNvSpPr>
          <a:spLocks noChangeShapeType="1"/>
        </xdr:cNvSpPr>
      </xdr:nvSpPr>
      <xdr:spPr bwMode="auto">
        <a:xfrm>
          <a:off x="66784538" y="5781675"/>
          <a:ext cx="0" cy="504825"/>
        </a:xfrm>
        <a:prstGeom prst="line">
          <a:avLst/>
        </a:prstGeom>
        <a:noFill/>
        <a:ln w="9525">
          <a:solidFill>
            <a:srgbClr xmlns:mc="http://schemas.openxmlformats.org/markup-compatibility/2006" xmlns:a14="http://schemas.microsoft.com/office/drawing/2010/main" val="FFFFFF" mc:Ignorable="a14" a14:legacySpreadsheetColorIndex="9"/>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27</xdr:col>
          <xdr:colOff>600075</xdr:colOff>
          <xdr:row>1</xdr:row>
          <xdr:rowOff>66675</xdr:rowOff>
        </xdr:from>
        <xdr:to>
          <xdr:col>29</xdr:col>
          <xdr:colOff>1423988</xdr:colOff>
          <xdr:row>3</xdr:row>
          <xdr:rowOff>66675</xdr:rowOff>
        </xdr:to>
        <xdr:sp macro="" textlink="">
          <xdr:nvSpPr>
            <xdr:cNvPr id="7192" name="Button 24" hidden="1">
              <a:extLst>
                <a:ext uri="{63B3BB69-23CF-44E3-9099-C40C66FF867C}">
                  <a14:compatExt spid="_x0000_s7192"/>
                </a:ext>
                <a:ext uri="{FF2B5EF4-FFF2-40B4-BE49-F238E27FC236}">
                  <a16:creationId xmlns:a16="http://schemas.microsoft.com/office/drawing/2014/main" id="{1E2E8FE8-EFF6-4521-93D8-98E5145D96C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Operating Income Statement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400050</xdr:colOff>
          <xdr:row>3</xdr:row>
          <xdr:rowOff>157163</xdr:rowOff>
        </xdr:from>
        <xdr:to>
          <xdr:col>47</xdr:col>
          <xdr:colOff>233363</xdr:colOff>
          <xdr:row>5</xdr:row>
          <xdr:rowOff>133350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DED6F180-1705-4E8D-B566-E16BC216C9C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(1) Finding The Break-Even 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400050</xdr:colOff>
          <xdr:row>6</xdr:row>
          <xdr:rowOff>57150</xdr:rowOff>
        </xdr:from>
        <xdr:to>
          <xdr:col>47</xdr:col>
          <xdr:colOff>233363</xdr:colOff>
          <xdr:row>8</xdr:row>
          <xdr:rowOff>47625</xdr:rowOff>
        </xdr:to>
        <xdr:sp macro="" textlink="">
          <xdr:nvSpPr>
            <xdr:cNvPr id="7194" name="Button 26" hidden="1">
              <a:extLst>
                <a:ext uri="{63B3BB69-23CF-44E3-9099-C40C66FF867C}">
                  <a14:compatExt spid="_x0000_s7194"/>
                </a:ext>
                <a:ext uri="{FF2B5EF4-FFF2-40B4-BE49-F238E27FC236}">
                  <a16:creationId xmlns:a16="http://schemas.microsoft.com/office/drawing/2014/main" id="{35B74553-282C-4ED9-8C06-7332ACBEC662}"/>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(2) Calculating Break-Even in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100013</xdr:colOff>
          <xdr:row>1</xdr:row>
          <xdr:rowOff>66675</xdr:rowOff>
        </xdr:from>
        <xdr:to>
          <xdr:col>52</xdr:col>
          <xdr:colOff>42863</xdr:colOff>
          <xdr:row>3</xdr:row>
          <xdr:rowOff>66675</xdr:rowOff>
        </xdr:to>
        <xdr:sp macro="" textlink="">
          <xdr:nvSpPr>
            <xdr:cNvPr id="7195" name="Button 27" hidden="1">
              <a:extLst>
                <a:ext uri="{63B3BB69-23CF-44E3-9099-C40C66FF867C}">
                  <a14:compatExt spid="_x0000_s7195"/>
                </a:ext>
                <a:ext uri="{FF2B5EF4-FFF2-40B4-BE49-F238E27FC236}">
                  <a16:creationId xmlns:a16="http://schemas.microsoft.com/office/drawing/2014/main" id="{BCCCD797-8F2D-44F9-8877-B73186CB2117}"/>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Using Goal Seek To Find The New Break-Even 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400050</xdr:colOff>
          <xdr:row>8</xdr:row>
          <xdr:rowOff>147638</xdr:rowOff>
        </xdr:from>
        <xdr:to>
          <xdr:col>47</xdr:col>
          <xdr:colOff>233363</xdr:colOff>
          <xdr:row>10</xdr:row>
          <xdr:rowOff>133350</xdr:rowOff>
        </xdr:to>
        <xdr:sp macro="" textlink="">
          <xdr:nvSpPr>
            <xdr:cNvPr id="7197" name="Button 29" hidden="1">
              <a:extLst>
                <a:ext uri="{63B3BB69-23CF-44E3-9099-C40C66FF867C}">
                  <a14:compatExt spid="_x0000_s7197"/>
                </a:ext>
                <a:ext uri="{FF2B5EF4-FFF2-40B4-BE49-F238E27FC236}">
                  <a16:creationId xmlns:a16="http://schemas.microsoft.com/office/drawing/2014/main" id="{4E301FAC-9C48-4463-9342-2866AE42284C}"/>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(3) Calculating Break-Even in Sales Part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400050</xdr:colOff>
          <xdr:row>11</xdr:row>
          <xdr:rowOff>66675</xdr:rowOff>
        </xdr:from>
        <xdr:to>
          <xdr:col>47</xdr:col>
          <xdr:colOff>233363</xdr:colOff>
          <xdr:row>13</xdr:row>
          <xdr:rowOff>66675</xdr:rowOff>
        </xdr:to>
        <xdr:sp macro="" textlink="">
          <xdr:nvSpPr>
            <xdr:cNvPr id="7198" name="Button 30" hidden="1">
              <a:extLst>
                <a:ext uri="{63B3BB69-23CF-44E3-9099-C40C66FF867C}">
                  <a14:compatExt spid="_x0000_s7198"/>
                </a:ext>
                <a:ext uri="{FF2B5EF4-FFF2-40B4-BE49-F238E27FC236}">
                  <a16:creationId xmlns:a16="http://schemas.microsoft.com/office/drawing/2014/main" id="{A08C13A4-064E-406A-84AF-3D30CCD84D9F}"/>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(4) Calculating Break-Even in Sales Part 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400050</xdr:colOff>
          <xdr:row>14</xdr:row>
          <xdr:rowOff>0</xdr:rowOff>
        </xdr:from>
        <xdr:to>
          <xdr:col>47</xdr:col>
          <xdr:colOff>233363</xdr:colOff>
          <xdr:row>16</xdr:row>
          <xdr:rowOff>0</xdr:rowOff>
        </xdr:to>
        <xdr:sp macro="" textlink="">
          <xdr:nvSpPr>
            <xdr:cNvPr id="7199" name="Button 31" hidden="1">
              <a:extLst>
                <a:ext uri="{63B3BB69-23CF-44E3-9099-C40C66FF867C}">
                  <a14:compatExt spid="_x0000_s7199"/>
                </a:ext>
                <a:ext uri="{FF2B5EF4-FFF2-40B4-BE49-F238E27FC236}">
                  <a16:creationId xmlns:a16="http://schemas.microsoft.com/office/drawing/2014/main" id="{C058E0C0-D4A5-42AA-903F-9D2F961E3CF2}"/>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(5) Calculating Break-Even in Sales Part III</a:t>
              </a:r>
            </a:p>
          </xdr:txBody>
        </xdr:sp>
        <xdr:clientData fPrintsWithSheet="0"/>
      </xdr:twoCellAnchor>
    </mc:Choice>
    <mc:Fallback/>
  </mc:AlternateContent>
  <xdr:twoCellAnchor>
    <xdr:from>
      <xdr:col>3</xdr:col>
      <xdr:colOff>1509713</xdr:colOff>
      <xdr:row>2</xdr:row>
      <xdr:rowOff>57150</xdr:rowOff>
    </xdr:from>
    <xdr:to>
      <xdr:col>3</xdr:col>
      <xdr:colOff>2243138</xdr:colOff>
      <xdr:row>2</xdr:row>
      <xdr:rowOff>57150</xdr:rowOff>
    </xdr:to>
    <xdr:sp macro="" textlink="">
      <xdr:nvSpPr>
        <xdr:cNvPr id="7200" name="Line 32">
          <a:extLst>
            <a:ext uri="{FF2B5EF4-FFF2-40B4-BE49-F238E27FC236}">
              <a16:creationId xmlns:a16="http://schemas.microsoft.com/office/drawing/2014/main" id="{CAAE0598-85F4-4B0A-A9DD-44FA66B3A5B8}"/>
            </a:ext>
          </a:extLst>
        </xdr:cNvPr>
        <xdr:cNvSpPr>
          <a:spLocks noChangeShapeType="1"/>
        </xdr:cNvSpPr>
      </xdr:nvSpPr>
      <xdr:spPr bwMode="auto">
        <a:xfrm>
          <a:off x="2481263" y="323850"/>
          <a:ext cx="733425"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1509713</xdr:colOff>
      <xdr:row>2</xdr:row>
      <xdr:rowOff>57150</xdr:rowOff>
    </xdr:from>
    <xdr:to>
      <xdr:col>11</xdr:col>
      <xdr:colOff>109538</xdr:colOff>
      <xdr:row>2</xdr:row>
      <xdr:rowOff>57150</xdr:rowOff>
    </xdr:to>
    <xdr:sp macro="" textlink="">
      <xdr:nvSpPr>
        <xdr:cNvPr id="7201" name="Line 33">
          <a:extLst>
            <a:ext uri="{FF2B5EF4-FFF2-40B4-BE49-F238E27FC236}">
              <a16:creationId xmlns:a16="http://schemas.microsoft.com/office/drawing/2014/main" id="{0A73C08F-D6C3-4623-80BD-2BB188A81F68}"/>
            </a:ext>
          </a:extLst>
        </xdr:cNvPr>
        <xdr:cNvSpPr>
          <a:spLocks noChangeShapeType="1"/>
        </xdr:cNvSpPr>
      </xdr:nvSpPr>
      <xdr:spPr bwMode="auto">
        <a:xfrm>
          <a:off x="8020050" y="323850"/>
          <a:ext cx="733425"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209550</xdr:colOff>
      <xdr:row>2</xdr:row>
      <xdr:rowOff>57150</xdr:rowOff>
    </xdr:from>
    <xdr:to>
      <xdr:col>8</xdr:col>
      <xdr:colOff>323850</xdr:colOff>
      <xdr:row>2</xdr:row>
      <xdr:rowOff>57150</xdr:rowOff>
    </xdr:to>
    <xdr:sp macro="" textlink="">
      <xdr:nvSpPr>
        <xdr:cNvPr id="7202" name="Line 34">
          <a:extLst>
            <a:ext uri="{FF2B5EF4-FFF2-40B4-BE49-F238E27FC236}">
              <a16:creationId xmlns:a16="http://schemas.microsoft.com/office/drawing/2014/main" id="{DF42472F-D0BB-4C35-A771-4494E15E38CA}"/>
            </a:ext>
          </a:extLst>
        </xdr:cNvPr>
        <xdr:cNvSpPr>
          <a:spLocks noChangeShapeType="1"/>
        </xdr:cNvSpPr>
      </xdr:nvSpPr>
      <xdr:spPr bwMode="auto">
        <a:xfrm>
          <a:off x="5214938" y="323850"/>
          <a:ext cx="738187"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266700</xdr:colOff>
      <xdr:row>2</xdr:row>
      <xdr:rowOff>47625</xdr:rowOff>
    </xdr:from>
    <xdr:to>
      <xdr:col>18</xdr:col>
      <xdr:colOff>523875</xdr:colOff>
      <xdr:row>2</xdr:row>
      <xdr:rowOff>47625</xdr:rowOff>
    </xdr:to>
    <xdr:sp macro="" textlink="">
      <xdr:nvSpPr>
        <xdr:cNvPr id="7203" name="Line 35">
          <a:extLst>
            <a:ext uri="{FF2B5EF4-FFF2-40B4-BE49-F238E27FC236}">
              <a16:creationId xmlns:a16="http://schemas.microsoft.com/office/drawing/2014/main" id="{85E1F386-A2D7-486E-B5C5-EB744E96C191}"/>
            </a:ext>
          </a:extLst>
        </xdr:cNvPr>
        <xdr:cNvSpPr>
          <a:spLocks noChangeShapeType="1"/>
        </xdr:cNvSpPr>
      </xdr:nvSpPr>
      <xdr:spPr bwMode="auto">
        <a:xfrm>
          <a:off x="10634663" y="314325"/>
          <a:ext cx="4452937"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20</xdr:col>
      <xdr:colOff>1533525</xdr:colOff>
      <xdr:row>2</xdr:row>
      <xdr:rowOff>47625</xdr:rowOff>
    </xdr:from>
    <xdr:to>
      <xdr:col>27</xdr:col>
      <xdr:colOff>390525</xdr:colOff>
      <xdr:row>2</xdr:row>
      <xdr:rowOff>47625</xdr:rowOff>
    </xdr:to>
    <xdr:sp macro="" textlink="">
      <xdr:nvSpPr>
        <xdr:cNvPr id="7204" name="Line 36">
          <a:extLst>
            <a:ext uri="{FF2B5EF4-FFF2-40B4-BE49-F238E27FC236}">
              <a16:creationId xmlns:a16="http://schemas.microsoft.com/office/drawing/2014/main" id="{07CE7BD5-3E5B-4433-BFDE-0B93722B91DE}"/>
            </a:ext>
          </a:extLst>
        </xdr:cNvPr>
        <xdr:cNvSpPr>
          <a:spLocks noChangeShapeType="1"/>
        </xdr:cNvSpPr>
      </xdr:nvSpPr>
      <xdr:spPr bwMode="auto">
        <a:xfrm>
          <a:off x="16978313" y="314325"/>
          <a:ext cx="5086350"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29</xdr:col>
      <xdr:colOff>1514475</xdr:colOff>
      <xdr:row>2</xdr:row>
      <xdr:rowOff>57150</xdr:rowOff>
    </xdr:from>
    <xdr:to>
      <xdr:col>45</xdr:col>
      <xdr:colOff>66675</xdr:colOff>
      <xdr:row>2</xdr:row>
      <xdr:rowOff>57150</xdr:rowOff>
    </xdr:to>
    <xdr:sp macro="" textlink="">
      <xdr:nvSpPr>
        <xdr:cNvPr id="7205" name="Line 37">
          <a:extLst>
            <a:ext uri="{FF2B5EF4-FFF2-40B4-BE49-F238E27FC236}">
              <a16:creationId xmlns:a16="http://schemas.microsoft.com/office/drawing/2014/main" id="{B4239C76-F4A5-4347-A5D8-DD1EC02ACA0E}"/>
            </a:ext>
          </a:extLst>
        </xdr:cNvPr>
        <xdr:cNvSpPr>
          <a:spLocks noChangeShapeType="1"/>
        </xdr:cNvSpPr>
      </xdr:nvSpPr>
      <xdr:spPr bwMode="auto">
        <a:xfrm>
          <a:off x="24069675" y="323850"/>
          <a:ext cx="13258800"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a:ln>
        <a:extLst>
          <a:ext uri="{909E8E84-426E-40DD-AFC4-6F175D3DCCD1}">
            <a14:hiddenFill xmlns:a14="http://schemas.microsoft.com/office/drawing/2010/main">
              <a:noFill/>
            </a14:hiddenFill>
          </a:ext>
        </a:extLst>
      </xdr:spPr>
    </xdr:sp>
    <xdr:clientData/>
  </xdr:twoCellAnchor>
  <xdr:twoCellAnchor>
    <xdr:from>
      <xdr:col>45</xdr:col>
      <xdr:colOff>42863</xdr:colOff>
      <xdr:row>2</xdr:row>
      <xdr:rowOff>57150</xdr:rowOff>
    </xdr:from>
    <xdr:to>
      <xdr:col>45</xdr:col>
      <xdr:colOff>42863</xdr:colOff>
      <xdr:row>3</xdr:row>
      <xdr:rowOff>76200</xdr:rowOff>
    </xdr:to>
    <xdr:sp macro="" textlink="">
      <xdr:nvSpPr>
        <xdr:cNvPr id="7206" name="Line 38">
          <a:extLst>
            <a:ext uri="{FF2B5EF4-FFF2-40B4-BE49-F238E27FC236}">
              <a16:creationId xmlns:a16="http://schemas.microsoft.com/office/drawing/2014/main" id="{522087DC-9491-4C85-8C91-EA985565797A}"/>
            </a:ext>
          </a:extLst>
        </xdr:cNvPr>
        <xdr:cNvSpPr>
          <a:spLocks noChangeShapeType="1"/>
        </xdr:cNvSpPr>
      </xdr:nvSpPr>
      <xdr:spPr bwMode="auto">
        <a:xfrm>
          <a:off x="37304663" y="323850"/>
          <a:ext cx="0" cy="180975"/>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414338</xdr:colOff>
      <xdr:row>2</xdr:row>
      <xdr:rowOff>85725</xdr:rowOff>
    </xdr:from>
    <xdr:to>
      <xdr:col>46</xdr:col>
      <xdr:colOff>414338</xdr:colOff>
      <xdr:row>3</xdr:row>
      <xdr:rowOff>85725</xdr:rowOff>
    </xdr:to>
    <xdr:sp macro="" textlink="">
      <xdr:nvSpPr>
        <xdr:cNvPr id="7207" name="Line 39">
          <a:extLst>
            <a:ext uri="{FF2B5EF4-FFF2-40B4-BE49-F238E27FC236}">
              <a16:creationId xmlns:a16="http://schemas.microsoft.com/office/drawing/2014/main" id="{CDFD5084-C9A0-40AD-AE97-0A9DE973574A}"/>
            </a:ext>
          </a:extLst>
        </xdr:cNvPr>
        <xdr:cNvSpPr>
          <a:spLocks noChangeShapeType="1"/>
        </xdr:cNvSpPr>
      </xdr:nvSpPr>
      <xdr:spPr bwMode="auto">
        <a:xfrm flipV="1">
          <a:off x="38300025" y="35242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466725</xdr:colOff>
      <xdr:row>2</xdr:row>
      <xdr:rowOff>57150</xdr:rowOff>
    </xdr:from>
    <xdr:to>
      <xdr:col>49</xdr:col>
      <xdr:colOff>733425</xdr:colOff>
      <xdr:row>2</xdr:row>
      <xdr:rowOff>57150</xdr:rowOff>
    </xdr:to>
    <xdr:sp macro="" textlink="">
      <xdr:nvSpPr>
        <xdr:cNvPr id="7208" name="Line 40">
          <a:extLst>
            <a:ext uri="{FF2B5EF4-FFF2-40B4-BE49-F238E27FC236}">
              <a16:creationId xmlns:a16="http://schemas.microsoft.com/office/drawing/2014/main" id="{2694A26A-4B53-4509-A62A-7569CD930E02}"/>
            </a:ext>
          </a:extLst>
        </xdr:cNvPr>
        <xdr:cNvSpPr>
          <a:spLocks noChangeShapeType="1"/>
        </xdr:cNvSpPr>
      </xdr:nvSpPr>
      <xdr:spPr bwMode="auto">
        <a:xfrm>
          <a:off x="38352413" y="323850"/>
          <a:ext cx="1771650"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490538</xdr:colOff>
      <xdr:row>2</xdr:row>
      <xdr:rowOff>47625</xdr:rowOff>
    </xdr:from>
    <xdr:to>
      <xdr:col>46</xdr:col>
      <xdr:colOff>490538</xdr:colOff>
      <xdr:row>3</xdr:row>
      <xdr:rowOff>76200</xdr:rowOff>
    </xdr:to>
    <xdr:sp macro="" textlink="">
      <xdr:nvSpPr>
        <xdr:cNvPr id="7209" name="Line 41">
          <a:extLst>
            <a:ext uri="{FF2B5EF4-FFF2-40B4-BE49-F238E27FC236}">
              <a16:creationId xmlns:a16="http://schemas.microsoft.com/office/drawing/2014/main" id="{3AC7E628-6A7B-4A9D-809A-1130D5FE78A4}"/>
            </a:ext>
          </a:extLst>
        </xdr:cNvPr>
        <xdr:cNvSpPr>
          <a:spLocks noChangeShapeType="1"/>
        </xdr:cNvSpPr>
      </xdr:nvSpPr>
      <xdr:spPr bwMode="auto">
        <a:xfrm flipV="1">
          <a:off x="38376225" y="314325"/>
          <a:ext cx="0" cy="190500"/>
        </a:xfrm>
        <a:prstGeom prst="line">
          <a:avLst/>
        </a:prstGeom>
        <a:noFill/>
        <a:ln w="38100">
          <a:solidFill>
            <a:srgbClr xmlns:mc="http://schemas.openxmlformats.org/markup-compatibility/2006" xmlns:a14="http://schemas.microsoft.com/office/drawing/2010/main" val="C0C0C0" mc:Ignorable="a14" a14:legacySpreadsheetColorIndex="22"/>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123825</xdr:colOff>
      <xdr:row>2</xdr:row>
      <xdr:rowOff>66675</xdr:rowOff>
    </xdr:from>
    <xdr:to>
      <xdr:col>55</xdr:col>
      <xdr:colOff>481013</xdr:colOff>
      <xdr:row>2</xdr:row>
      <xdr:rowOff>66675</xdr:rowOff>
    </xdr:to>
    <xdr:sp macro="" textlink="">
      <xdr:nvSpPr>
        <xdr:cNvPr id="7210" name="Line 42">
          <a:extLst>
            <a:ext uri="{FF2B5EF4-FFF2-40B4-BE49-F238E27FC236}">
              <a16:creationId xmlns:a16="http://schemas.microsoft.com/office/drawing/2014/main" id="{BD7D1E12-8273-4E61-819E-9E93A12354F2}"/>
            </a:ext>
          </a:extLst>
        </xdr:cNvPr>
        <xdr:cNvSpPr>
          <a:spLocks noChangeShapeType="1"/>
        </xdr:cNvSpPr>
      </xdr:nvSpPr>
      <xdr:spPr bwMode="auto">
        <a:xfrm>
          <a:off x="42105263" y="333375"/>
          <a:ext cx="2447925"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55</xdr:col>
          <xdr:colOff>614363</xdr:colOff>
          <xdr:row>1</xdr:row>
          <xdr:rowOff>76200</xdr:rowOff>
        </xdr:from>
        <xdr:to>
          <xdr:col>58</xdr:col>
          <xdr:colOff>409575</xdr:colOff>
          <xdr:row>3</xdr:row>
          <xdr:rowOff>76200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FBF5A739-E71F-46F2-B86B-72562E8BC2A3}"/>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Charting The Break-Even Point - Part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69</xdr:col>
          <xdr:colOff>614363</xdr:colOff>
          <xdr:row>1</xdr:row>
          <xdr:rowOff>76200</xdr:rowOff>
        </xdr:from>
        <xdr:to>
          <xdr:col>72</xdr:col>
          <xdr:colOff>409575</xdr:colOff>
          <xdr:row>3</xdr:row>
          <xdr:rowOff>76200</xdr:rowOff>
        </xdr:to>
        <xdr:sp macro="" textlink="">
          <xdr:nvSpPr>
            <xdr:cNvPr id="7212" name="Button 44" hidden="1">
              <a:extLst>
                <a:ext uri="{63B3BB69-23CF-44E3-9099-C40C66FF867C}">
                  <a14:compatExt spid="_x0000_s7212"/>
                </a:ext>
                <a:ext uri="{FF2B5EF4-FFF2-40B4-BE49-F238E27FC236}">
                  <a16:creationId xmlns:a16="http://schemas.microsoft.com/office/drawing/2014/main" id="{CBD99BF0-BD4B-41F6-BB41-F95E47CCDE86}"/>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Charting The Break-Even Point - Part II</a:t>
              </a:r>
            </a:p>
          </xdr:txBody>
        </xdr:sp>
        <xdr:clientData fPrintsWithSheet="0"/>
      </xdr:twoCellAnchor>
    </mc:Choice>
    <mc:Fallback/>
  </mc:AlternateContent>
  <xdr:twoCellAnchor>
    <xdr:from>
      <xdr:col>58</xdr:col>
      <xdr:colOff>500063</xdr:colOff>
      <xdr:row>2</xdr:row>
      <xdr:rowOff>76200</xdr:rowOff>
    </xdr:from>
    <xdr:to>
      <xdr:col>69</xdr:col>
      <xdr:colOff>514350</xdr:colOff>
      <xdr:row>2</xdr:row>
      <xdr:rowOff>76200</xdr:rowOff>
    </xdr:to>
    <xdr:sp macro="" textlink="">
      <xdr:nvSpPr>
        <xdr:cNvPr id="7213" name="Line 45">
          <a:extLst>
            <a:ext uri="{FF2B5EF4-FFF2-40B4-BE49-F238E27FC236}">
              <a16:creationId xmlns:a16="http://schemas.microsoft.com/office/drawing/2014/main" id="{F49E1269-8371-4BCF-A8D6-C4AE5FA39515}"/>
            </a:ext>
          </a:extLst>
        </xdr:cNvPr>
        <xdr:cNvSpPr>
          <a:spLocks noChangeShapeType="1"/>
        </xdr:cNvSpPr>
      </xdr:nvSpPr>
      <xdr:spPr bwMode="auto">
        <a:xfrm>
          <a:off x="46477238" y="342900"/>
          <a:ext cx="6743700"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83</xdr:col>
          <xdr:colOff>614363</xdr:colOff>
          <xdr:row>1</xdr:row>
          <xdr:rowOff>76200</xdr:rowOff>
        </xdr:from>
        <xdr:to>
          <xdr:col>87</xdr:col>
          <xdr:colOff>266700</xdr:colOff>
          <xdr:row>3</xdr:row>
          <xdr:rowOff>76200</xdr:rowOff>
        </xdr:to>
        <xdr:sp macro="" textlink="">
          <xdr:nvSpPr>
            <xdr:cNvPr id="7214" name="Button 46" hidden="1">
              <a:extLst>
                <a:ext uri="{63B3BB69-23CF-44E3-9099-C40C66FF867C}">
                  <a14:compatExt spid="_x0000_s7214"/>
                </a:ext>
                <a:ext uri="{FF2B5EF4-FFF2-40B4-BE49-F238E27FC236}">
                  <a16:creationId xmlns:a16="http://schemas.microsoft.com/office/drawing/2014/main" id="{358BB2EE-8FF5-44D1-AA5B-7C40AC5587C9}"/>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Charting The Break-Even Point - Part III</a:t>
              </a:r>
            </a:p>
          </xdr:txBody>
        </xdr:sp>
        <xdr:clientData fPrintsWithSheet="0"/>
      </xdr:twoCellAnchor>
    </mc:Choice>
    <mc:Fallback/>
  </mc:AlternateContent>
  <xdr:twoCellAnchor>
    <xdr:from>
      <xdr:col>72</xdr:col>
      <xdr:colOff>490538</xdr:colOff>
      <xdr:row>2</xdr:row>
      <xdr:rowOff>76200</xdr:rowOff>
    </xdr:from>
    <xdr:to>
      <xdr:col>83</xdr:col>
      <xdr:colOff>447675</xdr:colOff>
      <xdr:row>2</xdr:row>
      <xdr:rowOff>76200</xdr:rowOff>
    </xdr:to>
    <xdr:sp macro="" textlink="">
      <xdr:nvSpPr>
        <xdr:cNvPr id="7215" name="Line 47">
          <a:extLst>
            <a:ext uri="{FF2B5EF4-FFF2-40B4-BE49-F238E27FC236}">
              <a16:creationId xmlns:a16="http://schemas.microsoft.com/office/drawing/2014/main" id="{40123B60-8C9F-464F-B03F-455A0A7389F6}"/>
            </a:ext>
          </a:extLst>
        </xdr:cNvPr>
        <xdr:cNvSpPr>
          <a:spLocks noChangeShapeType="1"/>
        </xdr:cNvSpPr>
      </xdr:nvSpPr>
      <xdr:spPr bwMode="auto">
        <a:xfrm>
          <a:off x="55102125" y="342900"/>
          <a:ext cx="6862763"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99</xdr:col>
          <xdr:colOff>614363</xdr:colOff>
          <xdr:row>1</xdr:row>
          <xdr:rowOff>76200</xdr:rowOff>
        </xdr:from>
        <xdr:to>
          <xdr:col>102</xdr:col>
          <xdr:colOff>333375</xdr:colOff>
          <xdr:row>3</xdr:row>
          <xdr:rowOff>76200</xdr:rowOff>
        </xdr:to>
        <xdr:sp macro="" textlink="">
          <xdr:nvSpPr>
            <xdr:cNvPr id="7216" name="Button 48" hidden="1">
              <a:extLst>
                <a:ext uri="{63B3BB69-23CF-44E3-9099-C40C66FF867C}">
                  <a14:compatExt spid="_x0000_s7216"/>
                </a:ext>
                <a:ext uri="{FF2B5EF4-FFF2-40B4-BE49-F238E27FC236}">
                  <a16:creationId xmlns:a16="http://schemas.microsoft.com/office/drawing/2014/main" id="{DE9D8139-7D1D-46B8-9FD2-0BDC289359FA}"/>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Linear Relationships</a:t>
              </a:r>
            </a:p>
          </xdr:txBody>
        </xdr:sp>
        <xdr:clientData fPrintsWithSheet="0"/>
      </xdr:twoCellAnchor>
    </mc:Choice>
    <mc:Fallback/>
  </mc:AlternateContent>
  <xdr:twoCellAnchor>
    <xdr:from>
      <xdr:col>87</xdr:col>
      <xdr:colOff>323850</xdr:colOff>
      <xdr:row>2</xdr:row>
      <xdr:rowOff>76200</xdr:rowOff>
    </xdr:from>
    <xdr:to>
      <xdr:col>99</xdr:col>
      <xdr:colOff>481013</xdr:colOff>
      <xdr:row>2</xdr:row>
      <xdr:rowOff>76200</xdr:rowOff>
    </xdr:to>
    <xdr:sp macro="" textlink="">
      <xdr:nvSpPr>
        <xdr:cNvPr id="7217" name="Line 49">
          <a:extLst>
            <a:ext uri="{FF2B5EF4-FFF2-40B4-BE49-F238E27FC236}">
              <a16:creationId xmlns:a16="http://schemas.microsoft.com/office/drawing/2014/main" id="{6A7E320A-7BCC-4A18-9CB7-42DC97C2BD6C}"/>
            </a:ext>
          </a:extLst>
        </xdr:cNvPr>
        <xdr:cNvSpPr>
          <a:spLocks noChangeShapeType="1"/>
        </xdr:cNvSpPr>
      </xdr:nvSpPr>
      <xdr:spPr bwMode="auto">
        <a:xfrm>
          <a:off x="63888938" y="342900"/>
          <a:ext cx="7210425"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102</xdr:col>
      <xdr:colOff>390525</xdr:colOff>
      <xdr:row>2</xdr:row>
      <xdr:rowOff>76200</xdr:rowOff>
    </xdr:from>
    <xdr:to>
      <xdr:col>127</xdr:col>
      <xdr:colOff>466725</xdr:colOff>
      <xdr:row>2</xdr:row>
      <xdr:rowOff>76200</xdr:rowOff>
    </xdr:to>
    <xdr:sp macro="" textlink="">
      <xdr:nvSpPr>
        <xdr:cNvPr id="7218" name="Line 50">
          <a:extLst>
            <a:ext uri="{FF2B5EF4-FFF2-40B4-BE49-F238E27FC236}">
              <a16:creationId xmlns:a16="http://schemas.microsoft.com/office/drawing/2014/main" id="{2EA846F9-9E25-4174-81CD-F6DE82589860}"/>
            </a:ext>
          </a:extLst>
        </xdr:cNvPr>
        <xdr:cNvSpPr>
          <a:spLocks noChangeShapeType="1"/>
        </xdr:cNvSpPr>
      </xdr:nvSpPr>
      <xdr:spPr bwMode="auto">
        <a:xfrm>
          <a:off x="73547288" y="342900"/>
          <a:ext cx="15987712"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127</xdr:col>
          <xdr:colOff>614363</xdr:colOff>
          <xdr:row>1</xdr:row>
          <xdr:rowOff>76200</xdr:rowOff>
        </xdr:from>
        <xdr:to>
          <xdr:col>130</xdr:col>
          <xdr:colOff>609600</xdr:colOff>
          <xdr:row>3</xdr:row>
          <xdr:rowOff>76200</xdr:rowOff>
        </xdr:to>
        <xdr:sp macro="" textlink="">
          <xdr:nvSpPr>
            <xdr:cNvPr id="7219" name="Button 51" hidden="1">
              <a:extLst>
                <a:ext uri="{63B3BB69-23CF-44E3-9099-C40C66FF867C}">
                  <a14:compatExt spid="_x0000_s7219"/>
                </a:ext>
                <a:ext uri="{FF2B5EF4-FFF2-40B4-BE49-F238E27FC236}">
                  <a16:creationId xmlns:a16="http://schemas.microsoft.com/office/drawing/2014/main" id="{D0DD5732-6FE9-4FBC-A8EB-762F8AE2201C}"/>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Sales Mix Analysis - Part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132</xdr:col>
          <xdr:colOff>266700</xdr:colOff>
          <xdr:row>1</xdr:row>
          <xdr:rowOff>76200</xdr:rowOff>
        </xdr:from>
        <xdr:to>
          <xdr:col>136</xdr:col>
          <xdr:colOff>90488</xdr:colOff>
          <xdr:row>3</xdr:row>
          <xdr:rowOff>76200</xdr:rowOff>
        </xdr:to>
        <xdr:sp macro="" textlink="">
          <xdr:nvSpPr>
            <xdr:cNvPr id="7220" name="Button 52" hidden="1">
              <a:extLst>
                <a:ext uri="{63B3BB69-23CF-44E3-9099-C40C66FF867C}">
                  <a14:compatExt spid="_x0000_s7220"/>
                </a:ext>
                <a:ext uri="{FF2B5EF4-FFF2-40B4-BE49-F238E27FC236}">
                  <a16:creationId xmlns:a16="http://schemas.microsoft.com/office/drawing/2014/main" id="{83982C93-4BE5-4ED5-B86F-45A086E9ACE2}"/>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Sales Mix Analysis - Part II</a:t>
              </a:r>
            </a:p>
          </xdr:txBody>
        </xdr:sp>
        <xdr:clientData fPrintsWithSheet="0"/>
      </xdr:twoCellAnchor>
    </mc:Choice>
    <mc:Fallback/>
  </mc:AlternateContent>
  <xdr:twoCellAnchor>
    <xdr:from>
      <xdr:col>130</xdr:col>
      <xdr:colOff>657225</xdr:colOff>
      <xdr:row>2</xdr:row>
      <xdr:rowOff>76200</xdr:rowOff>
    </xdr:from>
    <xdr:to>
      <xdr:col>132</xdr:col>
      <xdr:colOff>209550</xdr:colOff>
      <xdr:row>2</xdr:row>
      <xdr:rowOff>76200</xdr:rowOff>
    </xdr:to>
    <xdr:sp macro="" textlink="">
      <xdr:nvSpPr>
        <xdr:cNvPr id="7221" name="Line 53">
          <a:extLst>
            <a:ext uri="{FF2B5EF4-FFF2-40B4-BE49-F238E27FC236}">
              <a16:creationId xmlns:a16="http://schemas.microsoft.com/office/drawing/2014/main" id="{76F7359E-D31A-45EC-BF44-B187474D9956}"/>
            </a:ext>
          </a:extLst>
        </xdr:cNvPr>
        <xdr:cNvSpPr>
          <a:spLocks noChangeShapeType="1"/>
        </xdr:cNvSpPr>
      </xdr:nvSpPr>
      <xdr:spPr bwMode="auto">
        <a:xfrm>
          <a:off x="91982925" y="342900"/>
          <a:ext cx="728663"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139</xdr:col>
          <xdr:colOff>590550</xdr:colOff>
          <xdr:row>1</xdr:row>
          <xdr:rowOff>66675</xdr:rowOff>
        </xdr:from>
        <xdr:to>
          <xdr:col>142</xdr:col>
          <xdr:colOff>585788</xdr:colOff>
          <xdr:row>3</xdr:row>
          <xdr:rowOff>66675</xdr:rowOff>
        </xdr:to>
        <xdr:sp macro="" textlink="">
          <xdr:nvSpPr>
            <xdr:cNvPr id="7222" name="Button 54" hidden="1">
              <a:extLst>
                <a:ext uri="{63B3BB69-23CF-44E3-9099-C40C66FF867C}">
                  <a14:compatExt spid="_x0000_s7222"/>
                </a:ext>
                <a:ext uri="{FF2B5EF4-FFF2-40B4-BE49-F238E27FC236}">
                  <a16:creationId xmlns:a16="http://schemas.microsoft.com/office/drawing/2014/main" id="{8EFFB2EF-38C7-43AB-BDC5-8F484D29B5AF}"/>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Sales Mix Analysis - Part III</a:t>
              </a:r>
            </a:p>
          </xdr:txBody>
        </xdr:sp>
        <xdr:clientData fPrintsWithSheet="0"/>
      </xdr:twoCellAnchor>
    </mc:Choice>
    <mc:Fallback/>
  </mc:AlternateContent>
  <xdr:twoCellAnchor>
    <xdr:from>
      <xdr:col>136</xdr:col>
      <xdr:colOff>190500</xdr:colOff>
      <xdr:row>2</xdr:row>
      <xdr:rowOff>76200</xdr:rowOff>
    </xdr:from>
    <xdr:to>
      <xdr:col>139</xdr:col>
      <xdr:colOff>381000</xdr:colOff>
      <xdr:row>2</xdr:row>
      <xdr:rowOff>76200</xdr:rowOff>
    </xdr:to>
    <xdr:sp macro="" textlink="">
      <xdr:nvSpPr>
        <xdr:cNvPr id="7223" name="Line 55">
          <a:extLst>
            <a:ext uri="{FF2B5EF4-FFF2-40B4-BE49-F238E27FC236}">
              <a16:creationId xmlns:a16="http://schemas.microsoft.com/office/drawing/2014/main" id="{57130A83-3A25-4C52-91C1-B9517DD149FC}"/>
            </a:ext>
          </a:extLst>
        </xdr:cNvPr>
        <xdr:cNvSpPr>
          <a:spLocks noChangeShapeType="1"/>
        </xdr:cNvSpPr>
      </xdr:nvSpPr>
      <xdr:spPr bwMode="auto">
        <a:xfrm>
          <a:off x="95154750" y="342900"/>
          <a:ext cx="1847850"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142</xdr:col>
      <xdr:colOff>676275</xdr:colOff>
      <xdr:row>2</xdr:row>
      <xdr:rowOff>66675</xdr:rowOff>
    </xdr:from>
    <xdr:to>
      <xdr:col>151</xdr:col>
      <xdr:colOff>390525</xdr:colOff>
      <xdr:row>2</xdr:row>
      <xdr:rowOff>66675</xdr:rowOff>
    </xdr:to>
    <xdr:sp macro="" textlink="">
      <xdr:nvSpPr>
        <xdr:cNvPr id="7224" name="Line 56">
          <a:extLst>
            <a:ext uri="{FF2B5EF4-FFF2-40B4-BE49-F238E27FC236}">
              <a16:creationId xmlns:a16="http://schemas.microsoft.com/office/drawing/2014/main" id="{F6DF4BA3-594A-462C-AE2B-B503C6D84B1D}"/>
            </a:ext>
          </a:extLst>
        </xdr:cNvPr>
        <xdr:cNvSpPr>
          <a:spLocks noChangeShapeType="1"/>
        </xdr:cNvSpPr>
      </xdr:nvSpPr>
      <xdr:spPr bwMode="auto">
        <a:xfrm>
          <a:off x="99555300" y="333375"/>
          <a:ext cx="5219700"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151</xdr:col>
          <xdr:colOff>590550</xdr:colOff>
          <xdr:row>1</xdr:row>
          <xdr:rowOff>66675</xdr:rowOff>
        </xdr:from>
        <xdr:to>
          <xdr:col>154</xdr:col>
          <xdr:colOff>366713</xdr:colOff>
          <xdr:row>3</xdr:row>
          <xdr:rowOff>66675</xdr:rowOff>
        </xdr:to>
        <xdr:sp macro="" textlink="">
          <xdr:nvSpPr>
            <xdr:cNvPr id="7225" name="Button 57" hidden="1">
              <a:extLst>
                <a:ext uri="{63B3BB69-23CF-44E3-9099-C40C66FF867C}">
                  <a14:compatExt spid="_x0000_s7225"/>
                </a:ext>
                <a:ext uri="{FF2B5EF4-FFF2-40B4-BE49-F238E27FC236}">
                  <a16:creationId xmlns:a16="http://schemas.microsoft.com/office/drawing/2014/main" id="{50A8B9A4-7B8A-4D3A-9C80-916FD0CF4A05}"/>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0" i="0" u="none" strike="noStrike" baseline="0">
                  <a:solidFill>
                    <a:srgbClr val="000000"/>
                  </a:solidFill>
                  <a:latin typeface="Arial"/>
                  <a:cs typeface="Arial"/>
                </a:rPr>
                <a:t>Analyzing Segment Margin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156</xdr:col>
          <xdr:colOff>133350</xdr:colOff>
          <xdr:row>1</xdr:row>
          <xdr:rowOff>66675</xdr:rowOff>
        </xdr:from>
        <xdr:to>
          <xdr:col>160</xdr:col>
          <xdr:colOff>23813</xdr:colOff>
          <xdr:row>3</xdr:row>
          <xdr:rowOff>66675</xdr:rowOff>
        </xdr:to>
        <xdr:sp macro="" textlink="">
          <xdr:nvSpPr>
            <xdr:cNvPr id="7226" name="Button 58" hidden="1">
              <a:extLst>
                <a:ext uri="{63B3BB69-23CF-44E3-9099-C40C66FF867C}">
                  <a14:compatExt spid="_x0000_s7226"/>
                </a:ext>
                <a:ext uri="{FF2B5EF4-FFF2-40B4-BE49-F238E27FC236}">
                  <a16:creationId xmlns:a16="http://schemas.microsoft.com/office/drawing/2014/main" id="{BF5C7AD4-390E-4938-B7CA-343292934DC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HK" sz="900" b="1" i="0" u="none" strike="noStrike" baseline="0">
                  <a:solidFill>
                    <a:srgbClr val="FF0000"/>
                  </a:solidFill>
                  <a:latin typeface="Arial"/>
                  <a:cs typeface="Arial"/>
                </a:rPr>
                <a:t>SUMMARY</a:t>
              </a:r>
            </a:p>
          </xdr:txBody>
        </xdr:sp>
        <xdr:clientData fPrintsWithSheet="0"/>
      </xdr:twoCellAnchor>
    </mc:Choice>
    <mc:Fallback/>
  </mc:AlternateContent>
  <xdr:twoCellAnchor>
    <xdr:from>
      <xdr:col>154</xdr:col>
      <xdr:colOff>466725</xdr:colOff>
      <xdr:row>2</xdr:row>
      <xdr:rowOff>76200</xdr:rowOff>
    </xdr:from>
    <xdr:to>
      <xdr:col>156</xdr:col>
      <xdr:colOff>42863</xdr:colOff>
      <xdr:row>2</xdr:row>
      <xdr:rowOff>76200</xdr:rowOff>
    </xdr:to>
    <xdr:sp macro="" textlink="">
      <xdr:nvSpPr>
        <xdr:cNvPr id="7227" name="Line 59">
          <a:extLst>
            <a:ext uri="{FF2B5EF4-FFF2-40B4-BE49-F238E27FC236}">
              <a16:creationId xmlns:a16="http://schemas.microsoft.com/office/drawing/2014/main" id="{497AE47B-CFEC-4ADD-9C0E-52524DA7FF3E}"/>
            </a:ext>
          </a:extLst>
        </xdr:cNvPr>
        <xdr:cNvSpPr>
          <a:spLocks noChangeShapeType="1"/>
        </xdr:cNvSpPr>
      </xdr:nvSpPr>
      <xdr:spPr bwMode="auto">
        <a:xfrm>
          <a:off x="107332463" y="342900"/>
          <a:ext cx="1000125"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108</xdr:col>
      <xdr:colOff>190500</xdr:colOff>
      <xdr:row>2</xdr:row>
      <xdr:rowOff>76200</xdr:rowOff>
    </xdr:from>
    <xdr:to>
      <xdr:col>112</xdr:col>
      <xdr:colOff>514350</xdr:colOff>
      <xdr:row>2</xdr:row>
      <xdr:rowOff>76200</xdr:rowOff>
    </xdr:to>
    <xdr:sp macro="" textlink="">
      <xdr:nvSpPr>
        <xdr:cNvPr id="7228" name="Line 60">
          <a:extLst>
            <a:ext uri="{FF2B5EF4-FFF2-40B4-BE49-F238E27FC236}">
              <a16:creationId xmlns:a16="http://schemas.microsoft.com/office/drawing/2014/main" id="{2AC1FCC0-6353-4D0E-85A2-5022C698685C}"/>
            </a:ext>
          </a:extLst>
        </xdr:cNvPr>
        <xdr:cNvSpPr>
          <a:spLocks noChangeShapeType="1"/>
        </xdr:cNvSpPr>
      </xdr:nvSpPr>
      <xdr:spPr bwMode="auto">
        <a:xfrm>
          <a:off x="77176313" y="342900"/>
          <a:ext cx="2452687" cy="0"/>
        </a:xfrm>
        <a:prstGeom prst="line">
          <a:avLst/>
        </a:prstGeom>
        <a:noFill/>
        <a:ln w="28575">
          <a:solidFill>
            <a:srgbClr xmlns:mc="http://schemas.openxmlformats.org/markup-compatibility/2006" xmlns:a14="http://schemas.microsoft.com/office/drawing/2010/main" val="C0C0C0" mc:Ignorable="a14" a14:legacySpreadsheetColorIndex="22"/>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42863</xdr:colOff>
      <xdr:row>5</xdr:row>
      <xdr:rowOff>28575</xdr:rowOff>
    </xdr:from>
    <xdr:to>
      <xdr:col>9</xdr:col>
      <xdr:colOff>523875</xdr:colOff>
      <xdr:row>25</xdr:row>
      <xdr:rowOff>19050</xdr:rowOff>
    </xdr:to>
    <xdr:graphicFrame macro="">
      <xdr:nvGraphicFramePr>
        <xdr:cNvPr id="13313" name="Chart 1">
          <a:extLst>
            <a:ext uri="{FF2B5EF4-FFF2-40B4-BE49-F238E27FC236}">
              <a16:creationId xmlns:a16="http://schemas.microsoft.com/office/drawing/2014/main" id="{53A5E6AB-4DC4-4A4A-971F-60B0E87192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xdr:col>
      <xdr:colOff>176213</xdr:colOff>
      <xdr:row>1</xdr:row>
      <xdr:rowOff>90488</xdr:rowOff>
    </xdr:to>
    <xdr:sp macro="" textlink="">
      <xdr:nvSpPr>
        <xdr:cNvPr id="13323" name="Rectangle 11">
          <a:extLst>
            <a:ext uri="{FF2B5EF4-FFF2-40B4-BE49-F238E27FC236}">
              <a16:creationId xmlns:a16="http://schemas.microsoft.com/office/drawing/2014/main" id="{4EEDA151-9430-4855-A2DE-395B6205224F}"/>
            </a:ext>
          </a:extLst>
        </xdr:cNvPr>
        <xdr:cNvSpPr>
          <a:spLocks noChangeArrowheads="1"/>
        </xdr:cNvSpPr>
      </xdr:nvSpPr>
      <xdr:spPr bwMode="auto">
        <a:xfrm>
          <a:off x="0" y="0"/>
          <a:ext cx="266700" cy="16668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FFFFFF" mc:Ignorable="a14" a14:legacySpreadsheetColorIndex="9"/>
          </a:solidFill>
          <a:miter lim="800000"/>
          <a:headEnd/>
          <a:tailEnd/>
        </a:ln>
      </xdr:spPr>
    </xdr:sp>
    <xdr:clientData/>
  </xdr:twoCellAnchor>
  <xdr:twoCellAnchor>
    <xdr:from>
      <xdr:col>11</xdr:col>
      <xdr:colOff>314325</xdr:colOff>
      <xdr:row>2</xdr:row>
      <xdr:rowOff>152400</xdr:rowOff>
    </xdr:from>
    <xdr:to>
      <xdr:col>16</xdr:col>
      <xdr:colOff>66675</xdr:colOff>
      <xdr:row>11</xdr:row>
      <xdr:rowOff>138113</xdr:rowOff>
    </xdr:to>
    <xdr:sp macro="" textlink="">
      <xdr:nvSpPr>
        <xdr:cNvPr id="13324" name="Text Box 12">
          <a:extLst>
            <a:ext uri="{FF2B5EF4-FFF2-40B4-BE49-F238E27FC236}">
              <a16:creationId xmlns:a16="http://schemas.microsoft.com/office/drawing/2014/main" id="{72287262-D8FB-48E2-A03B-EA108816CA84}"/>
            </a:ext>
          </a:extLst>
        </xdr:cNvPr>
        <xdr:cNvSpPr txBox="1">
          <a:spLocks noChangeArrowheads="1"/>
        </xdr:cNvSpPr>
      </xdr:nvSpPr>
      <xdr:spPr bwMode="auto">
        <a:xfrm>
          <a:off x="6500813" y="395288"/>
          <a:ext cx="2800350" cy="1504950"/>
        </a:xfrm>
        <a:prstGeom prst="rect">
          <a:avLst/>
        </a:prstGeom>
        <a:solidFill>
          <a:srgbClr val="FFFFCC"/>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91440" tIns="91440" rIns="91440" bIns="91440" anchor="t" upright="1"/>
        <a:lstStyle/>
        <a:p>
          <a:pPr algn="just" rtl="0">
            <a:defRPr sz="1000"/>
          </a:pPr>
          <a:r>
            <a:rPr lang="en-HK" sz="900" b="0" i="0" u="none" strike="noStrike" baseline="0">
              <a:solidFill>
                <a:srgbClr val="000000"/>
              </a:solidFill>
              <a:latin typeface="Arial"/>
              <a:cs typeface="Arial"/>
            </a:rPr>
            <a:t>This chart has been preset to print. Click on Print Preview and you will see a sample Header and Footer.</a:t>
          </a:r>
        </a:p>
        <a:p>
          <a:pPr algn="just" rtl="0">
            <a:defRPr sz="1000"/>
          </a:pPr>
          <a:endParaRPr lang="en-HK" sz="900" b="0" i="0" u="none" strike="noStrike" baseline="0">
            <a:solidFill>
              <a:srgbClr val="000000"/>
            </a:solidFill>
            <a:latin typeface="Arial"/>
            <a:cs typeface="Arial"/>
          </a:endParaRPr>
        </a:p>
        <a:p>
          <a:pPr algn="just" rtl="0">
            <a:defRPr sz="1000"/>
          </a:pPr>
          <a:r>
            <a:rPr lang="en-HK" sz="900" b="0" i="0" u="none" strike="noStrike" baseline="0">
              <a:solidFill>
                <a:srgbClr val="000000"/>
              </a:solidFill>
              <a:latin typeface="Arial"/>
              <a:cs typeface="Arial"/>
            </a:rPr>
            <a:t>The chart is linked to the chart on the "JaxWorks Break-Even Analysis" tab at cells CH9:CL27. Entering your data there will be reflected in this chart for printing.</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57150</xdr:colOff>
      <xdr:row>7</xdr:row>
      <xdr:rowOff>38100</xdr:rowOff>
    </xdr:from>
    <xdr:to>
      <xdr:col>15</xdr:col>
      <xdr:colOff>681038</xdr:colOff>
      <xdr:row>18</xdr:row>
      <xdr:rowOff>90488</xdr:rowOff>
    </xdr:to>
    <xdr:graphicFrame macro="">
      <xdr:nvGraphicFramePr>
        <xdr:cNvPr id="15361" name="Chart 1">
          <a:extLst>
            <a:ext uri="{FF2B5EF4-FFF2-40B4-BE49-F238E27FC236}">
              <a16:creationId xmlns:a16="http://schemas.microsoft.com/office/drawing/2014/main" id="{28F8792D-067E-4B62-8496-4BF380184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0</xdr:rowOff>
    </xdr:from>
    <xdr:to>
      <xdr:col>9</xdr:col>
      <xdr:colOff>109538</xdr:colOff>
      <xdr:row>1</xdr:row>
      <xdr:rowOff>57150</xdr:rowOff>
    </xdr:to>
    <xdr:sp macro="" textlink="">
      <xdr:nvSpPr>
        <xdr:cNvPr id="15362" name="Rectangle 2">
          <a:extLst>
            <a:ext uri="{FF2B5EF4-FFF2-40B4-BE49-F238E27FC236}">
              <a16:creationId xmlns:a16="http://schemas.microsoft.com/office/drawing/2014/main" id="{842D8257-BBCA-49A6-8EFF-92C020C1AA82}"/>
            </a:ext>
          </a:extLst>
        </xdr:cNvPr>
        <xdr:cNvSpPr>
          <a:spLocks noChangeArrowheads="1"/>
        </xdr:cNvSpPr>
      </xdr:nvSpPr>
      <xdr:spPr bwMode="auto">
        <a:xfrm>
          <a:off x="0" y="0"/>
          <a:ext cx="166688" cy="1238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9</xdr:col>
      <xdr:colOff>0</xdr:colOff>
      <xdr:row>1</xdr:row>
      <xdr:rowOff>66675</xdr:rowOff>
    </xdr:from>
    <xdr:to>
      <xdr:col>19</xdr:col>
      <xdr:colOff>614363</xdr:colOff>
      <xdr:row>2</xdr:row>
      <xdr:rowOff>390525</xdr:rowOff>
    </xdr:to>
    <xdr:sp macro="" textlink="">
      <xdr:nvSpPr>
        <xdr:cNvPr id="15363" name="Text Box 3">
          <a:extLst>
            <a:ext uri="{FF2B5EF4-FFF2-40B4-BE49-F238E27FC236}">
              <a16:creationId xmlns:a16="http://schemas.microsoft.com/office/drawing/2014/main" id="{2E8E657C-49DE-460B-AA87-7390F18D97C1}"/>
            </a:ext>
          </a:extLst>
        </xdr:cNvPr>
        <xdr:cNvSpPr txBox="1">
          <a:spLocks noChangeArrowheads="1"/>
        </xdr:cNvSpPr>
      </xdr:nvSpPr>
      <xdr:spPr bwMode="auto">
        <a:xfrm>
          <a:off x="57150" y="133350"/>
          <a:ext cx="7481888" cy="91440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54864" tIns="41148" rIns="54864" bIns="0" anchor="t" upright="1"/>
        <a:lstStyle/>
        <a:p>
          <a:pPr algn="ctr" rtl="0">
            <a:defRPr sz="1000"/>
          </a:pPr>
          <a:r>
            <a:rPr lang="en-HK" sz="1200" b="1" i="0" u="none" strike="noStrike" baseline="0">
              <a:solidFill>
                <a:srgbClr val="000000"/>
              </a:solidFill>
              <a:latin typeface="Arial"/>
              <a:cs typeface="Arial"/>
            </a:rPr>
            <a:t>BREAK-EVEN ANALYSIS</a:t>
          </a:r>
          <a:endParaRPr lang="en-HK" sz="1000" b="0" i="0" u="none" strike="noStrike" baseline="0">
            <a:solidFill>
              <a:srgbClr val="000000"/>
            </a:solidFill>
            <a:latin typeface="Arial"/>
            <a:cs typeface="Arial"/>
          </a:endParaRPr>
        </a:p>
        <a:p>
          <a:pPr algn="ctr" rtl="0">
            <a:defRPr sz="1000"/>
          </a:pPr>
          <a:r>
            <a:rPr lang="en-HK" sz="1000" b="0" i="0" u="none" strike="noStrike" baseline="0">
              <a:solidFill>
                <a:srgbClr val="000000"/>
              </a:solidFill>
              <a:latin typeface="Arial"/>
              <a:cs typeface="Arial"/>
            </a:rPr>
            <a:t>Enter figures in cells with </a:t>
          </a:r>
          <a:r>
            <a:rPr lang="en-HK" sz="1000" b="0" i="0" u="none" strike="noStrike" baseline="0">
              <a:solidFill>
                <a:srgbClr val="0000FF"/>
              </a:solidFill>
              <a:latin typeface="Arial"/>
              <a:cs typeface="Arial"/>
            </a:rPr>
            <a:t>Blue</a:t>
          </a:r>
          <a:r>
            <a:rPr lang="en-HK" sz="1000" b="0" i="0" u="none" strike="noStrike" baseline="0">
              <a:solidFill>
                <a:srgbClr val="000000"/>
              </a:solidFill>
              <a:latin typeface="Arial"/>
              <a:cs typeface="Arial"/>
            </a:rPr>
            <a:t> numbers and White Background only. </a:t>
          </a:r>
        </a:p>
        <a:p>
          <a:pPr algn="ctr" rtl="0">
            <a:defRPr sz="1000"/>
          </a:pPr>
          <a:r>
            <a:rPr lang="en-HK" sz="1000" b="0" i="0" u="none" strike="noStrike" baseline="0">
              <a:solidFill>
                <a:srgbClr val="000000"/>
              </a:solidFill>
              <a:latin typeface="Arial"/>
              <a:cs typeface="Arial"/>
            </a:rPr>
            <a:t>This worksheet is designed to perform what-if analysis in the projected cells. After entering your</a:t>
          </a:r>
        </a:p>
        <a:p>
          <a:pPr algn="ctr" rtl="0">
            <a:defRPr sz="1000"/>
          </a:pPr>
          <a:r>
            <a:rPr lang="en-HK" sz="1000" b="0" i="0" u="none" strike="noStrike" baseline="0">
              <a:solidFill>
                <a:srgbClr val="000000"/>
              </a:solidFill>
              <a:latin typeface="Arial"/>
              <a:cs typeface="Arial"/>
            </a:rPr>
            <a:t>current data, you can experiment by reducing Variable and/or Fixed Expenses or increasing Sales.</a:t>
          </a:r>
        </a:p>
        <a:p>
          <a:pPr algn="ctr" rtl="0">
            <a:defRPr sz="1000"/>
          </a:pPr>
          <a:r>
            <a:rPr lang="en-HK" sz="1000" b="0" i="0" u="none" strike="noStrike" baseline="0">
              <a:solidFill>
                <a:srgbClr val="000000"/>
              </a:solidFill>
              <a:latin typeface="Arial"/>
              <a:cs typeface="Arial"/>
            </a:rPr>
            <a:t>You will find it is much easier to reduce expenses than increase Sales. </a:t>
          </a:r>
          <a:r>
            <a:rPr lang="en-HK" sz="1000" b="1" i="0" u="none" strike="noStrike" baseline="0">
              <a:solidFill>
                <a:srgbClr val="FF0000"/>
              </a:solidFill>
              <a:latin typeface="Arial"/>
              <a:cs typeface="Arial"/>
            </a:rPr>
            <a:t>Scroll Down for Pie Charts</a:t>
          </a:r>
          <a:r>
            <a:rPr lang="en-HK" sz="1000" b="0" i="0" u="none" strike="noStrike" baseline="0">
              <a:solidFill>
                <a:srgbClr val="000000"/>
              </a:solidFill>
              <a:latin typeface="Arial"/>
              <a:cs typeface="Arial"/>
            </a:rPr>
            <a:t>.</a:t>
          </a:r>
        </a:p>
      </xdr:txBody>
    </xdr:sp>
    <xdr:clientData/>
  </xdr:twoCellAnchor>
  <xdr:twoCellAnchor>
    <xdr:from>
      <xdr:col>13</xdr:col>
      <xdr:colOff>76200</xdr:colOff>
      <xdr:row>25</xdr:row>
      <xdr:rowOff>38100</xdr:rowOff>
    </xdr:from>
    <xdr:to>
      <xdr:col>15</xdr:col>
      <xdr:colOff>700088</xdr:colOff>
      <xdr:row>36</xdr:row>
      <xdr:rowOff>90488</xdr:rowOff>
    </xdr:to>
    <xdr:graphicFrame macro="">
      <xdr:nvGraphicFramePr>
        <xdr:cNvPr id="15364" name="Chart 4">
          <a:extLst>
            <a:ext uri="{FF2B5EF4-FFF2-40B4-BE49-F238E27FC236}">
              <a16:creationId xmlns:a16="http://schemas.microsoft.com/office/drawing/2014/main" id="{217E6115-2E22-4539-9595-EF3F2FA66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57150</xdr:colOff>
      <xdr:row>25</xdr:row>
      <xdr:rowOff>38100</xdr:rowOff>
    </xdr:from>
    <xdr:to>
      <xdr:col>19</xdr:col>
      <xdr:colOff>681038</xdr:colOff>
      <xdr:row>36</xdr:row>
      <xdr:rowOff>90488</xdr:rowOff>
    </xdr:to>
    <xdr:graphicFrame macro="">
      <xdr:nvGraphicFramePr>
        <xdr:cNvPr id="15365" name="Chart 5">
          <a:extLst>
            <a:ext uri="{FF2B5EF4-FFF2-40B4-BE49-F238E27FC236}">
              <a16:creationId xmlns:a16="http://schemas.microsoft.com/office/drawing/2014/main" id="{3FE7F7F6-AF2C-427A-AC89-C4961201FE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57150</xdr:colOff>
      <xdr:row>7</xdr:row>
      <xdr:rowOff>38100</xdr:rowOff>
    </xdr:from>
    <xdr:to>
      <xdr:col>19</xdr:col>
      <xdr:colOff>690563</xdr:colOff>
      <xdr:row>18</xdr:row>
      <xdr:rowOff>100013</xdr:rowOff>
    </xdr:to>
    <xdr:graphicFrame macro="">
      <xdr:nvGraphicFramePr>
        <xdr:cNvPr id="15366" name="Chart 6">
          <a:extLst>
            <a:ext uri="{FF2B5EF4-FFF2-40B4-BE49-F238E27FC236}">
              <a16:creationId xmlns:a16="http://schemas.microsoft.com/office/drawing/2014/main" id="{33E1CEF6-CA8B-4A85-9714-8B69C8E83B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376238</xdr:colOff>
      <xdr:row>1</xdr:row>
      <xdr:rowOff>57150</xdr:rowOff>
    </xdr:from>
    <xdr:to>
      <xdr:col>12</xdr:col>
      <xdr:colOff>366713</xdr:colOff>
      <xdr:row>21</xdr:row>
      <xdr:rowOff>66675</xdr:rowOff>
    </xdr:to>
    <xdr:graphicFrame macro="">
      <xdr:nvGraphicFramePr>
        <xdr:cNvPr id="17409" name="Chart 1">
          <a:extLst>
            <a:ext uri="{FF2B5EF4-FFF2-40B4-BE49-F238E27FC236}">
              <a16:creationId xmlns:a16="http://schemas.microsoft.com/office/drawing/2014/main" id="{8A4F8FCF-5DB3-49DF-82A6-57D90595DC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xdr:col>
      <xdr:colOff>76200</xdr:colOff>
      <xdr:row>1</xdr:row>
      <xdr:rowOff>38100</xdr:rowOff>
    </xdr:to>
    <xdr:sp macro="" textlink="">
      <xdr:nvSpPr>
        <xdr:cNvPr id="17410" name="Rectangle 2">
          <a:extLst>
            <a:ext uri="{FF2B5EF4-FFF2-40B4-BE49-F238E27FC236}">
              <a16:creationId xmlns:a16="http://schemas.microsoft.com/office/drawing/2014/main" id="{91184D51-7864-4BC8-B649-7A4310C0B670}"/>
            </a:ext>
          </a:extLst>
        </xdr:cNvPr>
        <xdr:cNvSpPr>
          <a:spLocks noChangeArrowheads="1"/>
        </xdr:cNvSpPr>
      </xdr:nvSpPr>
      <xdr:spPr bwMode="auto">
        <a:xfrm>
          <a:off x="0" y="0"/>
          <a:ext cx="166688" cy="1238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1</xdr:col>
      <xdr:colOff>376238</xdr:colOff>
      <xdr:row>1</xdr:row>
      <xdr:rowOff>57150</xdr:rowOff>
    </xdr:from>
    <xdr:to>
      <xdr:col>12</xdr:col>
      <xdr:colOff>366713</xdr:colOff>
      <xdr:row>21</xdr:row>
      <xdr:rowOff>66675</xdr:rowOff>
    </xdr:to>
    <xdr:graphicFrame macro="">
      <xdr:nvGraphicFramePr>
        <xdr:cNvPr id="22529" name="Chart 1">
          <a:extLst>
            <a:ext uri="{FF2B5EF4-FFF2-40B4-BE49-F238E27FC236}">
              <a16:creationId xmlns:a16="http://schemas.microsoft.com/office/drawing/2014/main" id="{D8AC3F3A-A588-43D0-B649-8DF405D87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xdr:col>
      <xdr:colOff>76200</xdr:colOff>
      <xdr:row>1</xdr:row>
      <xdr:rowOff>38100</xdr:rowOff>
    </xdr:to>
    <xdr:sp macro="" textlink="">
      <xdr:nvSpPr>
        <xdr:cNvPr id="22530" name="Rectangle 2">
          <a:extLst>
            <a:ext uri="{FF2B5EF4-FFF2-40B4-BE49-F238E27FC236}">
              <a16:creationId xmlns:a16="http://schemas.microsoft.com/office/drawing/2014/main" id="{EAD39621-8A44-4FAE-888A-D9A98D1DA7EC}"/>
            </a:ext>
          </a:extLst>
        </xdr:cNvPr>
        <xdr:cNvSpPr>
          <a:spLocks noChangeArrowheads="1"/>
        </xdr:cNvSpPr>
      </xdr:nvSpPr>
      <xdr:spPr bwMode="auto">
        <a:xfrm>
          <a:off x="0" y="0"/>
          <a:ext cx="166688" cy="1238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1</xdr:col>
      <xdr:colOff>400050</xdr:colOff>
      <xdr:row>2</xdr:row>
      <xdr:rowOff>47625</xdr:rowOff>
    </xdr:from>
    <xdr:to>
      <xdr:col>12</xdr:col>
      <xdr:colOff>400050</xdr:colOff>
      <xdr:row>22</xdr:row>
      <xdr:rowOff>66675</xdr:rowOff>
    </xdr:to>
    <xdr:pic>
      <xdr:nvPicPr>
        <xdr:cNvPr id="19463" name="Picture 7">
          <a:extLst>
            <a:ext uri="{FF2B5EF4-FFF2-40B4-BE49-F238E27FC236}">
              <a16:creationId xmlns:a16="http://schemas.microsoft.com/office/drawing/2014/main" id="{4026C0EC-01E6-4E2D-B58B-2F0E880F59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0538" y="300038"/>
          <a:ext cx="7805737" cy="3257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1</xdr:col>
      <xdr:colOff>76200</xdr:colOff>
      <xdr:row>1</xdr:row>
      <xdr:rowOff>38100</xdr:rowOff>
    </xdr:to>
    <xdr:sp macro="" textlink="">
      <xdr:nvSpPr>
        <xdr:cNvPr id="19457" name="Rectangle 1">
          <a:extLst>
            <a:ext uri="{FF2B5EF4-FFF2-40B4-BE49-F238E27FC236}">
              <a16:creationId xmlns:a16="http://schemas.microsoft.com/office/drawing/2014/main" id="{F64B8CCF-65CE-4AE7-958F-E44BB5FC077A}"/>
            </a:ext>
          </a:extLst>
        </xdr:cNvPr>
        <xdr:cNvSpPr>
          <a:spLocks noChangeArrowheads="1"/>
        </xdr:cNvSpPr>
      </xdr:nvSpPr>
      <xdr:spPr bwMode="auto">
        <a:xfrm>
          <a:off x="0" y="0"/>
          <a:ext cx="166688" cy="1238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xdr:from>
      <xdr:col>9</xdr:col>
      <xdr:colOff>323850</xdr:colOff>
      <xdr:row>14</xdr:row>
      <xdr:rowOff>28575</xdr:rowOff>
    </xdr:from>
    <xdr:to>
      <xdr:col>11</xdr:col>
      <xdr:colOff>9525</xdr:colOff>
      <xdr:row>15</xdr:row>
      <xdr:rowOff>85725</xdr:rowOff>
    </xdr:to>
    <xdr:sp macro="" textlink="">
      <xdr:nvSpPr>
        <xdr:cNvPr id="19459" name="AutoShape 3">
          <a:extLst>
            <a:ext uri="{FF2B5EF4-FFF2-40B4-BE49-F238E27FC236}">
              <a16:creationId xmlns:a16="http://schemas.microsoft.com/office/drawing/2014/main" id="{C5858E1B-E68B-4030-90C2-132945191C93}"/>
            </a:ext>
          </a:extLst>
        </xdr:cNvPr>
        <xdr:cNvSpPr>
          <a:spLocks/>
        </xdr:cNvSpPr>
      </xdr:nvSpPr>
      <xdr:spPr bwMode="auto">
        <a:xfrm>
          <a:off x="6091238" y="2224088"/>
          <a:ext cx="1104900" cy="219075"/>
        </a:xfrm>
        <a:prstGeom prst="borderCallout2">
          <a:avLst>
            <a:gd name="adj1" fmla="val 52176"/>
            <a:gd name="adj2" fmla="val -8000"/>
            <a:gd name="adj3" fmla="val 52176"/>
            <a:gd name="adj4" fmla="val -29000"/>
            <a:gd name="adj5" fmla="val 139130"/>
            <a:gd name="adj6" fmla="val -29000"/>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xdr:spPr>
      <xdr:txBody>
        <a:bodyPr vertOverflow="clip" wrap="square" lIns="45720" tIns="36576" rIns="45720" bIns="36576" anchor="ctr" upright="1"/>
        <a:lstStyle/>
        <a:p>
          <a:pPr algn="ctr" rtl="0">
            <a:defRPr sz="1000"/>
          </a:pPr>
          <a:r>
            <a:rPr lang="en-HK" sz="1000" b="0" i="0" u="none" strike="noStrike" baseline="0">
              <a:solidFill>
                <a:srgbClr val="000000"/>
              </a:solidFill>
              <a:latin typeface="Arial"/>
              <a:cs typeface="Arial"/>
            </a:rPr>
            <a:t>Fixed Costs</a:t>
          </a:r>
        </a:p>
      </xdr:txBody>
    </xdr:sp>
    <xdr:clientData/>
  </xdr:twoCellAnchor>
  <xdr:twoCellAnchor>
    <xdr:from>
      <xdr:col>9</xdr:col>
      <xdr:colOff>200025</xdr:colOff>
      <xdr:row>7</xdr:row>
      <xdr:rowOff>9525</xdr:rowOff>
    </xdr:from>
    <xdr:to>
      <xdr:col>10</xdr:col>
      <xdr:colOff>600075</xdr:colOff>
      <xdr:row>8</xdr:row>
      <xdr:rowOff>66675</xdr:rowOff>
    </xdr:to>
    <xdr:sp macro="" textlink="">
      <xdr:nvSpPr>
        <xdr:cNvPr id="19460" name="AutoShape 4">
          <a:extLst>
            <a:ext uri="{FF2B5EF4-FFF2-40B4-BE49-F238E27FC236}">
              <a16:creationId xmlns:a16="http://schemas.microsoft.com/office/drawing/2014/main" id="{AD3F7DF2-7C6B-41B9-9BEC-88BFE8133F72}"/>
            </a:ext>
          </a:extLst>
        </xdr:cNvPr>
        <xdr:cNvSpPr>
          <a:spLocks/>
        </xdr:cNvSpPr>
      </xdr:nvSpPr>
      <xdr:spPr bwMode="auto">
        <a:xfrm>
          <a:off x="5967413" y="1071563"/>
          <a:ext cx="1109662" cy="219075"/>
        </a:xfrm>
        <a:prstGeom prst="borderCallout2">
          <a:avLst>
            <a:gd name="adj1" fmla="val 52176"/>
            <a:gd name="adj2" fmla="val -8000"/>
            <a:gd name="adj3" fmla="val 52176"/>
            <a:gd name="adj4" fmla="val -20000"/>
            <a:gd name="adj5" fmla="val 356523"/>
            <a:gd name="adj6" fmla="val -20000"/>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xdr:spPr>
      <xdr:txBody>
        <a:bodyPr vertOverflow="clip" wrap="square" lIns="45720" tIns="36576" rIns="45720" bIns="36576" anchor="ctr" upright="1"/>
        <a:lstStyle/>
        <a:p>
          <a:pPr algn="ctr" rtl="0">
            <a:defRPr sz="1000"/>
          </a:pPr>
          <a:r>
            <a:rPr lang="en-HK" sz="1000" b="0" i="0" u="none" strike="noStrike" baseline="0">
              <a:solidFill>
                <a:srgbClr val="000000"/>
              </a:solidFill>
              <a:latin typeface="Arial"/>
              <a:cs typeface="Arial"/>
            </a:rPr>
            <a:t>Total Costs</a:t>
          </a:r>
        </a:p>
      </xdr:txBody>
    </xdr:sp>
    <xdr:clientData/>
  </xdr:twoCellAnchor>
  <xdr:twoCellAnchor>
    <xdr:from>
      <xdr:col>4</xdr:col>
      <xdr:colOff>142875</xdr:colOff>
      <xdr:row>8</xdr:row>
      <xdr:rowOff>133350</xdr:rowOff>
    </xdr:from>
    <xdr:to>
      <xdr:col>5</xdr:col>
      <xdr:colOff>542925</xdr:colOff>
      <xdr:row>10</xdr:row>
      <xdr:rowOff>28575</xdr:rowOff>
    </xdr:to>
    <xdr:sp macro="" textlink="">
      <xdr:nvSpPr>
        <xdr:cNvPr id="19461" name="AutoShape 5">
          <a:extLst>
            <a:ext uri="{FF2B5EF4-FFF2-40B4-BE49-F238E27FC236}">
              <a16:creationId xmlns:a16="http://schemas.microsoft.com/office/drawing/2014/main" id="{94483788-04D2-4C67-94E1-5358A6FCD757}"/>
            </a:ext>
          </a:extLst>
        </xdr:cNvPr>
        <xdr:cNvSpPr>
          <a:spLocks/>
        </xdr:cNvSpPr>
      </xdr:nvSpPr>
      <xdr:spPr bwMode="auto">
        <a:xfrm>
          <a:off x="2362200" y="1357313"/>
          <a:ext cx="1109663" cy="219075"/>
        </a:xfrm>
        <a:prstGeom prst="borderCallout2">
          <a:avLst>
            <a:gd name="adj1" fmla="val 52176"/>
            <a:gd name="adj2" fmla="val -8000"/>
            <a:gd name="adj3" fmla="val 52176"/>
            <a:gd name="adj4" fmla="val -40000"/>
            <a:gd name="adj5" fmla="val 660870"/>
            <a:gd name="adj6" fmla="val -40000"/>
          </a:avLst>
        </a:prstGeom>
        <a:solidFill>
          <a:srgbClr xmlns:mc="http://schemas.openxmlformats.org/markup-compatibility/2006" xmlns:a14="http://schemas.microsoft.com/office/drawing/2010/main" val="33CCCC" mc:Ignorable="a14" a14:legacySpreadsheetColorIndex="49"/>
        </a:solid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xdr:spPr>
      <xdr:txBody>
        <a:bodyPr vertOverflow="clip" wrap="square" lIns="45720" tIns="36576" rIns="45720" bIns="36576" anchor="ctr" upright="1"/>
        <a:lstStyle/>
        <a:p>
          <a:pPr algn="ctr" rtl="0">
            <a:defRPr sz="1000"/>
          </a:pPr>
          <a:r>
            <a:rPr lang="en-HK" sz="1000" b="0" i="0" u="none" strike="noStrike" baseline="0">
              <a:solidFill>
                <a:srgbClr val="000000"/>
              </a:solidFill>
              <a:latin typeface="Arial"/>
              <a:cs typeface="Arial"/>
            </a:rPr>
            <a:t>Revenue</a:t>
          </a:r>
        </a:p>
      </xdr:txBody>
    </xdr:sp>
    <xdr:clientData/>
  </xdr:twoCellAnchor>
  <xdr:twoCellAnchor>
    <xdr:from>
      <xdr:col>9</xdr:col>
      <xdr:colOff>442913</xdr:colOff>
      <xdr:row>4</xdr:row>
      <xdr:rowOff>28575</xdr:rowOff>
    </xdr:from>
    <xdr:to>
      <xdr:col>11</xdr:col>
      <xdr:colOff>133350</xdr:colOff>
      <xdr:row>5</xdr:row>
      <xdr:rowOff>85725</xdr:rowOff>
    </xdr:to>
    <xdr:sp macro="" textlink="">
      <xdr:nvSpPr>
        <xdr:cNvPr id="19462" name="AutoShape 6">
          <a:extLst>
            <a:ext uri="{FF2B5EF4-FFF2-40B4-BE49-F238E27FC236}">
              <a16:creationId xmlns:a16="http://schemas.microsoft.com/office/drawing/2014/main" id="{FBF4AF42-6657-474D-AF58-8FF58018B827}"/>
            </a:ext>
          </a:extLst>
        </xdr:cNvPr>
        <xdr:cNvSpPr>
          <a:spLocks/>
        </xdr:cNvSpPr>
      </xdr:nvSpPr>
      <xdr:spPr bwMode="auto">
        <a:xfrm>
          <a:off x="6210300" y="604838"/>
          <a:ext cx="1109663" cy="219075"/>
        </a:xfrm>
        <a:prstGeom prst="borderCallout2">
          <a:avLst>
            <a:gd name="adj1" fmla="val 52176"/>
            <a:gd name="adj2" fmla="val 108000"/>
            <a:gd name="adj3" fmla="val 52176"/>
            <a:gd name="adj4" fmla="val 137000"/>
            <a:gd name="adj5" fmla="val 326088"/>
            <a:gd name="adj6" fmla="val 137000"/>
          </a:avLst>
        </a:prstGeom>
        <a:solidFill>
          <a:srgbClr xmlns:mc="http://schemas.openxmlformats.org/markup-compatibility/2006" xmlns:a14="http://schemas.microsoft.com/office/drawing/2010/main" val="008000" mc:Ignorable="a14" a14:legacySpreadsheetColorIndex="17"/>
        </a:solid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xdr:spPr>
      <xdr:txBody>
        <a:bodyPr vertOverflow="clip" wrap="square" lIns="45720" tIns="36576" rIns="45720" bIns="36576" anchor="ctr" upright="1"/>
        <a:lstStyle/>
        <a:p>
          <a:pPr algn="ctr" rtl="0">
            <a:defRPr sz="1000"/>
          </a:pPr>
          <a:r>
            <a:rPr lang="en-HK" sz="1000" b="0" i="0" u="none" strike="noStrike" baseline="0">
              <a:solidFill>
                <a:srgbClr val="FFFFFF"/>
              </a:solidFill>
              <a:latin typeface="Arial"/>
              <a:cs typeface="Arial"/>
            </a:rPr>
            <a:t>Profit</a:t>
          </a:r>
        </a:p>
      </xdr:txBody>
    </xdr:sp>
    <xdr:clientData/>
  </xdr:twoCellAnchor>
  <xdr:twoCellAnchor>
    <xdr:from>
      <xdr:col>5</xdr:col>
      <xdr:colOff>700088</xdr:colOff>
      <xdr:row>10</xdr:row>
      <xdr:rowOff>114300</xdr:rowOff>
    </xdr:from>
    <xdr:to>
      <xdr:col>7</xdr:col>
      <xdr:colOff>385763</xdr:colOff>
      <xdr:row>11</xdr:row>
      <xdr:rowOff>142875</xdr:rowOff>
    </xdr:to>
    <xdr:sp macro="" textlink="">
      <xdr:nvSpPr>
        <xdr:cNvPr id="19464" name="AutoShape 8">
          <a:extLst>
            <a:ext uri="{FF2B5EF4-FFF2-40B4-BE49-F238E27FC236}">
              <a16:creationId xmlns:a16="http://schemas.microsoft.com/office/drawing/2014/main" id="{12D000C4-F7B4-4371-AE53-A59D3651132E}"/>
            </a:ext>
          </a:extLst>
        </xdr:cNvPr>
        <xdr:cNvSpPr>
          <a:spLocks/>
        </xdr:cNvSpPr>
      </xdr:nvSpPr>
      <xdr:spPr bwMode="auto">
        <a:xfrm>
          <a:off x="3629025" y="1662113"/>
          <a:ext cx="1104900" cy="190500"/>
        </a:xfrm>
        <a:prstGeom prst="borderCallout2">
          <a:avLst>
            <a:gd name="adj1" fmla="val 60000"/>
            <a:gd name="adj2" fmla="val -8000"/>
            <a:gd name="adj3" fmla="val 60000"/>
            <a:gd name="adj4" fmla="val -52000"/>
            <a:gd name="adj5" fmla="val 375000"/>
            <a:gd name="adj6" fmla="val -52000"/>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xdr:spPr>
      <xdr:txBody>
        <a:bodyPr vertOverflow="clip" wrap="square" lIns="45720" tIns="36576" rIns="45720" bIns="36576" anchor="ctr" upright="1"/>
        <a:lstStyle/>
        <a:p>
          <a:pPr algn="ctr" rtl="0">
            <a:defRPr sz="1000"/>
          </a:pPr>
          <a:r>
            <a:rPr lang="en-HK" sz="1000" b="0" i="0" u="none" strike="noStrike" baseline="0">
              <a:solidFill>
                <a:srgbClr val="FFFFFF"/>
              </a:solidFill>
              <a:latin typeface="Arial"/>
              <a:cs typeface="Arial"/>
            </a:rPr>
            <a:t>Loss</a:t>
          </a:r>
        </a:p>
      </xdr:txBody>
    </xdr:sp>
    <xdr:clientData/>
  </xdr:twoCellAnchor>
  <xdr:twoCellAnchor>
    <xdr:from>
      <xdr:col>4</xdr:col>
      <xdr:colOff>633413</xdr:colOff>
      <xdr:row>16</xdr:row>
      <xdr:rowOff>114300</xdr:rowOff>
    </xdr:from>
    <xdr:to>
      <xdr:col>6</xdr:col>
      <xdr:colOff>700088</xdr:colOff>
      <xdr:row>17</xdr:row>
      <xdr:rowOff>152400</xdr:rowOff>
    </xdr:to>
    <xdr:sp macro="" textlink="">
      <xdr:nvSpPr>
        <xdr:cNvPr id="19465" name="AutoShape 9">
          <a:extLst>
            <a:ext uri="{FF2B5EF4-FFF2-40B4-BE49-F238E27FC236}">
              <a16:creationId xmlns:a16="http://schemas.microsoft.com/office/drawing/2014/main" id="{EECE0605-F28D-44B8-B978-C8ED12C14677}"/>
            </a:ext>
          </a:extLst>
        </xdr:cNvPr>
        <xdr:cNvSpPr>
          <a:spLocks/>
        </xdr:cNvSpPr>
      </xdr:nvSpPr>
      <xdr:spPr bwMode="auto">
        <a:xfrm>
          <a:off x="2852738" y="2633663"/>
          <a:ext cx="1485900" cy="200025"/>
        </a:xfrm>
        <a:prstGeom prst="borderCallout2">
          <a:avLst>
            <a:gd name="adj1" fmla="val 57144"/>
            <a:gd name="adj2" fmla="val 105972"/>
            <a:gd name="adj3" fmla="val 57144"/>
            <a:gd name="adj4" fmla="val 116417"/>
            <a:gd name="adj5" fmla="val -247620"/>
            <a:gd name="adj6" fmla="val 116417"/>
          </a:avLst>
        </a:prstGeom>
        <a:solidFill>
          <a:srgbClr xmlns:mc="http://schemas.openxmlformats.org/markup-compatibility/2006" xmlns:a14="http://schemas.microsoft.com/office/drawing/2010/main" val="99CCFF" mc:Ignorable="a14" a14:legacySpreadsheetColorIndex="44"/>
        </a:solid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xdr:spPr>
      <xdr:txBody>
        <a:bodyPr vertOverflow="clip" wrap="square" lIns="45720" tIns="41148" rIns="45720" bIns="41148" anchor="ctr" upright="1"/>
        <a:lstStyle/>
        <a:p>
          <a:pPr algn="ctr" rtl="0">
            <a:defRPr sz="1000"/>
          </a:pPr>
          <a:r>
            <a:rPr lang="en-HK" sz="1000" b="1" i="0" u="none" strike="noStrike" baseline="0">
              <a:solidFill>
                <a:srgbClr val="000000"/>
              </a:solidFill>
              <a:latin typeface="Arial"/>
              <a:cs typeface="Arial"/>
            </a:rPr>
            <a:t>Break-Even Point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347663</xdr:colOff>
      <xdr:row>2</xdr:row>
      <xdr:rowOff>0</xdr:rowOff>
    </xdr:from>
    <xdr:to>
      <xdr:col>10</xdr:col>
      <xdr:colOff>261938</xdr:colOff>
      <xdr:row>24</xdr:row>
      <xdr:rowOff>100013</xdr:rowOff>
    </xdr:to>
    <xdr:graphicFrame macro="">
      <xdr:nvGraphicFramePr>
        <xdr:cNvPr id="24577" name="Chart 1">
          <a:extLst>
            <a:ext uri="{FF2B5EF4-FFF2-40B4-BE49-F238E27FC236}">
              <a16:creationId xmlns:a16="http://schemas.microsoft.com/office/drawing/2014/main" id="{B20C8C9B-D886-43DF-9A26-545A73B8B8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xdr:col>
      <xdr:colOff>76200</xdr:colOff>
      <xdr:row>1</xdr:row>
      <xdr:rowOff>38100</xdr:rowOff>
    </xdr:to>
    <xdr:sp macro="" textlink="">
      <xdr:nvSpPr>
        <xdr:cNvPr id="24578" name="Rectangle 2">
          <a:extLst>
            <a:ext uri="{FF2B5EF4-FFF2-40B4-BE49-F238E27FC236}">
              <a16:creationId xmlns:a16="http://schemas.microsoft.com/office/drawing/2014/main" id="{99B0C578-694D-451F-B5A4-5C2FBFD4EF3F}"/>
            </a:ext>
          </a:extLst>
        </xdr:cNvPr>
        <xdr:cNvSpPr>
          <a:spLocks noChangeArrowheads="1"/>
        </xdr:cNvSpPr>
      </xdr:nvSpPr>
      <xdr:spPr bwMode="auto">
        <a:xfrm>
          <a:off x="0" y="0"/>
          <a:ext cx="166688" cy="1238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3</xdr:col>
      <xdr:colOff>347663</xdr:colOff>
      <xdr:row>2</xdr:row>
      <xdr:rowOff>0</xdr:rowOff>
    </xdr:from>
    <xdr:to>
      <xdr:col>10</xdr:col>
      <xdr:colOff>261938</xdr:colOff>
      <xdr:row>24</xdr:row>
      <xdr:rowOff>100013</xdr:rowOff>
    </xdr:to>
    <xdr:graphicFrame macro="">
      <xdr:nvGraphicFramePr>
        <xdr:cNvPr id="25601" name="Chart 1">
          <a:extLst>
            <a:ext uri="{FF2B5EF4-FFF2-40B4-BE49-F238E27FC236}">
              <a16:creationId xmlns:a16="http://schemas.microsoft.com/office/drawing/2014/main" id="{8D568311-D5EE-489F-8B11-EC9100B8AA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xdr:col>
      <xdr:colOff>76200</xdr:colOff>
      <xdr:row>1</xdr:row>
      <xdr:rowOff>38100</xdr:rowOff>
    </xdr:to>
    <xdr:sp macro="" textlink="">
      <xdr:nvSpPr>
        <xdr:cNvPr id="25602" name="Rectangle 2">
          <a:extLst>
            <a:ext uri="{FF2B5EF4-FFF2-40B4-BE49-F238E27FC236}">
              <a16:creationId xmlns:a16="http://schemas.microsoft.com/office/drawing/2014/main" id="{C9FBD952-B6BE-4B33-B80F-9B4B23E24F66}"/>
            </a:ext>
          </a:extLst>
        </xdr:cNvPr>
        <xdr:cNvSpPr>
          <a:spLocks noChangeArrowheads="1"/>
        </xdr:cNvSpPr>
      </xdr:nvSpPr>
      <xdr:spPr bwMode="auto">
        <a:xfrm>
          <a:off x="0" y="0"/>
          <a:ext cx="166688" cy="1238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742950</xdr:colOff>
      <xdr:row>63</xdr:row>
      <xdr:rowOff>0</xdr:rowOff>
    </xdr:from>
    <xdr:to>
      <xdr:col>7</xdr:col>
      <xdr:colOff>523875</xdr:colOff>
      <xdr:row>76</xdr:row>
      <xdr:rowOff>28575</xdr:rowOff>
    </xdr:to>
    <xdr:graphicFrame macro="">
      <xdr:nvGraphicFramePr>
        <xdr:cNvPr id="27649" name="Chart 1">
          <a:extLst>
            <a:ext uri="{FF2B5EF4-FFF2-40B4-BE49-F238E27FC236}">
              <a16:creationId xmlns:a16="http://schemas.microsoft.com/office/drawing/2014/main" id="{B4DFF84B-8E2A-4850-B37A-9ADF5E9D8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742950</xdr:colOff>
      <xdr:row>89</xdr:row>
      <xdr:rowOff>152400</xdr:rowOff>
    </xdr:from>
    <xdr:to>
      <xdr:col>7</xdr:col>
      <xdr:colOff>523875</xdr:colOff>
      <xdr:row>103</xdr:row>
      <xdr:rowOff>19050</xdr:rowOff>
    </xdr:to>
    <xdr:graphicFrame macro="">
      <xdr:nvGraphicFramePr>
        <xdr:cNvPr id="27650" name="Chart 2">
          <a:extLst>
            <a:ext uri="{FF2B5EF4-FFF2-40B4-BE49-F238E27FC236}">
              <a16:creationId xmlns:a16="http://schemas.microsoft.com/office/drawing/2014/main" id="{820ACDEE-0C65-415F-A9FD-2A9AFA223B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742950</xdr:colOff>
      <xdr:row>117</xdr:row>
      <xdr:rowOff>9525</xdr:rowOff>
    </xdr:from>
    <xdr:to>
      <xdr:col>7</xdr:col>
      <xdr:colOff>566738</xdr:colOff>
      <xdr:row>130</xdr:row>
      <xdr:rowOff>57150</xdr:rowOff>
    </xdr:to>
    <xdr:graphicFrame macro="">
      <xdr:nvGraphicFramePr>
        <xdr:cNvPr id="27651" name="Chart 3">
          <a:extLst>
            <a:ext uri="{FF2B5EF4-FFF2-40B4-BE49-F238E27FC236}">
              <a16:creationId xmlns:a16="http://schemas.microsoft.com/office/drawing/2014/main" id="{39FAF000-1E22-4ECB-9EDC-701967B777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0</xdr:row>
      <xdr:rowOff>0</xdr:rowOff>
    </xdr:from>
    <xdr:to>
      <xdr:col>1</xdr:col>
      <xdr:colOff>247650</xdr:colOff>
      <xdr:row>1</xdr:row>
      <xdr:rowOff>57150</xdr:rowOff>
    </xdr:to>
    <xdr:pic>
      <xdr:nvPicPr>
        <xdr:cNvPr id="27652" name="Picture 4">
          <a:extLst>
            <a:ext uri="{FF2B5EF4-FFF2-40B4-BE49-F238E27FC236}">
              <a16:creationId xmlns:a16="http://schemas.microsoft.com/office/drawing/2014/main" id="{E344D319-A099-484F-8C1F-A31BD4231FA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150" y="0"/>
          <a:ext cx="247650" cy="1143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xdr:col>
      <xdr:colOff>9525</xdr:colOff>
      <xdr:row>216</xdr:row>
      <xdr:rowOff>19050</xdr:rowOff>
    </xdr:from>
    <xdr:to>
      <xdr:col>9</xdr:col>
      <xdr:colOff>0</xdr:colOff>
      <xdr:row>228</xdr:row>
      <xdr:rowOff>57150</xdr:rowOff>
    </xdr:to>
    <xdr:graphicFrame macro="">
      <xdr:nvGraphicFramePr>
        <xdr:cNvPr id="27653" name="Chart 5">
          <a:extLst>
            <a:ext uri="{FF2B5EF4-FFF2-40B4-BE49-F238E27FC236}">
              <a16:creationId xmlns:a16="http://schemas.microsoft.com/office/drawing/2014/main" id="{69926DED-1321-4D34-8B92-78C6CAF0F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9525</xdr:colOff>
      <xdr:row>248</xdr:row>
      <xdr:rowOff>19050</xdr:rowOff>
    </xdr:from>
    <xdr:to>
      <xdr:col>9</xdr:col>
      <xdr:colOff>0</xdr:colOff>
      <xdr:row>258</xdr:row>
      <xdr:rowOff>133350</xdr:rowOff>
    </xdr:to>
    <xdr:graphicFrame macro="">
      <xdr:nvGraphicFramePr>
        <xdr:cNvPr id="27654" name="Chart 6">
          <a:extLst>
            <a:ext uri="{FF2B5EF4-FFF2-40B4-BE49-F238E27FC236}">
              <a16:creationId xmlns:a16="http://schemas.microsoft.com/office/drawing/2014/main" id="{8EA07B08-3241-4AD8-9AAF-E8694A77E3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200025</xdr:colOff>
      <xdr:row>175</xdr:row>
      <xdr:rowOff>57150</xdr:rowOff>
    </xdr:from>
    <xdr:to>
      <xdr:col>13</xdr:col>
      <xdr:colOff>0</xdr:colOff>
      <xdr:row>188</xdr:row>
      <xdr:rowOff>133350</xdr:rowOff>
    </xdr:to>
    <xdr:graphicFrame macro="">
      <xdr:nvGraphicFramePr>
        <xdr:cNvPr id="27655" name="Chart 7">
          <a:extLst>
            <a:ext uri="{FF2B5EF4-FFF2-40B4-BE49-F238E27FC236}">
              <a16:creationId xmlns:a16="http://schemas.microsoft.com/office/drawing/2014/main" id="{800ECB52-5F90-4A34-A59F-9F6B722EDF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0</xdr:col>
      <xdr:colOff>0</xdr:colOff>
      <xdr:row>0</xdr:row>
      <xdr:rowOff>0</xdr:rowOff>
    </xdr:from>
    <xdr:to>
      <xdr:col>1</xdr:col>
      <xdr:colOff>190500</xdr:colOff>
      <xdr:row>1</xdr:row>
      <xdr:rowOff>57150</xdr:rowOff>
    </xdr:to>
    <xdr:pic>
      <xdr:nvPicPr>
        <xdr:cNvPr id="27656" name="Picture 8">
          <a:extLst>
            <a:ext uri="{FF2B5EF4-FFF2-40B4-BE49-F238E27FC236}">
              <a16:creationId xmlns:a16="http://schemas.microsoft.com/office/drawing/2014/main" id="{BE0096FB-7AE7-4E81-8A84-FCFC7CA186D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247650" cy="1143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200025</xdr:colOff>
      <xdr:row>1</xdr:row>
      <xdr:rowOff>57150</xdr:rowOff>
    </xdr:to>
    <xdr:pic>
      <xdr:nvPicPr>
        <xdr:cNvPr id="21505" name="Picture 1">
          <a:extLst>
            <a:ext uri="{FF2B5EF4-FFF2-40B4-BE49-F238E27FC236}">
              <a16:creationId xmlns:a16="http://schemas.microsoft.com/office/drawing/2014/main" id="{33DC2256-E834-4D43-AD27-75EB6C1B91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42888" cy="1143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jaxworks.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vmlDrawing" Target="../drawings/vmlDrawing2.v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omments" Target="../comments1.xml"/><Relationship Id="rId2" Type="http://schemas.openxmlformats.org/officeDocument/2006/relationships/drawing" Target="../drawings/drawing3.x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0"/>
    <pageSetUpPr autoPageBreaks="0" fitToPage="1"/>
  </sheetPr>
  <dimension ref="C27:P27"/>
  <sheetViews>
    <sheetView showGridLines="0" showRowColHeaders="0" tabSelected="1" workbookViewId="0"/>
  </sheetViews>
  <sheetFormatPr defaultColWidth="10.640625" defaultRowHeight="12.75" x14ac:dyDescent="0.35"/>
  <cols>
    <col min="1" max="1" width="4.35546875" style="150" customWidth="1"/>
    <col min="2" max="2" width="5.140625" style="150" customWidth="1"/>
    <col min="3" max="16384" width="10.640625" style="150"/>
  </cols>
  <sheetData>
    <row r="27" spans="3:16" x14ac:dyDescent="0.35">
      <c r="C27" s="151" t="s">
        <v>299</v>
      </c>
      <c r="D27" s="151"/>
      <c r="E27" s="151"/>
      <c r="F27" s="151"/>
      <c r="G27" s="151"/>
      <c r="H27" s="151"/>
      <c r="I27" s="151"/>
      <c r="J27" s="151"/>
      <c r="K27" s="151"/>
      <c r="L27" s="151"/>
      <c r="M27" s="151"/>
      <c r="N27" s="151"/>
      <c r="O27" s="151"/>
      <c r="P27" s="151"/>
    </row>
  </sheetData>
  <sheetProtection sheet="1" objects="1" scenarios="1" selectLockedCells="1" selectUnlockedCells="1"/>
  <mergeCells count="1">
    <mergeCell ref="C27:P27"/>
  </mergeCells>
  <phoneticPr fontId="37" type="noConversion"/>
  <hyperlinks>
    <hyperlink ref="C27:K27" r:id="rId1" display="© Copyright, 2006, Jaxworks, All Rights Reserved."/>
  </hyperlinks>
  <pageMargins left="0.75" right="0.75" top="1" bottom="1" header="0.5" footer="0.5"/>
  <pageSetup scale="71" orientation="portrait" horizontalDpi="300" verticalDpi="300"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22"/>
  </sheetPr>
  <dimension ref="C1:O26"/>
  <sheetViews>
    <sheetView showGridLines="0" showRowColHeaders="0" defaultGridColor="0" colorId="7" zoomScale="90" workbookViewId="0"/>
  </sheetViews>
  <sheetFormatPr defaultColWidth="9.35546875" defaultRowHeight="13.15" x14ac:dyDescent="0.4"/>
  <cols>
    <col min="1" max="1" width="1" style="145" customWidth="1"/>
    <col min="2" max="16384" width="9.35546875" style="145"/>
  </cols>
  <sheetData>
    <row r="1" ht="7.5" customHeight="1" x14ac:dyDescent="0.4"/>
    <row r="23" spans="3:15" x14ac:dyDescent="0.4">
      <c r="C23" s="146"/>
      <c r="D23" s="147"/>
      <c r="E23" s="147"/>
      <c r="F23" s="147"/>
      <c r="G23" s="147"/>
      <c r="H23" s="147"/>
      <c r="I23" s="147"/>
      <c r="J23" s="147"/>
      <c r="K23" s="147"/>
      <c r="L23" s="147"/>
      <c r="M23" s="147"/>
      <c r="N23" s="147"/>
      <c r="O23" s="147"/>
    </row>
    <row r="24" spans="3:15" ht="14.25" customHeight="1" x14ac:dyDescent="0.4"/>
    <row r="26" spans="3:15" x14ac:dyDescent="0.4">
      <c r="C26" s="149" t="s">
        <v>0</v>
      </c>
      <c r="D26" s="148"/>
      <c r="E26" s="148"/>
      <c r="F26" s="148"/>
      <c r="G26" s="148"/>
      <c r="H26" s="148"/>
      <c r="I26" s="148"/>
      <c r="J26" s="148"/>
      <c r="K26" s="148"/>
      <c r="L26" s="148"/>
      <c r="M26" s="148"/>
      <c r="N26" s="148"/>
      <c r="O26" s="148"/>
    </row>
  </sheetData>
  <sheetProtection selectLockedCells="1" selectUnlockedCells="1"/>
  <phoneticPr fontId="2" type="noConversion"/>
  <hyperlinks>
    <hyperlink ref="C26:O26" location="Copyright!C3" display="© Copyright, 2002, JaxWorks, All Rights Reserved."/>
  </hyperlinks>
  <pageMargins left="0.75" right="0.75" top="1" bottom="1" header="0.5" footer="0.5"/>
  <pageSetup orientation="portrait" horizontalDpi="4294967293"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GotoBreakEven">
                <anchor moveWithCells="1" sizeWithCells="1">
                  <from>
                    <xdr:col>7</xdr:col>
                    <xdr:colOff>157163</xdr:colOff>
                    <xdr:row>23</xdr:row>
                    <xdr:rowOff>9525</xdr:rowOff>
                  </from>
                  <to>
                    <xdr:col>9</xdr:col>
                    <xdr:colOff>566738</xdr:colOff>
                    <xdr:row>24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22"/>
  </sheetPr>
  <dimension ref="A1:FM68"/>
  <sheetViews>
    <sheetView showGridLines="0" showRowColHeaders="0" zoomScale="83" workbookViewId="0"/>
  </sheetViews>
  <sheetFormatPr defaultColWidth="9.35546875" defaultRowHeight="12.75" x14ac:dyDescent="0.35"/>
  <cols>
    <col min="1" max="1" width="1.35546875" style="1" customWidth="1"/>
    <col min="2" max="2" width="9.35546875" style="1"/>
    <col min="3" max="3" width="3.85546875" style="1" customWidth="1"/>
    <col min="4" max="4" width="36.640625" style="1" customWidth="1"/>
    <col min="5" max="5" width="9.640625" style="6" bestFit="1" customWidth="1"/>
    <col min="6" max="6" width="10.35546875" style="1" bestFit="1" customWidth="1"/>
    <col min="7" max="7" width="3.85546875" style="1" customWidth="1"/>
    <col min="8" max="9" width="9.35546875" style="1"/>
    <col min="10" max="10" width="3.85546875" style="1" customWidth="1"/>
    <col min="11" max="11" width="32" style="1" bestFit="1" customWidth="1"/>
    <col min="12" max="12" width="13" style="1" bestFit="1" customWidth="1"/>
    <col min="13" max="13" width="12.85546875" style="1" bestFit="1" customWidth="1"/>
    <col min="14" max="14" width="26" style="1" bestFit="1" customWidth="1"/>
    <col min="15" max="15" width="9.35546875" style="1"/>
    <col min="16" max="16" width="14.35546875" style="1" bestFit="1" customWidth="1"/>
    <col min="17" max="17" width="3.85546875" style="1" customWidth="1"/>
    <col min="18" max="19" width="9.35546875" style="1"/>
    <col min="20" max="20" width="3.85546875" style="1" customWidth="1"/>
    <col min="21" max="21" width="38.35546875" style="1" bestFit="1" customWidth="1"/>
    <col min="22" max="22" width="6.35546875" style="1" bestFit="1" customWidth="1"/>
    <col min="23" max="23" width="13.5" style="1" bestFit="1" customWidth="1"/>
    <col min="24" max="24" width="9.140625" style="1" bestFit="1" customWidth="1"/>
    <col min="25" max="25" width="12.85546875" style="1" bestFit="1" customWidth="1"/>
    <col min="26" max="26" width="3.85546875" style="1" customWidth="1"/>
    <col min="27" max="28" width="9.35546875" style="1"/>
    <col min="29" max="29" width="3.85546875" style="1" customWidth="1"/>
    <col min="30" max="30" width="27.35546875" style="1" customWidth="1"/>
    <col min="31" max="32" width="9" style="1" bestFit="1" customWidth="1"/>
    <col min="33" max="33" width="19.140625" style="1" bestFit="1" customWidth="1"/>
    <col min="34" max="34" width="9.35546875" style="1"/>
    <col min="35" max="35" width="3.85546875" style="1" customWidth="1"/>
    <col min="36" max="37" width="9.35546875" style="1"/>
    <col min="38" max="38" width="3.85546875" style="1" customWidth="1"/>
    <col min="39" max="39" width="27.35546875" style="1" customWidth="1"/>
    <col min="40" max="40" width="24.85546875" style="1" customWidth="1"/>
    <col min="41" max="41" width="26.5" style="1" customWidth="1"/>
    <col min="42" max="42" width="19" style="1" bestFit="1" customWidth="1"/>
    <col min="43" max="43" width="9.35546875" style="1"/>
    <col min="44" max="44" width="3.85546875" style="1" customWidth="1"/>
    <col min="45" max="48" width="9.35546875" style="1"/>
    <col min="49" max="49" width="3.85546875" style="1" customWidth="1"/>
    <col min="50" max="50" width="12.5" style="1" bestFit="1" customWidth="1"/>
    <col min="51" max="51" width="12.35546875" style="1" bestFit="1" customWidth="1"/>
    <col min="52" max="52" width="14" style="1" bestFit="1" customWidth="1"/>
    <col min="53" max="53" width="18.140625" style="1" bestFit="1" customWidth="1"/>
    <col min="54" max="54" width="3.85546875" style="1" customWidth="1"/>
    <col min="55" max="56" width="9.35546875" style="1"/>
    <col min="57" max="57" width="3.85546875" style="1" customWidth="1"/>
    <col min="58" max="58" width="15.35546875" style="1" bestFit="1" customWidth="1"/>
    <col min="59" max="59" width="12.85546875" style="1" bestFit="1" customWidth="1"/>
    <col min="60" max="67" width="9.35546875" style="1"/>
    <col min="68" max="68" width="3.85546875" style="1" customWidth="1"/>
    <col min="69" max="70" width="9.35546875" style="1"/>
    <col min="71" max="71" width="3.85546875" style="1" customWidth="1"/>
    <col min="72" max="72" width="15.35546875" style="1" bestFit="1" customWidth="1"/>
    <col min="73" max="73" width="15.5" style="1" bestFit="1" customWidth="1"/>
    <col min="74" max="81" width="9.35546875" style="1"/>
    <col min="82" max="82" width="3.85546875" style="1" customWidth="1"/>
    <col min="83" max="84" width="9.35546875" style="1"/>
    <col min="85" max="85" width="3.85546875" style="1" customWidth="1"/>
    <col min="86" max="86" width="8.640625" style="1" bestFit="1" customWidth="1"/>
    <col min="87" max="87" width="8.85546875" style="1" bestFit="1" customWidth="1"/>
    <col min="88" max="88" width="9.35546875" style="1" bestFit="1"/>
    <col min="89" max="90" width="8.85546875" style="1" bestFit="1" customWidth="1"/>
    <col min="91" max="97" width="9.35546875" style="1"/>
    <col min="98" max="98" width="3.85546875" style="1" customWidth="1"/>
    <col min="99" max="100" width="9.35546875" style="1"/>
    <col min="101" max="101" width="3.85546875" style="1" customWidth="1"/>
    <col min="102" max="102" width="24.85546875" style="1" bestFit="1" customWidth="1"/>
    <col min="103" max="103" width="10.140625" style="1" bestFit="1" customWidth="1"/>
    <col min="104" max="104" width="9.85546875" style="1" bestFit="1" customWidth="1"/>
    <col min="105" max="110" width="9.35546875" style="1"/>
    <col min="111" max="111" width="3.85546875" style="1" customWidth="1"/>
    <col min="112" max="113" width="9.35546875" style="1"/>
    <col min="114" max="114" width="3.85546875" style="1" customWidth="1"/>
    <col min="115" max="115" width="24.85546875" style="1" bestFit="1" customWidth="1"/>
    <col min="116" max="116" width="10.140625" style="1" bestFit="1" customWidth="1"/>
    <col min="117" max="117" width="9.5" style="1" bestFit="1" customWidth="1"/>
    <col min="118" max="118" width="8.85546875" style="1" bestFit="1" customWidth="1"/>
    <col min="119" max="119" width="13.35546875" style="1" bestFit="1" customWidth="1"/>
    <col min="120" max="125" width="9.35546875" style="1"/>
    <col min="126" max="126" width="3.85546875" style="1" customWidth="1"/>
    <col min="127" max="128" width="9.35546875" style="1"/>
    <col min="129" max="129" width="3.85546875" style="1" customWidth="1"/>
    <col min="130" max="130" width="20.640625" style="1" bestFit="1" customWidth="1"/>
    <col min="131" max="131" width="10" style="1" bestFit="1" customWidth="1"/>
    <col min="132" max="132" width="7.640625" style="1" bestFit="1" customWidth="1"/>
    <col min="133" max="133" width="10" style="1" bestFit="1" customWidth="1"/>
    <col min="134" max="134" width="7.640625" style="1" bestFit="1" customWidth="1"/>
    <col min="135" max="135" width="11.640625" style="1" bestFit="1" customWidth="1"/>
    <col min="136" max="136" width="7.640625" style="1" bestFit="1" customWidth="1"/>
    <col min="137" max="137" width="11.640625" style="1" bestFit="1" customWidth="1"/>
    <col min="138" max="138" width="3.85546875" style="1" customWidth="1"/>
    <col min="139" max="140" width="9.35546875" style="1"/>
    <col min="141" max="141" width="3.85546875" style="1" customWidth="1"/>
    <col min="142" max="142" width="20.640625" style="1" bestFit="1" customWidth="1"/>
    <col min="143" max="143" width="11.640625" style="1" bestFit="1" customWidth="1"/>
    <col min="144" max="144" width="7.85546875" style="1" bestFit="1" customWidth="1"/>
    <col min="145" max="145" width="11.640625" style="1" bestFit="1" customWidth="1"/>
    <col min="146" max="146" width="7.85546875" style="1" bestFit="1" customWidth="1"/>
    <col min="147" max="147" width="10.35546875" style="1" bestFit="1" customWidth="1"/>
    <col min="148" max="148" width="8.35546875" style="1" bestFit="1" customWidth="1"/>
    <col min="149" max="149" width="11.640625" style="1" bestFit="1" customWidth="1"/>
    <col min="150" max="150" width="3.85546875" style="1" customWidth="1"/>
    <col min="151" max="152" width="9.35546875" style="1"/>
    <col min="153" max="153" width="3.85546875" style="1" customWidth="1"/>
    <col min="154" max="154" width="24" style="1" bestFit="1" customWidth="1"/>
    <col min="155" max="155" width="12" style="1" bestFit="1" customWidth="1"/>
    <col min="156" max="156" width="9.35546875" style="1"/>
    <col min="157" max="157" width="9.5" style="1" bestFit="1" customWidth="1"/>
    <col min="158" max="158" width="9.35546875" style="1"/>
    <col min="159" max="159" width="12.85546875" style="1" bestFit="1" customWidth="1"/>
    <col min="160" max="160" width="3.85546875" style="1" customWidth="1"/>
    <col min="161" max="16384" width="9.35546875" style="1"/>
  </cols>
  <sheetData>
    <row r="1" spans="1:169" ht="8.25" customHeight="1" x14ac:dyDescent="0.35">
      <c r="A1" s="4"/>
      <c r="B1" s="4"/>
      <c r="C1" s="4"/>
      <c r="D1" s="4"/>
      <c r="E1" s="5"/>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row>
    <row r="2" spans="1:169" x14ac:dyDescent="0.35">
      <c r="A2" s="4"/>
      <c r="B2" s="4"/>
      <c r="C2" s="4"/>
      <c r="D2" s="4"/>
      <c r="E2" s="5"/>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s="4"/>
      <c r="DR2" s="4"/>
      <c r="DS2" s="4"/>
      <c r="DT2" s="4"/>
      <c r="DU2" s="4"/>
      <c r="DV2" s="4"/>
      <c r="DW2" s="4"/>
      <c r="DX2" s="4"/>
      <c r="DY2" s="4"/>
      <c r="DZ2" s="4"/>
      <c r="EA2" s="4"/>
      <c r="EB2" s="4"/>
      <c r="EC2" s="4"/>
      <c r="ED2" s="4"/>
      <c r="EE2" s="4"/>
      <c r="EF2" s="4"/>
      <c r="EG2" s="4"/>
      <c r="EH2" s="4"/>
      <c r="EI2" s="4"/>
      <c r="EJ2" s="4"/>
      <c r="EK2" s="4"/>
      <c r="EL2" s="4"/>
      <c r="EM2" s="4"/>
      <c r="EN2" s="4"/>
      <c r="EO2" s="4"/>
      <c r="EP2" s="4"/>
      <c r="EQ2" s="4"/>
      <c r="ER2" s="4"/>
      <c r="ES2" s="4"/>
      <c r="ET2" s="4"/>
      <c r="EU2" s="4"/>
      <c r="EV2" s="4"/>
      <c r="EW2" s="4"/>
      <c r="EX2" s="4"/>
      <c r="EY2" s="4"/>
      <c r="EZ2" s="4"/>
      <c r="FA2" s="4"/>
      <c r="FB2" s="4"/>
      <c r="FC2" s="4"/>
      <c r="FD2" s="4"/>
      <c r="FE2" s="4"/>
      <c r="FF2" s="4"/>
      <c r="FG2" s="4"/>
      <c r="FH2" s="4"/>
      <c r="FI2" s="4"/>
      <c r="FJ2" s="4"/>
      <c r="FK2" s="4"/>
      <c r="FL2" s="4"/>
      <c r="FM2" s="4"/>
    </row>
    <row r="3" spans="1:169" x14ac:dyDescent="0.35">
      <c r="A3" s="4"/>
      <c r="B3" s="4"/>
      <c r="C3" s="4"/>
      <c r="D3" s="4"/>
      <c r="E3" s="5"/>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row>
    <row r="4" spans="1:169" ht="13.15" thickBot="1" x14ac:dyDescent="0.4">
      <c r="A4" s="4"/>
      <c r="B4" s="4"/>
      <c r="C4" s="4"/>
      <c r="D4" s="4"/>
      <c r="E4" s="5"/>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row>
    <row r="5" spans="1:169" ht="13.9" thickTop="1" thickBot="1" x14ac:dyDescent="0.45">
      <c r="A5" s="4"/>
      <c r="B5" s="4"/>
      <c r="C5" s="39" t="s">
        <v>79</v>
      </c>
      <c r="D5" s="2"/>
      <c r="E5" s="2"/>
      <c r="F5" s="2"/>
      <c r="G5" s="3"/>
      <c r="H5" s="4"/>
      <c r="I5" s="4"/>
      <c r="J5" s="39" t="s">
        <v>80</v>
      </c>
      <c r="K5" s="2"/>
      <c r="L5" s="2"/>
      <c r="M5" s="2"/>
      <c r="N5" s="2"/>
      <c r="O5" s="2"/>
      <c r="P5" s="2"/>
      <c r="Q5" s="3"/>
      <c r="R5" s="4"/>
      <c r="S5" s="4"/>
      <c r="T5" s="39" t="s">
        <v>81</v>
      </c>
      <c r="U5" s="2"/>
      <c r="V5" s="2"/>
      <c r="W5" s="2"/>
      <c r="X5" s="2"/>
      <c r="Y5" s="2"/>
      <c r="Z5" s="3"/>
      <c r="AA5" s="4"/>
      <c r="AB5" s="4"/>
      <c r="AC5" s="39" t="s">
        <v>82</v>
      </c>
      <c r="AD5" s="2"/>
      <c r="AE5" s="2"/>
      <c r="AF5" s="2"/>
      <c r="AG5" s="2"/>
      <c r="AH5" s="2"/>
      <c r="AI5" s="3"/>
      <c r="AJ5" s="4"/>
      <c r="AK5" s="4"/>
      <c r="AL5" s="39" t="s">
        <v>93</v>
      </c>
      <c r="AM5" s="2"/>
      <c r="AN5" s="2"/>
      <c r="AO5" s="2"/>
      <c r="AP5" s="2"/>
      <c r="AQ5" s="2"/>
      <c r="AR5" s="3"/>
      <c r="AS5" s="4"/>
      <c r="AT5" s="4"/>
      <c r="AU5" s="4"/>
      <c r="AV5" s="4"/>
      <c r="AW5" s="39" t="s">
        <v>94</v>
      </c>
      <c r="AX5" s="2"/>
      <c r="AY5" s="2"/>
      <c r="AZ5" s="2"/>
      <c r="BA5" s="2"/>
      <c r="BB5" s="3"/>
      <c r="BC5" s="4"/>
      <c r="BD5" s="4"/>
      <c r="BE5" s="39" t="s">
        <v>95</v>
      </c>
      <c r="BF5" s="2"/>
      <c r="BG5" s="2"/>
      <c r="BH5" s="2"/>
      <c r="BI5" s="2"/>
      <c r="BJ5" s="2"/>
      <c r="BK5" s="47"/>
      <c r="BL5" s="2"/>
      <c r="BM5" s="2"/>
      <c r="BN5" s="2"/>
      <c r="BO5" s="2"/>
      <c r="BP5" s="3"/>
      <c r="BQ5" s="4"/>
      <c r="BR5" s="4"/>
      <c r="BS5" s="39" t="s">
        <v>96</v>
      </c>
      <c r="BT5" s="2"/>
      <c r="BU5" s="2"/>
      <c r="BV5" s="2"/>
      <c r="BW5" s="2"/>
      <c r="BX5" s="2"/>
      <c r="BY5" s="47"/>
      <c r="BZ5" s="2"/>
      <c r="CA5" s="2"/>
      <c r="CB5" s="2"/>
      <c r="CC5" s="2"/>
      <c r="CD5" s="3"/>
      <c r="CE5" s="4"/>
      <c r="CF5" s="4"/>
      <c r="CG5" s="39" t="s">
        <v>104</v>
      </c>
      <c r="CH5" s="2"/>
      <c r="CI5" s="2"/>
      <c r="CJ5" s="2"/>
      <c r="CK5" s="2"/>
      <c r="CL5" s="2"/>
      <c r="CM5" s="47"/>
      <c r="CN5" s="2"/>
      <c r="CO5" s="2"/>
      <c r="CP5" s="2"/>
      <c r="CQ5" s="2"/>
      <c r="CR5" s="2"/>
      <c r="CS5" s="47"/>
      <c r="CT5" s="3"/>
      <c r="CU5" s="4"/>
      <c r="CV5" s="4"/>
      <c r="CW5" s="39" t="s">
        <v>98</v>
      </c>
      <c r="CX5" s="2"/>
      <c r="CY5" s="2"/>
      <c r="CZ5" s="2"/>
      <c r="DA5" s="2"/>
      <c r="DB5" s="2"/>
      <c r="DC5" s="47"/>
      <c r="DD5" s="2"/>
      <c r="DE5" s="2"/>
      <c r="DF5" s="2"/>
      <c r="DG5" s="3"/>
      <c r="DH5" s="4"/>
      <c r="DI5" s="4"/>
      <c r="DJ5" s="39" t="s">
        <v>99</v>
      </c>
      <c r="DK5" s="2"/>
      <c r="DL5" s="2"/>
      <c r="DM5" s="2"/>
      <c r="DN5" s="2"/>
      <c r="DO5" s="2"/>
      <c r="DP5" s="47"/>
      <c r="DQ5" s="2"/>
      <c r="DR5" s="2"/>
      <c r="DS5" s="2"/>
      <c r="DT5" s="2"/>
      <c r="DU5" s="47"/>
      <c r="DV5" s="3"/>
      <c r="DW5" s="4"/>
      <c r="DX5" s="4"/>
      <c r="DY5" s="39" t="s">
        <v>101</v>
      </c>
      <c r="DZ5" s="2"/>
      <c r="EA5" s="2"/>
      <c r="EB5" s="2"/>
      <c r="EC5" s="2"/>
      <c r="ED5" s="2"/>
      <c r="EE5" s="47"/>
      <c r="EF5" s="2"/>
      <c r="EG5" s="2"/>
      <c r="EH5" s="3"/>
      <c r="EI5" s="4"/>
      <c r="EJ5" s="4"/>
      <c r="EK5" s="39" t="s">
        <v>102</v>
      </c>
      <c r="EL5" s="2"/>
      <c r="EM5" s="2"/>
      <c r="EN5" s="2"/>
      <c r="EO5" s="2"/>
      <c r="EP5" s="2"/>
      <c r="EQ5" s="47"/>
      <c r="ER5" s="2"/>
      <c r="ES5" s="2"/>
      <c r="ET5" s="3"/>
      <c r="EU5" s="4"/>
      <c r="EV5" s="4"/>
      <c r="EW5" s="39" t="s">
        <v>103</v>
      </c>
      <c r="EX5" s="2"/>
      <c r="EY5" s="2"/>
      <c r="EZ5" s="2"/>
      <c r="FA5" s="2"/>
      <c r="FB5" s="2"/>
      <c r="FC5" s="47"/>
      <c r="FD5" s="3"/>
      <c r="FE5" s="4"/>
      <c r="FF5" s="4"/>
      <c r="FG5" s="4"/>
      <c r="FH5" s="4"/>
      <c r="FI5" s="4"/>
      <c r="FJ5" s="4"/>
      <c r="FK5" s="4"/>
      <c r="FL5" s="4"/>
      <c r="FM5" s="4"/>
    </row>
    <row r="6" spans="1:169" ht="13.5" thickTop="1" x14ac:dyDescent="0.4">
      <c r="A6" s="4"/>
      <c r="B6" s="4"/>
      <c r="C6" s="8"/>
      <c r="D6" s="9"/>
      <c r="E6" s="35"/>
      <c r="F6" s="9"/>
      <c r="G6" s="36"/>
      <c r="H6" s="4"/>
      <c r="I6" s="4"/>
      <c r="J6" s="8"/>
      <c r="K6" s="9"/>
      <c r="L6" s="9"/>
      <c r="M6" s="9"/>
      <c r="N6" s="9"/>
      <c r="O6" s="9"/>
      <c r="P6" s="9"/>
      <c r="Q6" s="10"/>
      <c r="R6" s="4"/>
      <c r="S6" s="4"/>
      <c r="T6" s="8"/>
      <c r="U6" s="9"/>
      <c r="V6" s="9"/>
      <c r="W6" s="9"/>
      <c r="X6" s="9"/>
      <c r="Y6" s="9"/>
      <c r="Z6" s="36"/>
      <c r="AA6" s="4"/>
      <c r="AB6" s="4"/>
      <c r="AC6" s="8"/>
      <c r="AD6" s="9"/>
      <c r="AE6" s="9"/>
      <c r="AF6" s="9"/>
      <c r="AG6" s="9"/>
      <c r="AH6" s="9"/>
      <c r="AI6" s="36"/>
      <c r="AJ6" s="4"/>
      <c r="AK6" s="4"/>
      <c r="AL6" s="8"/>
      <c r="AM6" s="9"/>
      <c r="AN6" s="9"/>
      <c r="AO6" s="9"/>
      <c r="AP6" s="9"/>
      <c r="AQ6" s="9"/>
      <c r="AR6" s="36"/>
      <c r="AS6" s="4"/>
      <c r="AT6" s="4"/>
      <c r="AU6" s="4"/>
      <c r="AV6" s="4"/>
      <c r="AW6" s="8"/>
      <c r="AX6" s="9"/>
      <c r="AY6" s="9"/>
      <c r="AZ6" s="9"/>
      <c r="BA6" s="9"/>
      <c r="BB6" s="36"/>
      <c r="BC6" s="4"/>
      <c r="BD6" s="4"/>
      <c r="BE6" s="8"/>
      <c r="BF6" s="9"/>
      <c r="BG6" s="9"/>
      <c r="BH6" s="9"/>
      <c r="BI6" s="9"/>
      <c r="BJ6" s="9"/>
      <c r="BK6" s="9"/>
      <c r="BL6" s="9"/>
      <c r="BM6" s="9"/>
      <c r="BN6" s="9"/>
      <c r="BO6" s="9"/>
      <c r="BP6" s="36"/>
      <c r="BQ6" s="4"/>
      <c r="BR6" s="4"/>
      <c r="BS6" s="8"/>
      <c r="BT6" s="9"/>
      <c r="BU6" s="9"/>
      <c r="BV6" s="9"/>
      <c r="BW6" s="9"/>
      <c r="BX6" s="9"/>
      <c r="BY6" s="9"/>
      <c r="BZ6" s="9"/>
      <c r="CA6" s="9"/>
      <c r="CB6" s="9"/>
      <c r="CC6" s="9"/>
      <c r="CD6" s="36"/>
      <c r="CE6" s="4"/>
      <c r="CF6" s="4"/>
      <c r="CG6" s="8"/>
      <c r="CH6" s="9"/>
      <c r="CI6" s="9"/>
      <c r="CJ6" s="9"/>
      <c r="CK6" s="9"/>
      <c r="CL6" s="9"/>
      <c r="CM6" s="9"/>
      <c r="CN6" s="9"/>
      <c r="CO6" s="9"/>
      <c r="CP6" s="9"/>
      <c r="CQ6" s="9"/>
      <c r="CR6" s="9"/>
      <c r="CS6" s="9"/>
      <c r="CT6" s="36"/>
      <c r="CU6" s="4"/>
      <c r="CV6" s="4"/>
      <c r="CW6" s="50"/>
      <c r="CX6" s="51"/>
      <c r="CY6" s="51"/>
      <c r="CZ6" s="51"/>
      <c r="DA6" s="51"/>
      <c r="DB6" s="51"/>
      <c r="DC6" s="52"/>
      <c r="DD6" s="51"/>
      <c r="DE6" s="51"/>
      <c r="DF6" s="51"/>
      <c r="DG6" s="53"/>
      <c r="DH6" s="4"/>
      <c r="DI6" s="4"/>
      <c r="DJ6" s="50"/>
      <c r="DK6" s="51"/>
      <c r="DL6" s="51"/>
      <c r="DM6" s="51"/>
      <c r="DN6" s="51"/>
      <c r="DO6" s="51"/>
      <c r="DP6" s="52"/>
      <c r="DQ6" s="51"/>
      <c r="DR6" s="51"/>
      <c r="DS6" s="51"/>
      <c r="DT6" s="51"/>
      <c r="DU6" s="52"/>
      <c r="DV6" s="53"/>
      <c r="DW6" s="4"/>
      <c r="DX6" s="4"/>
      <c r="DY6" s="8"/>
      <c r="DZ6" s="9"/>
      <c r="EA6" s="9"/>
      <c r="EB6" s="9"/>
      <c r="EC6" s="9"/>
      <c r="ED6" s="9"/>
      <c r="EE6" s="9"/>
      <c r="EF6" s="9"/>
      <c r="EG6" s="9"/>
      <c r="EH6" s="36"/>
      <c r="EI6" s="4"/>
      <c r="EJ6" s="4"/>
      <c r="EK6" s="8"/>
      <c r="EL6" s="9"/>
      <c r="EM6" s="9"/>
      <c r="EN6" s="9"/>
      <c r="EO6" s="9"/>
      <c r="EP6" s="9"/>
      <c r="EQ6" s="9"/>
      <c r="ER6" s="9"/>
      <c r="ES6" s="9"/>
      <c r="ET6" s="36"/>
      <c r="EU6" s="4"/>
      <c r="EV6" s="4"/>
      <c r="EW6" s="8"/>
      <c r="EX6" s="9"/>
      <c r="EY6" s="9"/>
      <c r="EZ6" s="9"/>
      <c r="FA6" s="9"/>
      <c r="FB6" s="9"/>
      <c r="FC6" s="9"/>
      <c r="FD6" s="36"/>
      <c r="FE6" s="4"/>
      <c r="FF6" s="4"/>
      <c r="FG6" s="4"/>
      <c r="FH6" s="4"/>
      <c r="FI6" s="4"/>
      <c r="FJ6" s="4"/>
      <c r="FK6" s="4"/>
      <c r="FL6" s="4"/>
      <c r="FM6" s="4"/>
    </row>
    <row r="7" spans="1:169" ht="13.15" x14ac:dyDescent="0.4">
      <c r="A7" s="4"/>
      <c r="B7" s="4"/>
      <c r="C7" s="8"/>
      <c r="D7" s="20" t="s">
        <v>4</v>
      </c>
      <c r="E7" s="9"/>
      <c r="F7" s="35">
        <f>1000*10</f>
        <v>10000</v>
      </c>
      <c r="G7" s="36"/>
      <c r="H7" s="4"/>
      <c r="I7" s="4"/>
      <c r="J7" s="8"/>
      <c r="K7" s="13" t="s">
        <v>11</v>
      </c>
      <c r="L7" s="9">
        <v>4510</v>
      </c>
      <c r="M7" s="9"/>
      <c r="N7" s="9" t="s">
        <v>12</v>
      </c>
      <c r="O7" s="9"/>
      <c r="P7" s="14" t="s">
        <v>13</v>
      </c>
      <c r="Q7" s="15"/>
      <c r="R7" s="4"/>
      <c r="S7" s="4"/>
      <c r="T7" s="8"/>
      <c r="U7" s="13" t="s">
        <v>24</v>
      </c>
      <c r="V7" s="9">
        <f>SalesLevel</f>
        <v>4510</v>
      </c>
      <c r="W7" s="9"/>
      <c r="X7" s="9"/>
      <c r="Y7" s="9"/>
      <c r="Z7" s="36"/>
      <c r="AA7" s="4"/>
      <c r="AB7" s="4"/>
      <c r="AC7" s="8"/>
      <c r="AD7" s="9"/>
      <c r="AE7" s="9" t="s">
        <v>25</v>
      </c>
      <c r="AF7" s="9" t="s">
        <v>34</v>
      </c>
      <c r="AG7" s="9" t="s">
        <v>35</v>
      </c>
      <c r="AH7" s="9"/>
      <c r="AI7" s="36"/>
      <c r="AJ7" s="4"/>
      <c r="AK7" s="4"/>
      <c r="AL7" s="8"/>
      <c r="AM7" s="9"/>
      <c r="AN7" s="9" t="s">
        <v>25</v>
      </c>
      <c r="AO7" s="9" t="s">
        <v>34</v>
      </c>
      <c r="AP7" s="9" t="s">
        <v>35</v>
      </c>
      <c r="AQ7" s="9"/>
      <c r="AR7" s="36"/>
      <c r="AS7" s="4"/>
      <c r="AT7" s="4"/>
      <c r="AU7" s="4"/>
      <c r="AV7" s="4"/>
      <c r="AW7" s="8"/>
      <c r="AX7" s="9" t="s">
        <v>42</v>
      </c>
      <c r="AY7" s="9" t="s">
        <v>43</v>
      </c>
      <c r="AZ7" s="9" t="s">
        <v>44</v>
      </c>
      <c r="BA7" s="9" t="s">
        <v>45</v>
      </c>
      <c r="BB7" s="36"/>
      <c r="BC7" s="4"/>
      <c r="BD7" s="4"/>
      <c r="BE7" s="8"/>
      <c r="BF7" s="9" t="s">
        <v>46</v>
      </c>
      <c r="BG7" s="9" t="s">
        <v>47</v>
      </c>
      <c r="BH7" s="9"/>
      <c r="BI7" s="9"/>
      <c r="BJ7" s="9"/>
      <c r="BK7" s="9"/>
      <c r="BL7" s="9"/>
      <c r="BM7" s="9"/>
      <c r="BN7" s="9"/>
      <c r="BO7" s="9"/>
      <c r="BP7" s="36"/>
      <c r="BQ7" s="4"/>
      <c r="BR7" s="4"/>
      <c r="BS7" s="8"/>
      <c r="BT7" s="9" t="s">
        <v>46</v>
      </c>
      <c r="BU7" s="9" t="s">
        <v>48</v>
      </c>
      <c r="BV7" s="9"/>
      <c r="BW7" s="9"/>
      <c r="BX7" s="9"/>
      <c r="BY7" s="9"/>
      <c r="BZ7" s="9"/>
      <c r="CA7" s="9"/>
      <c r="CB7" s="9"/>
      <c r="CC7" s="9"/>
      <c r="CD7" s="36"/>
      <c r="CE7" s="4"/>
      <c r="CF7" s="4"/>
      <c r="CG7" s="8"/>
      <c r="CH7" s="9" t="s">
        <v>49</v>
      </c>
      <c r="CI7" s="9" t="s">
        <v>50</v>
      </c>
      <c r="CJ7" s="9" t="s">
        <v>51</v>
      </c>
      <c r="CK7" s="9" t="s">
        <v>25</v>
      </c>
      <c r="CL7" s="9" t="s">
        <v>25</v>
      </c>
      <c r="CM7" s="9"/>
      <c r="CN7" s="9"/>
      <c r="CO7" s="9"/>
      <c r="CP7" s="9"/>
      <c r="CQ7" s="9"/>
      <c r="CR7" s="9"/>
      <c r="CS7" s="9"/>
      <c r="CT7" s="36"/>
      <c r="CU7" s="4"/>
      <c r="CV7" s="4"/>
      <c r="CW7" s="8"/>
      <c r="CX7" s="9" t="s">
        <v>97</v>
      </c>
      <c r="CY7" s="9"/>
      <c r="CZ7" s="35">
        <v>20</v>
      </c>
      <c r="DA7" s="9"/>
      <c r="DB7" s="9"/>
      <c r="DC7" s="9"/>
      <c r="DD7" s="9"/>
      <c r="DE7" s="9"/>
      <c r="DF7" s="9"/>
      <c r="DG7" s="36"/>
      <c r="DH7" s="4"/>
      <c r="DI7" s="4"/>
      <c r="DJ7" s="8"/>
      <c r="DK7" s="9" t="s">
        <v>97</v>
      </c>
      <c r="DL7" s="9"/>
      <c r="DM7" s="35">
        <v>20</v>
      </c>
      <c r="DN7" s="9"/>
      <c r="DO7" s="9"/>
      <c r="DP7" s="9"/>
      <c r="DQ7" s="9"/>
      <c r="DR7" s="9"/>
      <c r="DS7" s="9"/>
      <c r="DT7" s="9"/>
      <c r="DU7" s="9"/>
      <c r="DV7" s="36"/>
      <c r="DW7" s="4"/>
      <c r="DX7" s="4"/>
      <c r="DY7" s="8"/>
      <c r="DZ7" s="13" t="s">
        <v>100</v>
      </c>
      <c r="EA7" s="35">
        <v>34000</v>
      </c>
      <c r="EB7" s="9"/>
      <c r="EC7" s="9"/>
      <c r="ED7" s="9"/>
      <c r="EE7" s="9"/>
      <c r="EF7" s="9"/>
      <c r="EG7" s="9"/>
      <c r="EH7" s="36"/>
      <c r="EI7" s="4"/>
      <c r="EJ7" s="4"/>
      <c r="EK7" s="8"/>
      <c r="EL7" s="13" t="s">
        <v>100</v>
      </c>
      <c r="EM7" s="35">
        <v>34000</v>
      </c>
      <c r="EN7" s="9"/>
      <c r="EO7" s="9"/>
      <c r="EP7" s="9"/>
      <c r="EQ7" s="9"/>
      <c r="ER7" s="9"/>
      <c r="ES7" s="9"/>
      <c r="ET7" s="36"/>
      <c r="EU7" s="4"/>
      <c r="EV7" s="4"/>
      <c r="EW7" s="8"/>
      <c r="EX7" s="9"/>
      <c r="EY7" s="9" t="s">
        <v>72</v>
      </c>
      <c r="EZ7" s="9"/>
      <c r="FA7" s="9" t="s">
        <v>73</v>
      </c>
      <c r="FB7" s="9"/>
      <c r="FC7" s="9" t="s">
        <v>73</v>
      </c>
      <c r="FD7" s="36"/>
      <c r="FE7" s="4"/>
      <c r="FF7" s="4"/>
      <c r="FG7" s="4"/>
      <c r="FH7" s="4"/>
      <c r="FI7" s="4"/>
      <c r="FJ7" s="4"/>
      <c r="FK7" s="4"/>
      <c r="FL7" s="4"/>
      <c r="FM7" s="4"/>
    </row>
    <row r="8" spans="1:169" ht="13.15" thickBot="1" x14ac:dyDescent="0.4">
      <c r="A8" s="4"/>
      <c r="B8" s="4"/>
      <c r="C8" s="8"/>
      <c r="D8" s="9"/>
      <c r="E8" s="35"/>
      <c r="F8" s="9"/>
      <c r="G8" s="36"/>
      <c r="H8" s="4"/>
      <c r="I8" s="4"/>
      <c r="J8" s="8"/>
      <c r="K8" s="9"/>
      <c r="L8" s="9"/>
      <c r="M8" s="9"/>
      <c r="N8" s="9" t="s">
        <v>14</v>
      </c>
      <c r="O8" s="9" t="s">
        <v>15</v>
      </c>
      <c r="P8" s="14" t="s">
        <v>16</v>
      </c>
      <c r="Q8" s="15"/>
      <c r="R8" s="4"/>
      <c r="S8" s="4"/>
      <c r="T8" s="8"/>
      <c r="U8" s="9"/>
      <c r="V8" s="9"/>
      <c r="W8" s="9" t="s">
        <v>25</v>
      </c>
      <c r="X8" s="9" t="s">
        <v>26</v>
      </c>
      <c r="Y8" s="9" t="s">
        <v>27</v>
      </c>
      <c r="Z8" s="36"/>
      <c r="AA8" s="4"/>
      <c r="AB8" s="4"/>
      <c r="AC8" s="8"/>
      <c r="AD8" s="9" t="s">
        <v>36</v>
      </c>
      <c r="AE8" s="35">
        <f>AE16*AF8</f>
        <v>2000</v>
      </c>
      <c r="AF8" s="35">
        <v>20</v>
      </c>
      <c r="AG8" s="45">
        <v>1</v>
      </c>
      <c r="AH8" s="9"/>
      <c r="AI8" s="36"/>
      <c r="AJ8" s="4"/>
      <c r="AK8" s="4"/>
      <c r="AL8" s="8"/>
      <c r="AM8" s="9" t="s">
        <v>36</v>
      </c>
      <c r="AN8" s="35" t="s">
        <v>83</v>
      </c>
      <c r="AO8" s="35">
        <v>20</v>
      </c>
      <c r="AP8" s="45">
        <v>1</v>
      </c>
      <c r="AQ8" s="9"/>
      <c r="AR8" s="36"/>
      <c r="AS8" s="4"/>
      <c r="AT8" s="4"/>
      <c r="AU8" s="4"/>
      <c r="AV8" s="4"/>
      <c r="AW8" s="8"/>
      <c r="AX8" s="9">
        <f>BA8*(AY8-AZ8)</f>
        <v>50</v>
      </c>
      <c r="AY8" s="9">
        <v>20</v>
      </c>
      <c r="AZ8" s="9">
        <v>15</v>
      </c>
      <c r="BA8" s="9">
        <v>10</v>
      </c>
      <c r="BB8" s="36"/>
      <c r="BC8" s="4"/>
      <c r="BD8" s="4"/>
      <c r="BE8" s="8"/>
      <c r="BF8" s="9">
        <v>1</v>
      </c>
      <c r="BG8" s="35">
        <v>50</v>
      </c>
      <c r="BH8" s="9"/>
      <c r="BI8" s="9"/>
      <c r="BJ8" s="9"/>
      <c r="BK8" s="9"/>
      <c r="BL8" s="9"/>
      <c r="BM8" s="9"/>
      <c r="BN8" s="9"/>
      <c r="BO8" s="9"/>
      <c r="BP8" s="36"/>
      <c r="BQ8" s="4"/>
      <c r="BR8" s="4"/>
      <c r="BS8" s="8"/>
      <c r="BT8" s="9">
        <v>1</v>
      </c>
      <c r="BU8" s="35">
        <v>15</v>
      </c>
      <c r="BV8" s="9"/>
      <c r="BW8" s="9"/>
      <c r="BX8" s="9"/>
      <c r="BY8" s="9"/>
      <c r="BZ8" s="9"/>
      <c r="CA8" s="9"/>
      <c r="CB8" s="9"/>
      <c r="CC8" s="9"/>
      <c r="CD8" s="36"/>
      <c r="CE8" s="4"/>
      <c r="CF8" s="4"/>
      <c r="CG8" s="8"/>
      <c r="CH8" s="9" t="s">
        <v>52</v>
      </c>
      <c r="CI8" s="9" t="s">
        <v>53</v>
      </c>
      <c r="CJ8" s="9" t="s">
        <v>53</v>
      </c>
      <c r="CK8" s="9" t="s">
        <v>53</v>
      </c>
      <c r="CL8" s="9" t="s">
        <v>36</v>
      </c>
      <c r="CM8" s="9"/>
      <c r="CN8" s="9"/>
      <c r="CO8" s="9"/>
      <c r="CP8" s="9"/>
      <c r="CQ8" s="9"/>
      <c r="CR8" s="9"/>
      <c r="CS8" s="9"/>
      <c r="CT8" s="36"/>
      <c r="CU8" s="4"/>
      <c r="CV8" s="4"/>
      <c r="CW8" s="8"/>
      <c r="CX8" s="9" t="s">
        <v>46</v>
      </c>
      <c r="CY8" s="9" t="s">
        <v>54</v>
      </c>
      <c r="CZ8" s="9" t="s">
        <v>55</v>
      </c>
      <c r="DA8" s="9"/>
      <c r="DB8" s="9"/>
      <c r="DC8" s="9"/>
      <c r="DD8" s="9"/>
      <c r="DE8" s="9"/>
      <c r="DF8" s="9"/>
      <c r="DG8" s="36"/>
      <c r="DH8" s="4"/>
      <c r="DI8" s="4"/>
      <c r="DJ8" s="8"/>
      <c r="DK8" s="9" t="s">
        <v>49</v>
      </c>
      <c r="DL8" s="9" t="s">
        <v>56</v>
      </c>
      <c r="DM8" s="9" t="s">
        <v>51</v>
      </c>
      <c r="DN8" s="9" t="s">
        <v>36</v>
      </c>
      <c r="DO8" s="9" t="s">
        <v>57</v>
      </c>
      <c r="DP8" s="9"/>
      <c r="DQ8" s="9"/>
      <c r="DR8" s="9"/>
      <c r="DS8" s="9"/>
      <c r="DT8" s="9"/>
      <c r="DU8" s="9"/>
      <c r="DV8" s="36"/>
      <c r="DW8" s="4"/>
      <c r="DX8" s="4"/>
      <c r="DY8" s="8"/>
      <c r="DZ8" s="9"/>
      <c r="EA8" s="7"/>
      <c r="EB8" s="7"/>
      <c r="EC8" s="7"/>
      <c r="ED8" s="7"/>
      <c r="EE8" s="7"/>
      <c r="EF8" s="7"/>
      <c r="EG8" s="9"/>
      <c r="EH8" s="36"/>
      <c r="EI8" s="4"/>
      <c r="EJ8" s="4"/>
      <c r="EK8" s="8"/>
      <c r="EL8" s="9"/>
      <c r="EM8" s="7"/>
      <c r="EN8" s="7"/>
      <c r="EO8" s="7"/>
      <c r="EP8" s="7"/>
      <c r="EQ8" s="7"/>
      <c r="ER8" s="7"/>
      <c r="ES8" s="9"/>
      <c r="ET8" s="36"/>
      <c r="EU8" s="4"/>
      <c r="EV8" s="4"/>
      <c r="EW8" s="8"/>
      <c r="EX8" s="9"/>
      <c r="EY8" s="9" t="s">
        <v>74</v>
      </c>
      <c r="EZ8" s="9"/>
      <c r="FA8" s="9" t="s">
        <v>75</v>
      </c>
      <c r="FB8" s="9"/>
      <c r="FC8" s="9" t="s">
        <v>76</v>
      </c>
      <c r="FD8" s="36"/>
      <c r="FE8" s="4"/>
      <c r="FF8" s="4"/>
      <c r="FG8" s="4"/>
      <c r="FH8" s="4"/>
      <c r="FI8" s="4"/>
      <c r="FJ8" s="4"/>
      <c r="FK8" s="4"/>
      <c r="FL8" s="4"/>
      <c r="FM8" s="4"/>
    </row>
    <row r="9" spans="1:169" ht="13.15" x14ac:dyDescent="0.4">
      <c r="A9" s="4"/>
      <c r="B9" s="4"/>
      <c r="C9" s="8"/>
      <c r="D9" s="9" t="s">
        <v>5</v>
      </c>
      <c r="E9" s="35"/>
      <c r="F9" s="9"/>
      <c r="G9" s="36"/>
      <c r="H9" s="4"/>
      <c r="I9" s="4"/>
      <c r="J9" s="8"/>
      <c r="K9" s="20" t="s">
        <v>17</v>
      </c>
      <c r="L9" s="21">
        <f>10*SalesLevel</f>
        <v>45100</v>
      </c>
      <c r="N9" s="9">
        <v>0</v>
      </c>
      <c r="O9" s="21">
        <v>0.5</v>
      </c>
      <c r="P9" s="21">
        <f t="shared" ref="P9:P14" si="0">IF(SalesLevel&gt;CDsMade,MIN(1000,(SalesLevel-CDsMade))*UnitCost,0)</f>
        <v>500</v>
      </c>
      <c r="Q9" s="15"/>
      <c r="R9" s="4"/>
      <c r="S9" s="4"/>
      <c r="T9" s="8"/>
      <c r="U9" s="9" t="s">
        <v>28</v>
      </c>
      <c r="V9" s="9"/>
      <c r="W9" s="40">
        <f>SalesLevel*10</f>
        <v>45100</v>
      </c>
      <c r="X9" s="40">
        <v>10</v>
      </c>
      <c r="Y9" s="41">
        <v>1</v>
      </c>
      <c r="Z9" s="36"/>
      <c r="AA9" s="4"/>
      <c r="AB9" s="4"/>
      <c r="AC9" s="8"/>
      <c r="AD9" s="9" t="s">
        <v>29</v>
      </c>
      <c r="AE9" s="35"/>
      <c r="AF9" s="35"/>
      <c r="AG9" s="45"/>
      <c r="AH9" s="9"/>
      <c r="AI9" s="36"/>
      <c r="AJ9" s="4"/>
      <c r="AK9" s="4"/>
      <c r="AL9" s="8"/>
      <c r="AM9" s="9" t="s">
        <v>29</v>
      </c>
      <c r="AN9" s="35"/>
      <c r="AO9" s="35"/>
      <c r="AP9" s="45"/>
      <c r="AQ9" s="9"/>
      <c r="AR9" s="36"/>
      <c r="AS9" s="4"/>
      <c r="AT9" s="4"/>
      <c r="AU9" s="4"/>
      <c r="AV9" s="4"/>
      <c r="AW9" s="8"/>
      <c r="AX9" s="13"/>
      <c r="AY9" s="13"/>
      <c r="AZ9" s="13"/>
      <c r="BA9" s="13"/>
      <c r="BB9" s="36"/>
      <c r="BC9" s="4"/>
      <c r="BD9" s="4"/>
      <c r="BE9" s="8"/>
      <c r="BF9" s="9">
        <v>2</v>
      </c>
      <c r="BG9" s="35">
        <f>$BG$8</f>
        <v>50</v>
      </c>
      <c r="BH9" s="9"/>
      <c r="BI9" s="9"/>
      <c r="BJ9" s="9"/>
      <c r="BK9" s="9"/>
      <c r="BL9" s="9"/>
      <c r="BM9" s="9"/>
      <c r="BN9" s="9"/>
      <c r="BO9" s="9"/>
      <c r="BP9" s="36"/>
      <c r="BQ9" s="4"/>
      <c r="BR9" s="4"/>
      <c r="BS9" s="8"/>
      <c r="BT9" s="9">
        <v>2</v>
      </c>
      <c r="BU9" s="35">
        <f>BT9*$BU$8</f>
        <v>30</v>
      </c>
      <c r="BV9" s="9"/>
      <c r="BW9" s="9"/>
      <c r="BX9" s="9"/>
      <c r="BY9" s="9"/>
      <c r="BZ9" s="9"/>
      <c r="CA9" s="9"/>
      <c r="CB9" s="9"/>
      <c r="CC9" s="9"/>
      <c r="CD9" s="36"/>
      <c r="CE9" s="4"/>
      <c r="CF9" s="4"/>
      <c r="CG9" s="8"/>
      <c r="CH9" s="9">
        <v>1</v>
      </c>
      <c r="CI9" s="35">
        <v>50</v>
      </c>
      <c r="CJ9" s="35">
        <v>15</v>
      </c>
      <c r="CK9" s="35">
        <f t="shared" ref="CK9:CK27" si="1">CI9+CJ9</f>
        <v>65</v>
      </c>
      <c r="CL9" s="35">
        <v>20</v>
      </c>
      <c r="CM9" s="9"/>
      <c r="CN9" s="9"/>
      <c r="CO9" s="9"/>
      <c r="CP9" s="9"/>
      <c r="CQ9" s="9"/>
      <c r="CR9" s="9"/>
      <c r="CS9" s="9"/>
      <c r="CT9" s="36"/>
      <c r="CU9" s="4"/>
      <c r="CV9" s="4"/>
      <c r="CW9" s="8"/>
      <c r="CX9" s="9">
        <v>5</v>
      </c>
      <c r="CY9" s="49">
        <v>0</v>
      </c>
      <c r="CZ9" s="35">
        <f>($CZ$7*CX9)*(1-CY9)</f>
        <v>100</v>
      </c>
      <c r="DA9" s="9"/>
      <c r="DB9" s="9"/>
      <c r="DC9" s="9"/>
      <c r="DD9" s="9"/>
      <c r="DE9" s="9"/>
      <c r="DF9" s="9"/>
      <c r="DG9" s="36"/>
      <c r="DH9" s="4"/>
      <c r="DI9" s="4"/>
      <c r="DJ9" s="8"/>
      <c r="DK9" s="9" t="s">
        <v>52</v>
      </c>
      <c r="DL9" s="9" t="s">
        <v>54</v>
      </c>
      <c r="DM9" s="9" t="s">
        <v>53</v>
      </c>
      <c r="DN9" s="9"/>
      <c r="DO9" s="9" t="s">
        <v>58</v>
      </c>
      <c r="DP9" s="9"/>
      <c r="DQ9" s="9"/>
      <c r="DR9" s="9"/>
      <c r="DS9" s="9"/>
      <c r="DT9" s="9"/>
      <c r="DU9" s="9"/>
      <c r="DV9" s="36"/>
      <c r="DW9" s="4"/>
      <c r="DX9" s="4"/>
      <c r="DY9" s="8"/>
      <c r="DZ9" s="9"/>
      <c r="EA9" s="11" t="s">
        <v>59</v>
      </c>
      <c r="EB9" s="12" t="s">
        <v>60</v>
      </c>
      <c r="EC9" s="11" t="s">
        <v>61</v>
      </c>
      <c r="ED9" s="12" t="s">
        <v>60</v>
      </c>
      <c r="EE9" s="11" t="s">
        <v>62</v>
      </c>
      <c r="EF9" s="12" t="s">
        <v>60</v>
      </c>
      <c r="EG9" s="9"/>
      <c r="EH9" s="36"/>
      <c r="EI9" s="4"/>
      <c r="EJ9" s="4"/>
      <c r="EK9" s="8"/>
      <c r="EL9" s="9"/>
      <c r="EM9" s="11" t="s">
        <v>59</v>
      </c>
      <c r="EN9" s="12" t="s">
        <v>60</v>
      </c>
      <c r="EO9" s="11" t="s">
        <v>61</v>
      </c>
      <c r="EP9" s="12" t="s">
        <v>60</v>
      </c>
      <c r="EQ9" s="11" t="s">
        <v>62</v>
      </c>
      <c r="ER9" s="12" t="s">
        <v>60</v>
      </c>
      <c r="ES9" s="9"/>
      <c r="ET9" s="36"/>
      <c r="EU9" s="4"/>
      <c r="EV9" s="4"/>
      <c r="EW9" s="8"/>
      <c r="EX9" s="9"/>
      <c r="EY9" s="9"/>
      <c r="EZ9" s="9"/>
      <c r="FA9" s="9"/>
      <c r="FB9" s="9"/>
      <c r="FC9" s="9"/>
      <c r="FD9" s="36"/>
      <c r="FE9" s="4"/>
      <c r="FF9" s="4"/>
      <c r="FG9" s="4"/>
      <c r="FH9" s="4"/>
      <c r="FI9" s="4"/>
      <c r="FJ9" s="4"/>
      <c r="FK9" s="4"/>
      <c r="FL9" s="4"/>
      <c r="FM9" s="4"/>
    </row>
    <row r="10" spans="1:169" ht="13.15" thickBot="1" x14ac:dyDescent="0.4">
      <c r="A10" s="4"/>
      <c r="B10" s="4"/>
      <c r="C10" s="8"/>
      <c r="D10" s="13"/>
      <c r="E10" s="35"/>
      <c r="F10" s="9"/>
      <c r="G10" s="36"/>
      <c r="H10" s="4"/>
      <c r="I10" s="4"/>
      <c r="J10" s="8"/>
      <c r="K10" s="9"/>
      <c r="L10" s="21"/>
      <c r="M10" s="21"/>
      <c r="N10" s="9">
        <v>1000</v>
      </c>
      <c r="O10" s="21">
        <v>0.6</v>
      </c>
      <c r="P10" s="21">
        <f t="shared" si="0"/>
        <v>600</v>
      </c>
      <c r="Q10" s="15"/>
      <c r="R10" s="4"/>
      <c r="S10" s="4"/>
      <c r="T10" s="8"/>
      <c r="U10" s="9"/>
      <c r="V10" s="9"/>
      <c r="W10" s="42"/>
      <c r="X10" s="40"/>
      <c r="Y10" s="41"/>
      <c r="Z10" s="36"/>
      <c r="AA10" s="4"/>
      <c r="AB10" s="4"/>
      <c r="AC10" s="8"/>
      <c r="AD10" s="13" t="s">
        <v>37</v>
      </c>
      <c r="AE10" s="35">
        <f>$AE$16*AF10</f>
        <v>400</v>
      </c>
      <c r="AF10" s="35">
        <v>4</v>
      </c>
      <c r="AG10" s="45">
        <f>AF10/$AF$8</f>
        <v>0.2</v>
      </c>
      <c r="AH10" s="9"/>
      <c r="AI10" s="36"/>
      <c r="AJ10" s="4"/>
      <c r="AK10" s="4"/>
      <c r="AL10" s="8"/>
      <c r="AM10" s="13" t="s">
        <v>41</v>
      </c>
      <c r="AN10" s="35" t="s">
        <v>84</v>
      </c>
      <c r="AO10" s="35">
        <v>4</v>
      </c>
      <c r="AP10" s="45" t="s">
        <v>89</v>
      </c>
      <c r="AQ10" s="9"/>
      <c r="AR10" s="36"/>
      <c r="AS10" s="4"/>
      <c r="AT10" s="4"/>
      <c r="AU10" s="4"/>
      <c r="AV10" s="4"/>
      <c r="AW10" s="8"/>
      <c r="AX10" s="9"/>
      <c r="AY10" s="9"/>
      <c r="AZ10" s="9"/>
      <c r="BA10" s="9"/>
      <c r="BB10" s="36"/>
      <c r="BC10" s="4"/>
      <c r="BD10" s="4"/>
      <c r="BE10" s="8"/>
      <c r="BF10" s="9">
        <v>3</v>
      </c>
      <c r="BG10" s="35">
        <f t="shared" ref="BG10:BG17" si="2">$BG$8</f>
        <v>50</v>
      </c>
      <c r="BH10" s="9"/>
      <c r="BI10" s="9"/>
      <c r="BJ10" s="9"/>
      <c r="BK10" s="9"/>
      <c r="BL10" s="9"/>
      <c r="BM10" s="9"/>
      <c r="BN10" s="9"/>
      <c r="BO10" s="9"/>
      <c r="BP10" s="36"/>
      <c r="BQ10" s="4"/>
      <c r="BR10" s="4"/>
      <c r="BS10" s="8"/>
      <c r="BT10" s="9">
        <v>3</v>
      </c>
      <c r="BU10" s="35">
        <f t="shared" ref="BU10:BU17" si="3">BT10*$BU$8</f>
        <v>45</v>
      </c>
      <c r="BV10" s="9"/>
      <c r="BW10" s="9"/>
      <c r="BX10" s="9"/>
      <c r="BY10" s="9"/>
      <c r="BZ10" s="9"/>
      <c r="CA10" s="9"/>
      <c r="CB10" s="9"/>
      <c r="CC10" s="9"/>
      <c r="CD10" s="36"/>
      <c r="CE10" s="4"/>
      <c r="CF10" s="4"/>
      <c r="CG10" s="8"/>
      <c r="CH10" s="9">
        <v>2</v>
      </c>
      <c r="CI10" s="35">
        <f>$CI$9</f>
        <v>50</v>
      </c>
      <c r="CJ10" s="35">
        <f>CH10*$CJ$9</f>
        <v>30</v>
      </c>
      <c r="CK10" s="35">
        <f t="shared" si="1"/>
        <v>80</v>
      </c>
      <c r="CL10" s="35">
        <f>CH10*$CL$9</f>
        <v>40</v>
      </c>
      <c r="CM10" s="9"/>
      <c r="CN10" s="9"/>
      <c r="CO10" s="9"/>
      <c r="CP10" s="9"/>
      <c r="CQ10" s="9"/>
      <c r="CR10" s="9"/>
      <c r="CS10" s="9"/>
      <c r="CT10" s="36"/>
      <c r="CU10" s="4"/>
      <c r="CV10" s="4"/>
      <c r="CW10" s="8"/>
      <c r="CX10" s="9">
        <v>10</v>
      </c>
      <c r="CY10" s="49">
        <v>2.5000000000000001E-2</v>
      </c>
      <c r="CZ10" s="35">
        <f t="shared" ref="CZ10:CZ26" si="4">($CZ$7*CX10)*(1-CY10)</f>
        <v>195</v>
      </c>
      <c r="DA10" s="9"/>
      <c r="DB10" s="9"/>
      <c r="DC10" s="9"/>
      <c r="DD10" s="9"/>
      <c r="DE10" s="9"/>
      <c r="DF10" s="9"/>
      <c r="DG10" s="36"/>
      <c r="DH10" s="4"/>
      <c r="DI10" s="4"/>
      <c r="DJ10" s="8"/>
      <c r="DK10" s="9">
        <v>5</v>
      </c>
      <c r="DL10" s="49">
        <v>0</v>
      </c>
      <c r="DM10" s="35">
        <f t="shared" ref="DM10:DM27" si="5">(15*DK10)*(1-DL10)</f>
        <v>75</v>
      </c>
      <c r="DN10" s="35">
        <f>$DM$7*DK10</f>
        <v>100</v>
      </c>
      <c r="DO10" s="35">
        <f t="shared" ref="DO10:DO27" si="6">DN10-DM10</f>
        <v>25</v>
      </c>
      <c r="DP10" s="9"/>
      <c r="DQ10" s="9"/>
      <c r="DR10" s="9"/>
      <c r="DS10" s="9"/>
      <c r="DT10" s="9"/>
      <c r="DU10" s="9"/>
      <c r="DV10" s="36"/>
      <c r="DW10" s="4"/>
      <c r="DX10" s="4"/>
      <c r="DY10" s="8"/>
      <c r="DZ10" s="9" t="s">
        <v>63</v>
      </c>
      <c r="EA10" s="16"/>
      <c r="EB10" s="17" t="s">
        <v>64</v>
      </c>
      <c r="EC10" s="16"/>
      <c r="ED10" s="17" t="s">
        <v>64</v>
      </c>
      <c r="EE10" s="16"/>
      <c r="EF10" s="17" t="s">
        <v>64</v>
      </c>
      <c r="EG10" s="9" t="s">
        <v>25</v>
      </c>
      <c r="EH10" s="36"/>
      <c r="EI10" s="4"/>
      <c r="EJ10" s="4"/>
      <c r="EK10" s="8"/>
      <c r="EL10" s="9" t="s">
        <v>63</v>
      </c>
      <c r="EM10" s="16"/>
      <c r="EN10" s="17" t="s">
        <v>64</v>
      </c>
      <c r="EO10" s="16"/>
      <c r="EP10" s="17" t="s">
        <v>64</v>
      </c>
      <c r="EQ10" s="16"/>
      <c r="ER10" s="17" t="s">
        <v>64</v>
      </c>
      <c r="ES10" s="9" t="s">
        <v>25</v>
      </c>
      <c r="ET10" s="36"/>
      <c r="EU10" s="4"/>
      <c r="EV10" s="4"/>
      <c r="EW10" s="8"/>
      <c r="EX10" s="9" t="s">
        <v>36</v>
      </c>
      <c r="EY10" s="35">
        <v>1100</v>
      </c>
      <c r="EZ10" s="35"/>
      <c r="FA10" s="35">
        <v>3500</v>
      </c>
      <c r="FB10" s="35"/>
      <c r="FC10" s="35">
        <v>5000</v>
      </c>
      <c r="FD10" s="36"/>
      <c r="FE10" s="4"/>
      <c r="FF10" s="4"/>
      <c r="FG10" s="4"/>
      <c r="FH10" s="4"/>
      <c r="FI10" s="4"/>
      <c r="FJ10" s="4"/>
      <c r="FK10" s="4"/>
      <c r="FL10" s="4"/>
      <c r="FM10" s="4"/>
    </row>
    <row r="11" spans="1:169" x14ac:dyDescent="0.35">
      <c r="A11" s="4"/>
      <c r="B11" s="4"/>
      <c r="C11" s="8"/>
      <c r="D11" s="13" t="s">
        <v>6</v>
      </c>
      <c r="E11" s="35">
        <f>1000*0.5</f>
        <v>500</v>
      </c>
      <c r="F11" s="9"/>
      <c r="G11" s="36"/>
      <c r="H11" s="4"/>
      <c r="I11" s="4"/>
      <c r="J11" s="8"/>
      <c r="K11" s="9" t="s">
        <v>18</v>
      </c>
      <c r="L11" s="21"/>
      <c r="M11" s="21"/>
      <c r="N11" s="9">
        <v>2000</v>
      </c>
      <c r="O11" s="21">
        <v>0.7</v>
      </c>
      <c r="P11" s="21">
        <f t="shared" si="0"/>
        <v>700</v>
      </c>
      <c r="Q11" s="15"/>
      <c r="R11" s="4"/>
      <c r="S11" s="4"/>
      <c r="T11" s="8"/>
      <c r="U11" s="9" t="s">
        <v>29</v>
      </c>
      <c r="V11" s="9"/>
      <c r="W11" s="9"/>
      <c r="X11" s="9"/>
      <c r="Y11" s="41"/>
      <c r="Z11" s="36"/>
      <c r="AA11" s="24"/>
      <c r="AB11" s="4"/>
      <c r="AC11" s="8"/>
      <c r="AD11" s="13" t="s">
        <v>38</v>
      </c>
      <c r="AE11" s="35">
        <f>$AE$16*AF11</f>
        <v>900</v>
      </c>
      <c r="AF11" s="35">
        <v>9</v>
      </c>
      <c r="AG11" s="45">
        <f>AF11/$AF$8</f>
        <v>0.45</v>
      </c>
      <c r="AH11" s="9"/>
      <c r="AI11" s="36"/>
      <c r="AJ11" s="4"/>
      <c r="AK11" s="4"/>
      <c r="AL11" s="8"/>
      <c r="AM11" s="13" t="s">
        <v>38</v>
      </c>
      <c r="AN11" s="35" t="s">
        <v>85</v>
      </c>
      <c r="AO11" s="35">
        <v>9</v>
      </c>
      <c r="AP11" s="45" t="s">
        <v>90</v>
      </c>
      <c r="AQ11" s="9"/>
      <c r="AR11" s="36"/>
      <c r="AS11" s="4"/>
      <c r="AT11" s="4"/>
      <c r="AU11" s="4"/>
      <c r="AV11" s="4"/>
      <c r="AW11" s="8"/>
      <c r="AX11" s="9"/>
      <c r="AY11" s="9"/>
      <c r="AZ11" s="9"/>
      <c r="BA11" s="9"/>
      <c r="BB11" s="36"/>
      <c r="BC11" s="4"/>
      <c r="BD11" s="4"/>
      <c r="BE11" s="8"/>
      <c r="BF11" s="9">
        <v>4</v>
      </c>
      <c r="BG11" s="35">
        <f t="shared" si="2"/>
        <v>50</v>
      </c>
      <c r="BH11" s="9"/>
      <c r="BI11" s="9"/>
      <c r="BJ11" s="9"/>
      <c r="BK11" s="9"/>
      <c r="BL11" s="9"/>
      <c r="BM11" s="9"/>
      <c r="BN11" s="9"/>
      <c r="BO11" s="9"/>
      <c r="BP11" s="36"/>
      <c r="BQ11" s="4"/>
      <c r="BR11" s="4"/>
      <c r="BS11" s="8"/>
      <c r="BT11" s="9">
        <v>4</v>
      </c>
      <c r="BU11" s="35">
        <f t="shared" si="3"/>
        <v>60</v>
      </c>
      <c r="BV11" s="9"/>
      <c r="BW11" s="9"/>
      <c r="BX11" s="9"/>
      <c r="BY11" s="9"/>
      <c r="BZ11" s="9"/>
      <c r="CA11" s="9"/>
      <c r="CB11" s="9"/>
      <c r="CC11" s="9"/>
      <c r="CD11" s="36"/>
      <c r="CE11" s="4"/>
      <c r="CF11" s="4"/>
      <c r="CG11" s="8"/>
      <c r="CH11" s="9">
        <v>3</v>
      </c>
      <c r="CI11" s="35">
        <f t="shared" ref="CI11:CI27" si="7">$CI$9</f>
        <v>50</v>
      </c>
      <c r="CJ11" s="35">
        <f t="shared" ref="CJ11:CJ27" si="8">CH11*$CJ$9</f>
        <v>45</v>
      </c>
      <c r="CK11" s="35">
        <f t="shared" si="1"/>
        <v>95</v>
      </c>
      <c r="CL11" s="35">
        <f t="shared" ref="CL11:CL27" si="9">CH11*$CL$9</f>
        <v>60</v>
      </c>
      <c r="CM11" s="9"/>
      <c r="CN11" s="9"/>
      <c r="CO11" s="9"/>
      <c r="CP11" s="9"/>
      <c r="CQ11" s="9"/>
      <c r="CR11" s="9"/>
      <c r="CS11" s="9"/>
      <c r="CT11" s="36"/>
      <c r="CU11" s="4"/>
      <c r="CV11" s="4"/>
      <c r="CW11" s="8"/>
      <c r="CX11" s="9">
        <v>15</v>
      </c>
      <c r="CY11" s="49">
        <v>0.05</v>
      </c>
      <c r="CZ11" s="35">
        <f t="shared" si="4"/>
        <v>285</v>
      </c>
      <c r="DA11" s="9"/>
      <c r="DB11" s="9"/>
      <c r="DC11" s="9"/>
      <c r="DD11" s="9"/>
      <c r="DE11" s="9"/>
      <c r="DF11" s="9"/>
      <c r="DG11" s="36"/>
      <c r="DH11" s="4"/>
      <c r="DI11" s="4"/>
      <c r="DJ11" s="8"/>
      <c r="DK11" s="9">
        <v>10</v>
      </c>
      <c r="DL11" s="49">
        <v>2.5000000000000001E-2</v>
      </c>
      <c r="DM11" s="35">
        <f t="shared" si="5"/>
        <v>146.25</v>
      </c>
      <c r="DN11" s="35">
        <f t="shared" ref="DN11:DN27" si="10">$DM$7*DK11</f>
        <v>200</v>
      </c>
      <c r="DO11" s="35">
        <f t="shared" si="6"/>
        <v>53.75</v>
      </c>
      <c r="DP11" s="9"/>
      <c r="DQ11" s="9"/>
      <c r="DR11" s="9"/>
      <c r="DS11" s="9"/>
      <c r="DT11" s="9"/>
      <c r="DU11" s="9"/>
      <c r="DV11" s="36"/>
      <c r="DW11" s="4"/>
      <c r="DX11" s="4"/>
      <c r="DY11" s="8"/>
      <c r="DZ11" s="9" t="s">
        <v>65</v>
      </c>
      <c r="EA11" s="18">
        <v>10000</v>
      </c>
      <c r="EB11" s="19"/>
      <c r="EC11" s="18">
        <v>15000</v>
      </c>
      <c r="ED11" s="19"/>
      <c r="EE11" s="18">
        <v>20000</v>
      </c>
      <c r="EF11" s="12"/>
      <c r="EG11" s="9"/>
      <c r="EH11" s="36"/>
      <c r="EI11" s="4"/>
      <c r="EJ11" s="4"/>
      <c r="EK11" s="8"/>
      <c r="EL11" s="9" t="s">
        <v>65</v>
      </c>
      <c r="EM11" s="18">
        <v>15000</v>
      </c>
      <c r="EN11" s="12"/>
      <c r="EO11" s="18">
        <v>20000</v>
      </c>
      <c r="EP11" s="12"/>
      <c r="EQ11" s="18">
        <v>5000</v>
      </c>
      <c r="ER11" s="12"/>
      <c r="ES11" s="9"/>
      <c r="ET11" s="36"/>
      <c r="EU11" s="4"/>
      <c r="EV11" s="4"/>
      <c r="EW11" s="8"/>
      <c r="EX11" s="9"/>
      <c r="EY11" s="35"/>
      <c r="EZ11" s="35"/>
      <c r="FA11" s="35"/>
      <c r="FB11" s="35"/>
      <c r="FC11" s="35"/>
      <c r="FD11" s="36"/>
      <c r="FE11" s="4"/>
      <c r="FF11" s="4"/>
      <c r="FG11" s="4"/>
      <c r="FH11" s="4"/>
      <c r="FI11" s="4"/>
      <c r="FJ11" s="4"/>
      <c r="FK11" s="4"/>
      <c r="FL11" s="4"/>
      <c r="FM11" s="4"/>
    </row>
    <row r="12" spans="1:169" x14ac:dyDescent="0.35">
      <c r="A12" s="4"/>
      <c r="B12" s="4"/>
      <c r="C12" s="8"/>
      <c r="D12" s="13"/>
      <c r="E12" s="35"/>
      <c r="F12" s="9"/>
      <c r="G12" s="36"/>
      <c r="H12" s="4"/>
      <c r="I12" s="4"/>
      <c r="J12" s="8"/>
      <c r="K12" s="13"/>
      <c r="L12" s="21"/>
      <c r="M12" s="21"/>
      <c r="N12" s="9">
        <v>3000</v>
      </c>
      <c r="O12" s="21">
        <v>0.8</v>
      </c>
      <c r="P12" s="21">
        <f t="shared" si="0"/>
        <v>800</v>
      </c>
      <c r="Q12" s="15"/>
      <c r="R12" s="4"/>
      <c r="S12" s="4"/>
      <c r="T12" s="8"/>
      <c r="U12" s="13" t="s">
        <v>30</v>
      </c>
      <c r="V12" s="9"/>
      <c r="W12" s="40">
        <f>SalesLevel*X12</f>
        <v>3059</v>
      </c>
      <c r="X12" s="40">
        <f>SUM('JaxWorks Break-Even Analysis'!P9:P14)/SalesLevel</f>
        <v>0.67827050997782701</v>
      </c>
      <c r="Y12" s="41">
        <f>X12/$X$9</f>
        <v>6.7827050997782704E-2</v>
      </c>
      <c r="Z12" s="36"/>
      <c r="AA12" s="24"/>
      <c r="AB12" s="4"/>
      <c r="AC12" s="8"/>
      <c r="AD12" s="13" t="s">
        <v>39</v>
      </c>
      <c r="AE12" s="35">
        <f>$AE$16*AF12</f>
        <v>300</v>
      </c>
      <c r="AF12" s="35">
        <v>3</v>
      </c>
      <c r="AG12" s="45">
        <f>AF12/$AF$8</f>
        <v>0.15</v>
      </c>
      <c r="AH12" s="9"/>
      <c r="AI12" s="36"/>
      <c r="AJ12" s="4"/>
      <c r="AK12" s="4"/>
      <c r="AL12" s="8"/>
      <c r="AM12" s="13" t="s">
        <v>39</v>
      </c>
      <c r="AN12" s="35" t="s">
        <v>86</v>
      </c>
      <c r="AO12" s="35">
        <v>3</v>
      </c>
      <c r="AP12" s="45" t="s">
        <v>91</v>
      </c>
      <c r="AQ12" s="9"/>
      <c r="AR12" s="36"/>
      <c r="AS12" s="4"/>
      <c r="AT12" s="4"/>
      <c r="AU12" s="4"/>
      <c r="AV12" s="4"/>
      <c r="AW12" s="8"/>
      <c r="AX12" s="9"/>
      <c r="AY12" s="9"/>
      <c r="AZ12" s="9"/>
      <c r="BA12" s="9"/>
      <c r="BB12" s="36"/>
      <c r="BC12" s="4"/>
      <c r="BD12" s="4"/>
      <c r="BE12" s="8"/>
      <c r="BF12" s="9">
        <v>5</v>
      </c>
      <c r="BG12" s="35">
        <f t="shared" si="2"/>
        <v>50</v>
      </c>
      <c r="BH12" s="9"/>
      <c r="BI12" s="9"/>
      <c r="BJ12" s="9"/>
      <c r="BK12" s="9"/>
      <c r="BL12" s="9"/>
      <c r="BM12" s="9"/>
      <c r="BN12" s="9"/>
      <c r="BO12" s="9"/>
      <c r="BP12" s="36"/>
      <c r="BQ12" s="4"/>
      <c r="BR12" s="4"/>
      <c r="BS12" s="8"/>
      <c r="BT12" s="9">
        <v>5</v>
      </c>
      <c r="BU12" s="35">
        <f t="shared" si="3"/>
        <v>75</v>
      </c>
      <c r="BV12" s="9"/>
      <c r="BW12" s="9"/>
      <c r="BX12" s="9"/>
      <c r="BY12" s="9"/>
      <c r="BZ12" s="9"/>
      <c r="CA12" s="9"/>
      <c r="CB12" s="9"/>
      <c r="CC12" s="9"/>
      <c r="CD12" s="36"/>
      <c r="CE12" s="4"/>
      <c r="CF12" s="4"/>
      <c r="CG12" s="8"/>
      <c r="CH12" s="9">
        <v>4</v>
      </c>
      <c r="CI12" s="35">
        <f t="shared" si="7"/>
        <v>50</v>
      </c>
      <c r="CJ12" s="35">
        <f t="shared" si="8"/>
        <v>60</v>
      </c>
      <c r="CK12" s="35">
        <f t="shared" si="1"/>
        <v>110</v>
      </c>
      <c r="CL12" s="35">
        <f t="shared" si="9"/>
        <v>80</v>
      </c>
      <c r="CM12" s="9"/>
      <c r="CN12" s="9"/>
      <c r="CO12" s="9"/>
      <c r="CP12" s="9"/>
      <c r="CQ12" s="9"/>
      <c r="CR12" s="9"/>
      <c r="CS12" s="9"/>
      <c r="CT12" s="36"/>
      <c r="CU12" s="4"/>
      <c r="CV12" s="4"/>
      <c r="CW12" s="8"/>
      <c r="CX12" s="9">
        <v>20</v>
      </c>
      <c r="CY12" s="49">
        <v>7.4999999999999997E-2</v>
      </c>
      <c r="CZ12" s="35">
        <f t="shared" si="4"/>
        <v>370</v>
      </c>
      <c r="DA12" s="9"/>
      <c r="DB12" s="9"/>
      <c r="DC12" s="9"/>
      <c r="DD12" s="9"/>
      <c r="DE12" s="9"/>
      <c r="DF12" s="9"/>
      <c r="DG12" s="36"/>
      <c r="DH12" s="4"/>
      <c r="DI12" s="4"/>
      <c r="DJ12" s="8"/>
      <c r="DK12" s="9">
        <v>15</v>
      </c>
      <c r="DL12" s="49">
        <v>0.05</v>
      </c>
      <c r="DM12" s="35">
        <f t="shared" si="5"/>
        <v>213.75</v>
      </c>
      <c r="DN12" s="35">
        <f t="shared" si="10"/>
        <v>300</v>
      </c>
      <c r="DO12" s="35">
        <f t="shared" si="6"/>
        <v>86.25</v>
      </c>
      <c r="DP12" s="9"/>
      <c r="DQ12" s="9"/>
      <c r="DR12" s="9"/>
      <c r="DS12" s="9"/>
      <c r="DT12" s="9"/>
      <c r="DU12" s="9"/>
      <c r="DV12" s="36"/>
      <c r="DW12" s="4"/>
      <c r="DX12" s="4"/>
      <c r="DY12" s="8"/>
      <c r="DZ12" s="9" t="s">
        <v>66</v>
      </c>
      <c r="EA12" s="22">
        <f>EA11*EB12</f>
        <v>74000</v>
      </c>
      <c r="EB12" s="23">
        <v>7.4</v>
      </c>
      <c r="EC12" s="22">
        <f>EC11*ED12</f>
        <v>94050</v>
      </c>
      <c r="ED12" s="23">
        <v>6.27</v>
      </c>
      <c r="EE12" s="22">
        <f>EE11*EF12</f>
        <v>102600</v>
      </c>
      <c r="EF12" s="23">
        <v>5.13</v>
      </c>
      <c r="EG12" s="35">
        <f>EA12+EC12+EE12</f>
        <v>270650</v>
      </c>
      <c r="EH12" s="36"/>
      <c r="EI12" s="4"/>
      <c r="EJ12" s="4"/>
      <c r="EK12" s="8"/>
      <c r="EL12" s="9" t="s">
        <v>66</v>
      </c>
      <c r="EM12" s="22">
        <f>EM11*EN12</f>
        <v>111000</v>
      </c>
      <c r="EN12" s="23">
        <v>7.4</v>
      </c>
      <c r="EO12" s="22">
        <f>EO11*EP12</f>
        <v>125399.99999999999</v>
      </c>
      <c r="EP12" s="23">
        <v>6.27</v>
      </c>
      <c r="EQ12" s="22">
        <f>EQ11*ER12</f>
        <v>25650</v>
      </c>
      <c r="ER12" s="23">
        <v>5.13</v>
      </c>
      <c r="ES12" s="35">
        <f>EM12+EO12+EQ12</f>
        <v>262050</v>
      </c>
      <c r="ET12" s="36"/>
      <c r="EU12" s="4"/>
      <c r="EV12" s="4"/>
      <c r="EW12" s="8"/>
      <c r="EX12" s="9" t="s">
        <v>67</v>
      </c>
      <c r="EY12" s="35">
        <v>690</v>
      </c>
      <c r="EZ12" s="35"/>
      <c r="FA12" s="35">
        <v>2000</v>
      </c>
      <c r="FB12" s="35"/>
      <c r="FC12" s="35">
        <v>3750</v>
      </c>
      <c r="FD12" s="36"/>
      <c r="FE12" s="4"/>
      <c r="FF12" s="4"/>
      <c r="FG12" s="4"/>
      <c r="FH12" s="4"/>
      <c r="FI12" s="4"/>
      <c r="FJ12" s="4"/>
      <c r="FK12" s="4"/>
      <c r="FL12" s="4"/>
      <c r="FM12" s="4"/>
    </row>
    <row r="13" spans="1:169" x14ac:dyDescent="0.35">
      <c r="A13" s="4"/>
      <c r="B13" s="4"/>
      <c r="C13" s="8"/>
      <c r="D13" s="13" t="s">
        <v>7</v>
      </c>
      <c r="E13" s="35">
        <f>1000*5</f>
        <v>5000</v>
      </c>
      <c r="F13" s="9"/>
      <c r="G13" s="36"/>
      <c r="H13" s="4"/>
      <c r="I13" s="4"/>
      <c r="J13" s="8"/>
      <c r="K13" s="13" t="s">
        <v>19</v>
      </c>
      <c r="L13" s="21">
        <f>SUM(P9:P14)</f>
        <v>3059</v>
      </c>
      <c r="M13" s="21"/>
      <c r="N13" s="9">
        <v>4000</v>
      </c>
      <c r="O13" s="21">
        <v>0.9</v>
      </c>
      <c r="P13" s="21">
        <f t="shared" si="0"/>
        <v>459</v>
      </c>
      <c r="Q13" s="15"/>
      <c r="R13" s="4"/>
      <c r="S13" s="4"/>
      <c r="T13" s="8"/>
      <c r="U13" s="13" t="s">
        <v>31</v>
      </c>
      <c r="V13" s="9"/>
      <c r="W13" s="40">
        <f>SalesLevel*X13</f>
        <v>22550</v>
      </c>
      <c r="X13" s="40">
        <v>5</v>
      </c>
      <c r="Y13" s="41">
        <f>X13/$X$9</f>
        <v>0.5</v>
      </c>
      <c r="Z13" s="36"/>
      <c r="AA13" s="24"/>
      <c r="AB13" s="4"/>
      <c r="AC13" s="8"/>
      <c r="AD13" s="9" t="s">
        <v>10</v>
      </c>
      <c r="AE13" s="35">
        <f>AE8-SUM(AE10:AE12)</f>
        <v>400</v>
      </c>
      <c r="AF13" s="35">
        <f>AF8-SUM(AF10:AF12)</f>
        <v>4</v>
      </c>
      <c r="AG13" s="45">
        <f>AF13/$AF$8</f>
        <v>0.2</v>
      </c>
      <c r="AH13" s="9"/>
      <c r="AI13" s="36"/>
      <c r="AJ13" s="4"/>
      <c r="AK13" s="4"/>
      <c r="AL13" s="8"/>
      <c r="AM13" s="9" t="s">
        <v>10</v>
      </c>
      <c r="AN13" s="35" t="s">
        <v>87</v>
      </c>
      <c r="AO13" s="35" t="s">
        <v>88</v>
      </c>
      <c r="AP13" s="45" t="s">
        <v>92</v>
      </c>
      <c r="AQ13" s="9"/>
      <c r="AR13" s="36"/>
      <c r="AS13" s="4"/>
      <c r="AT13" s="4"/>
      <c r="AU13" s="4"/>
      <c r="AV13" s="4"/>
      <c r="AW13" s="8"/>
      <c r="AX13" s="9"/>
      <c r="AY13" s="9"/>
      <c r="AZ13" s="9"/>
      <c r="BA13" s="9"/>
      <c r="BB13" s="36"/>
      <c r="BC13" s="4"/>
      <c r="BD13" s="4"/>
      <c r="BE13" s="8"/>
      <c r="BF13" s="9">
        <v>6</v>
      </c>
      <c r="BG13" s="35">
        <f t="shared" si="2"/>
        <v>50</v>
      </c>
      <c r="BH13" s="9"/>
      <c r="BI13" s="9"/>
      <c r="BJ13" s="9"/>
      <c r="BK13" s="9"/>
      <c r="BL13" s="9"/>
      <c r="BM13" s="9"/>
      <c r="BN13" s="9"/>
      <c r="BO13" s="9"/>
      <c r="BP13" s="36"/>
      <c r="BQ13" s="4"/>
      <c r="BR13" s="4"/>
      <c r="BS13" s="8"/>
      <c r="BT13" s="9">
        <v>6</v>
      </c>
      <c r="BU13" s="35">
        <f t="shared" si="3"/>
        <v>90</v>
      </c>
      <c r="BV13" s="9"/>
      <c r="BW13" s="9"/>
      <c r="BX13" s="9"/>
      <c r="BY13" s="9"/>
      <c r="BZ13" s="9"/>
      <c r="CA13" s="9"/>
      <c r="CB13" s="9"/>
      <c r="CC13" s="9"/>
      <c r="CD13" s="36"/>
      <c r="CE13" s="4"/>
      <c r="CF13" s="4"/>
      <c r="CG13" s="8"/>
      <c r="CH13" s="9">
        <v>5</v>
      </c>
      <c r="CI13" s="35">
        <f t="shared" si="7"/>
        <v>50</v>
      </c>
      <c r="CJ13" s="35">
        <f t="shared" si="8"/>
        <v>75</v>
      </c>
      <c r="CK13" s="35">
        <f t="shared" si="1"/>
        <v>125</v>
      </c>
      <c r="CL13" s="35">
        <f t="shared" si="9"/>
        <v>100</v>
      </c>
      <c r="CM13" s="9"/>
      <c r="CN13" s="9"/>
      <c r="CO13" s="9"/>
      <c r="CP13" s="9"/>
      <c r="CQ13" s="9"/>
      <c r="CR13" s="9"/>
      <c r="CS13" s="9"/>
      <c r="CT13" s="36"/>
      <c r="CU13" s="4"/>
      <c r="CV13" s="4"/>
      <c r="CW13" s="8"/>
      <c r="CX13" s="9">
        <v>25</v>
      </c>
      <c r="CY13" s="49">
        <v>0.1</v>
      </c>
      <c r="CZ13" s="35">
        <f t="shared" si="4"/>
        <v>450</v>
      </c>
      <c r="DA13" s="9"/>
      <c r="DB13" s="9"/>
      <c r="DC13" s="9"/>
      <c r="DD13" s="9"/>
      <c r="DE13" s="9"/>
      <c r="DF13" s="9"/>
      <c r="DG13" s="36"/>
      <c r="DH13" s="4"/>
      <c r="DI13" s="4"/>
      <c r="DJ13" s="8"/>
      <c r="DK13" s="9">
        <v>20</v>
      </c>
      <c r="DL13" s="49">
        <v>7.4999999999999997E-2</v>
      </c>
      <c r="DM13" s="35">
        <f t="shared" si="5"/>
        <v>277.5</v>
      </c>
      <c r="DN13" s="35">
        <f t="shared" si="10"/>
        <v>400</v>
      </c>
      <c r="DO13" s="35">
        <f t="shared" si="6"/>
        <v>122.5</v>
      </c>
      <c r="DP13" s="9"/>
      <c r="DQ13" s="9"/>
      <c r="DR13" s="9"/>
      <c r="DS13" s="9"/>
      <c r="DT13" s="9"/>
      <c r="DU13" s="9"/>
      <c r="DV13" s="36"/>
      <c r="DW13" s="4"/>
      <c r="DX13" s="4"/>
      <c r="DY13" s="8"/>
      <c r="DZ13" s="9"/>
      <c r="EA13" s="11"/>
      <c r="EB13" s="12"/>
      <c r="EC13" s="11"/>
      <c r="ED13" s="12"/>
      <c r="EE13" s="11"/>
      <c r="EF13" s="12"/>
      <c r="EG13" s="9"/>
      <c r="EH13" s="36"/>
      <c r="EI13" s="4"/>
      <c r="EJ13" s="4"/>
      <c r="EK13" s="8"/>
      <c r="EL13" s="9"/>
      <c r="EM13" s="11"/>
      <c r="EN13" s="12"/>
      <c r="EO13" s="11"/>
      <c r="EP13" s="12"/>
      <c r="EQ13" s="11"/>
      <c r="ER13" s="12"/>
      <c r="ES13" s="9"/>
      <c r="ET13" s="36"/>
      <c r="EU13" s="4"/>
      <c r="EV13" s="4"/>
      <c r="EW13" s="8"/>
      <c r="EX13" s="9"/>
      <c r="EY13" s="35"/>
      <c r="EZ13" s="35"/>
      <c r="FA13" s="35"/>
      <c r="FB13" s="35"/>
      <c r="FC13" s="35"/>
      <c r="FD13" s="36"/>
      <c r="FE13" s="4"/>
      <c r="FF13" s="4"/>
      <c r="FG13" s="4"/>
      <c r="FH13" s="4"/>
      <c r="FI13" s="4"/>
      <c r="FJ13" s="4"/>
      <c r="FK13" s="4"/>
      <c r="FL13" s="4"/>
      <c r="FM13" s="4"/>
    </row>
    <row r="14" spans="1:169" x14ac:dyDescent="0.35">
      <c r="A14" s="4"/>
      <c r="B14" s="4"/>
      <c r="C14" s="8"/>
      <c r="D14" s="13"/>
      <c r="E14" s="35"/>
      <c r="F14" s="9"/>
      <c r="G14" s="36"/>
      <c r="H14" s="4"/>
      <c r="I14" s="4"/>
      <c r="J14" s="8"/>
      <c r="K14" s="13"/>
      <c r="L14" s="21"/>
      <c r="M14" s="21"/>
      <c r="N14" s="9">
        <v>5000</v>
      </c>
      <c r="O14" s="21">
        <v>1</v>
      </c>
      <c r="P14" s="21">
        <f t="shared" si="0"/>
        <v>0</v>
      </c>
      <c r="Q14" s="15"/>
      <c r="R14" s="4"/>
      <c r="S14" s="4"/>
      <c r="T14" s="8"/>
      <c r="U14" s="13" t="s">
        <v>32</v>
      </c>
      <c r="V14" s="9"/>
      <c r="W14" s="40">
        <f>SalesLevel*X14</f>
        <v>4510</v>
      </c>
      <c r="X14" s="40">
        <v>1</v>
      </c>
      <c r="Y14" s="41">
        <f>X14/$X$9</f>
        <v>0.1</v>
      </c>
      <c r="Z14" s="36"/>
      <c r="AA14" s="24"/>
      <c r="AB14" s="4"/>
      <c r="AC14" s="8"/>
      <c r="AD14" s="9"/>
      <c r="AE14" s="9"/>
      <c r="AF14" s="9"/>
      <c r="AG14" s="45"/>
      <c r="AH14" s="9"/>
      <c r="AI14" s="36"/>
      <c r="AJ14" s="4"/>
      <c r="AK14" s="4"/>
      <c r="AL14" s="8"/>
      <c r="AM14" s="9"/>
      <c r="AN14" s="9"/>
      <c r="AO14" s="9"/>
      <c r="AP14" s="45"/>
      <c r="AQ14" s="9"/>
      <c r="AR14" s="36"/>
      <c r="AS14" s="4"/>
      <c r="AT14" s="4"/>
      <c r="AU14" s="4"/>
      <c r="AV14" s="4"/>
      <c r="AW14" s="8"/>
      <c r="AX14" s="9"/>
      <c r="AY14" s="9"/>
      <c r="AZ14" s="9"/>
      <c r="BA14" s="9"/>
      <c r="BB14" s="36"/>
      <c r="BC14" s="4"/>
      <c r="BD14" s="4"/>
      <c r="BE14" s="8"/>
      <c r="BF14" s="9">
        <v>7</v>
      </c>
      <c r="BG14" s="35">
        <f t="shared" si="2"/>
        <v>50</v>
      </c>
      <c r="BH14" s="9"/>
      <c r="BI14" s="9"/>
      <c r="BJ14" s="9"/>
      <c r="BK14" s="9"/>
      <c r="BL14" s="9"/>
      <c r="BM14" s="9"/>
      <c r="BN14" s="9"/>
      <c r="BO14" s="9"/>
      <c r="BP14" s="36"/>
      <c r="BQ14" s="4"/>
      <c r="BR14" s="4"/>
      <c r="BS14" s="8"/>
      <c r="BT14" s="9">
        <v>7</v>
      </c>
      <c r="BU14" s="35">
        <f t="shared" si="3"/>
        <v>105</v>
      </c>
      <c r="BV14" s="9"/>
      <c r="BW14" s="9"/>
      <c r="BX14" s="9"/>
      <c r="BY14" s="9"/>
      <c r="BZ14" s="9"/>
      <c r="CA14" s="9"/>
      <c r="CB14" s="9"/>
      <c r="CC14" s="9"/>
      <c r="CD14" s="36"/>
      <c r="CE14" s="4"/>
      <c r="CF14" s="4"/>
      <c r="CG14" s="8"/>
      <c r="CH14" s="9">
        <v>6</v>
      </c>
      <c r="CI14" s="35">
        <f t="shared" si="7"/>
        <v>50</v>
      </c>
      <c r="CJ14" s="35">
        <f t="shared" si="8"/>
        <v>90</v>
      </c>
      <c r="CK14" s="35">
        <f t="shared" si="1"/>
        <v>140</v>
      </c>
      <c r="CL14" s="35">
        <f t="shared" si="9"/>
        <v>120</v>
      </c>
      <c r="CM14" s="9"/>
      <c r="CN14" s="9"/>
      <c r="CO14" s="9"/>
      <c r="CP14" s="9"/>
      <c r="CQ14" s="9"/>
      <c r="CR14" s="9"/>
      <c r="CS14" s="9"/>
      <c r="CT14" s="36"/>
      <c r="CU14" s="4"/>
      <c r="CV14" s="4"/>
      <c r="CW14" s="8"/>
      <c r="CX14" s="9">
        <v>30</v>
      </c>
      <c r="CY14" s="49">
        <v>0.125</v>
      </c>
      <c r="CZ14" s="35">
        <f t="shared" si="4"/>
        <v>525</v>
      </c>
      <c r="DA14" s="9"/>
      <c r="DB14" s="9"/>
      <c r="DC14" s="9"/>
      <c r="DD14" s="9"/>
      <c r="DE14" s="9"/>
      <c r="DF14" s="9"/>
      <c r="DG14" s="36"/>
      <c r="DH14" s="4"/>
      <c r="DI14" s="4"/>
      <c r="DJ14" s="8"/>
      <c r="DK14" s="9">
        <v>25</v>
      </c>
      <c r="DL14" s="49">
        <v>0.1</v>
      </c>
      <c r="DM14" s="35">
        <f t="shared" si="5"/>
        <v>337.5</v>
      </c>
      <c r="DN14" s="35">
        <f t="shared" si="10"/>
        <v>500</v>
      </c>
      <c r="DO14" s="35">
        <f t="shared" si="6"/>
        <v>162.5</v>
      </c>
      <c r="DP14" s="9"/>
      <c r="DQ14" s="9"/>
      <c r="DR14" s="9"/>
      <c r="DS14" s="9"/>
      <c r="DT14" s="9"/>
      <c r="DU14" s="9"/>
      <c r="DV14" s="36"/>
      <c r="DW14" s="4"/>
      <c r="DX14" s="4"/>
      <c r="DY14" s="8"/>
      <c r="DZ14" s="9" t="s">
        <v>67</v>
      </c>
      <c r="EA14" s="22">
        <f>EA11*EB14</f>
        <v>37500</v>
      </c>
      <c r="EB14" s="23">
        <v>3.75</v>
      </c>
      <c r="EC14" s="22">
        <f>EC11*ED14</f>
        <v>50850</v>
      </c>
      <c r="ED14" s="23">
        <v>3.39</v>
      </c>
      <c r="EE14" s="22">
        <f>EE11*EF14</f>
        <v>60599.999999999993</v>
      </c>
      <c r="EF14" s="23">
        <v>3.03</v>
      </c>
      <c r="EG14" s="35">
        <f>EA14+EC14+EE14</f>
        <v>148950</v>
      </c>
      <c r="EH14" s="36"/>
      <c r="EI14" s="4"/>
      <c r="EJ14" s="4"/>
      <c r="EK14" s="8"/>
      <c r="EL14" s="9" t="s">
        <v>67</v>
      </c>
      <c r="EM14" s="22">
        <f>EM11*EN14</f>
        <v>56250</v>
      </c>
      <c r="EN14" s="23">
        <v>3.75</v>
      </c>
      <c r="EO14" s="22">
        <f>EO11*EP14</f>
        <v>67800</v>
      </c>
      <c r="EP14" s="23">
        <v>3.39</v>
      </c>
      <c r="EQ14" s="22">
        <f>EQ11*ER14</f>
        <v>15149.999999999998</v>
      </c>
      <c r="ER14" s="23">
        <v>3.03</v>
      </c>
      <c r="ES14" s="35">
        <f>EM14+EO14+EQ14</f>
        <v>139200</v>
      </c>
      <c r="ET14" s="36"/>
      <c r="EU14" s="4"/>
      <c r="EV14" s="4"/>
      <c r="EW14" s="8"/>
      <c r="EX14" s="9" t="s">
        <v>69</v>
      </c>
      <c r="EY14" s="35">
        <f>EY10-EY12</f>
        <v>410</v>
      </c>
      <c r="EZ14" s="35"/>
      <c r="FA14" s="35">
        <f>FA10-FA12</f>
        <v>1500</v>
      </c>
      <c r="FB14" s="35"/>
      <c r="FC14" s="35">
        <f>FC10-FC12</f>
        <v>1250</v>
      </c>
      <c r="FD14" s="36"/>
      <c r="FE14" s="4"/>
      <c r="FF14" s="4"/>
      <c r="FG14" s="4"/>
      <c r="FH14" s="4"/>
      <c r="FI14" s="4"/>
      <c r="FJ14" s="4"/>
      <c r="FK14" s="4"/>
      <c r="FL14" s="4"/>
      <c r="FM14" s="4"/>
    </row>
    <row r="15" spans="1:169" x14ac:dyDescent="0.35">
      <c r="A15" s="4"/>
      <c r="B15" s="4"/>
      <c r="C15" s="8"/>
      <c r="D15" s="13" t="s">
        <v>8</v>
      </c>
      <c r="E15" s="35">
        <f>1000*1</f>
        <v>1000</v>
      </c>
      <c r="F15" s="9"/>
      <c r="G15" s="36"/>
      <c r="H15" s="4"/>
      <c r="I15" s="4"/>
      <c r="J15" s="8"/>
      <c r="K15" s="13" t="s">
        <v>20</v>
      </c>
      <c r="L15" s="21">
        <f>MaterialsCost*SalesLevel</f>
        <v>22550</v>
      </c>
      <c r="M15" s="21"/>
      <c r="N15" s="9"/>
      <c r="O15" s="9"/>
      <c r="P15" s="9"/>
      <c r="Q15" s="15"/>
      <c r="R15" s="4"/>
      <c r="S15" s="4"/>
      <c r="T15" s="8"/>
      <c r="U15" s="9"/>
      <c r="V15" s="9"/>
      <c r="W15" s="9"/>
      <c r="X15" s="9"/>
      <c r="Y15" s="41"/>
      <c r="Z15" s="36"/>
      <c r="AA15" s="24"/>
      <c r="AB15" s="4"/>
      <c r="AC15" s="8"/>
      <c r="AD15" s="9"/>
      <c r="AE15" s="9"/>
      <c r="AF15" s="9"/>
      <c r="AG15" s="45"/>
      <c r="AH15" s="9"/>
      <c r="AI15" s="36"/>
      <c r="AJ15" s="4"/>
      <c r="AK15" s="4"/>
      <c r="AL15" s="8"/>
      <c r="AM15" s="9"/>
      <c r="AN15" s="9"/>
      <c r="AO15" s="9"/>
      <c r="AP15" s="45"/>
      <c r="AQ15" s="9"/>
      <c r="AR15" s="36"/>
      <c r="AS15" s="4"/>
      <c r="AT15" s="4"/>
      <c r="AU15" s="4"/>
      <c r="AV15" s="4"/>
      <c r="AW15" s="8"/>
      <c r="AX15" s="9"/>
      <c r="AY15" s="9"/>
      <c r="AZ15" s="9"/>
      <c r="BA15" s="9"/>
      <c r="BB15" s="36"/>
      <c r="BC15" s="4"/>
      <c r="BD15" s="4"/>
      <c r="BE15" s="8"/>
      <c r="BF15" s="9">
        <v>8</v>
      </c>
      <c r="BG15" s="35">
        <f t="shared" si="2"/>
        <v>50</v>
      </c>
      <c r="BH15" s="9"/>
      <c r="BI15" s="9"/>
      <c r="BJ15" s="9"/>
      <c r="BK15" s="9"/>
      <c r="BL15" s="9"/>
      <c r="BM15" s="9"/>
      <c r="BN15" s="9"/>
      <c r="BO15" s="9"/>
      <c r="BP15" s="36"/>
      <c r="BQ15" s="4"/>
      <c r="BR15" s="4"/>
      <c r="BS15" s="8"/>
      <c r="BT15" s="9">
        <v>8</v>
      </c>
      <c r="BU15" s="35">
        <f t="shared" si="3"/>
        <v>120</v>
      </c>
      <c r="BV15" s="9"/>
      <c r="BW15" s="9"/>
      <c r="BX15" s="9"/>
      <c r="BY15" s="9"/>
      <c r="BZ15" s="9"/>
      <c r="CA15" s="9"/>
      <c r="CB15" s="9"/>
      <c r="CC15" s="9"/>
      <c r="CD15" s="36"/>
      <c r="CE15" s="4"/>
      <c r="CF15" s="4"/>
      <c r="CG15" s="8"/>
      <c r="CH15" s="9">
        <v>7</v>
      </c>
      <c r="CI15" s="35">
        <f t="shared" si="7"/>
        <v>50</v>
      </c>
      <c r="CJ15" s="35">
        <f t="shared" si="8"/>
        <v>105</v>
      </c>
      <c r="CK15" s="35">
        <f t="shared" si="1"/>
        <v>155</v>
      </c>
      <c r="CL15" s="35">
        <f t="shared" si="9"/>
        <v>140</v>
      </c>
      <c r="CM15" s="9"/>
      <c r="CN15" s="9"/>
      <c r="CO15" s="9"/>
      <c r="CP15" s="9"/>
      <c r="CQ15" s="9"/>
      <c r="CR15" s="9"/>
      <c r="CS15" s="9"/>
      <c r="CT15" s="36"/>
      <c r="CU15" s="4"/>
      <c r="CV15" s="4"/>
      <c r="CW15" s="8"/>
      <c r="CX15" s="9">
        <v>35</v>
      </c>
      <c r="CY15" s="49">
        <v>0.15</v>
      </c>
      <c r="CZ15" s="35">
        <f t="shared" si="4"/>
        <v>595</v>
      </c>
      <c r="DA15" s="9"/>
      <c r="DB15" s="9"/>
      <c r="DC15" s="9"/>
      <c r="DD15" s="9"/>
      <c r="DE15" s="9"/>
      <c r="DF15" s="9"/>
      <c r="DG15" s="36"/>
      <c r="DH15" s="4"/>
      <c r="DI15" s="4"/>
      <c r="DJ15" s="8"/>
      <c r="DK15" s="9">
        <v>30</v>
      </c>
      <c r="DL15" s="49">
        <v>0.125</v>
      </c>
      <c r="DM15" s="35">
        <f t="shared" si="5"/>
        <v>393.75</v>
      </c>
      <c r="DN15" s="35">
        <f t="shared" si="10"/>
        <v>600</v>
      </c>
      <c r="DO15" s="35">
        <f t="shared" si="6"/>
        <v>206.25</v>
      </c>
      <c r="DP15" s="9"/>
      <c r="DQ15" s="9"/>
      <c r="DR15" s="9"/>
      <c r="DS15" s="9"/>
      <c r="DT15" s="9"/>
      <c r="DU15" s="9"/>
      <c r="DV15" s="36"/>
      <c r="DW15" s="4"/>
      <c r="DX15" s="4"/>
      <c r="DY15" s="8"/>
      <c r="DZ15" s="9" t="s">
        <v>68</v>
      </c>
      <c r="EA15" s="25">
        <f>EA14/EA12</f>
        <v>0.5067567567567568</v>
      </c>
      <c r="EB15" s="12"/>
      <c r="EC15" s="25">
        <f>EC14/EC12</f>
        <v>0.54066985645933019</v>
      </c>
      <c r="ED15" s="12"/>
      <c r="EE15" s="25">
        <f>EE14/EE12</f>
        <v>0.59064327485380108</v>
      </c>
      <c r="EF15" s="12"/>
      <c r="EG15" s="45">
        <f>EG14/EG12</f>
        <v>0.55034176981341221</v>
      </c>
      <c r="EH15" s="36"/>
      <c r="EI15" s="4"/>
      <c r="EJ15" s="4"/>
      <c r="EK15" s="8"/>
      <c r="EL15" s="9" t="s">
        <v>68</v>
      </c>
      <c r="EM15" s="25">
        <f>EM14/EM12</f>
        <v>0.5067567567567568</v>
      </c>
      <c r="EN15" s="12"/>
      <c r="EO15" s="25">
        <f>EO14/EO12</f>
        <v>0.54066985645933019</v>
      </c>
      <c r="EP15" s="12"/>
      <c r="EQ15" s="25">
        <f>EQ14/EQ12</f>
        <v>0.59064327485380108</v>
      </c>
      <c r="ER15" s="12"/>
      <c r="ES15" s="45">
        <f>ES14/ES12</f>
        <v>0.53119633657698917</v>
      </c>
      <c r="ET15" s="36"/>
      <c r="EU15" s="4"/>
      <c r="EV15" s="4"/>
      <c r="EW15" s="8"/>
      <c r="EX15" s="9"/>
      <c r="EY15" s="35"/>
      <c r="EZ15" s="35"/>
      <c r="FA15" s="35"/>
      <c r="FB15" s="35"/>
      <c r="FC15" s="35"/>
      <c r="FD15" s="36"/>
      <c r="FE15" s="4"/>
      <c r="FF15" s="4"/>
      <c r="FG15" s="4"/>
      <c r="FH15" s="4"/>
      <c r="FI15" s="4"/>
      <c r="FJ15" s="4"/>
      <c r="FK15" s="4"/>
      <c r="FL15" s="4"/>
      <c r="FM15" s="4"/>
    </row>
    <row r="16" spans="1:169" x14ac:dyDescent="0.35">
      <c r="A16" s="4"/>
      <c r="B16" s="4"/>
      <c r="C16" s="8"/>
      <c r="D16" s="13"/>
      <c r="E16" s="35"/>
      <c r="F16" s="9"/>
      <c r="G16" s="36"/>
      <c r="H16" s="4"/>
      <c r="I16" s="4"/>
      <c r="J16" s="8"/>
      <c r="K16" s="13"/>
      <c r="L16" s="21"/>
      <c r="M16" s="21"/>
      <c r="N16" s="9" t="s">
        <v>21</v>
      </c>
      <c r="O16" s="26">
        <v>5</v>
      </c>
      <c r="P16" s="9"/>
      <c r="Q16" s="15"/>
      <c r="R16" s="4"/>
      <c r="S16" s="4"/>
      <c r="T16" s="8"/>
      <c r="U16" s="9" t="s">
        <v>33</v>
      </c>
      <c r="V16" s="9"/>
      <c r="W16" s="40">
        <f>W9-SUM(W12:W14)</f>
        <v>14981</v>
      </c>
      <c r="X16" s="40">
        <f>X9-SUM(X12:X14)</f>
        <v>3.3217294900221734</v>
      </c>
      <c r="Y16" s="41">
        <f>X16/$X$9</f>
        <v>0.33217294900221733</v>
      </c>
      <c r="Z16" s="43"/>
      <c r="AA16" s="4"/>
      <c r="AB16" s="4"/>
      <c r="AC16" s="8"/>
      <c r="AD16" s="9" t="s">
        <v>40</v>
      </c>
      <c r="AE16" s="9">
        <v>100</v>
      </c>
      <c r="AF16" s="9"/>
      <c r="AG16" s="45"/>
      <c r="AH16" s="9"/>
      <c r="AI16" s="36"/>
      <c r="AJ16" s="4"/>
      <c r="AK16" s="4"/>
      <c r="AL16" s="8"/>
      <c r="AM16" s="9" t="s">
        <v>40</v>
      </c>
      <c r="AN16" s="9">
        <v>100</v>
      </c>
      <c r="AO16" s="9"/>
      <c r="AP16" s="45"/>
      <c r="AQ16" s="9"/>
      <c r="AR16" s="36"/>
      <c r="AS16" s="4"/>
      <c r="AT16" s="4"/>
      <c r="AU16" s="4"/>
      <c r="AV16" s="4"/>
      <c r="AW16" s="8"/>
      <c r="AX16" s="9"/>
      <c r="AY16" s="9"/>
      <c r="AZ16" s="9"/>
      <c r="BA16" s="9"/>
      <c r="BB16" s="36"/>
      <c r="BC16" s="4"/>
      <c r="BD16" s="4"/>
      <c r="BE16" s="8"/>
      <c r="BF16" s="9">
        <v>9</v>
      </c>
      <c r="BG16" s="35">
        <f t="shared" si="2"/>
        <v>50</v>
      </c>
      <c r="BH16" s="9"/>
      <c r="BI16" s="9"/>
      <c r="BJ16" s="9"/>
      <c r="BK16" s="9"/>
      <c r="BL16" s="9"/>
      <c r="BM16" s="9"/>
      <c r="BN16" s="9"/>
      <c r="BO16" s="9"/>
      <c r="BP16" s="36"/>
      <c r="BQ16" s="4"/>
      <c r="BR16" s="4"/>
      <c r="BS16" s="8"/>
      <c r="BT16" s="9">
        <v>9</v>
      </c>
      <c r="BU16" s="35">
        <f t="shared" si="3"/>
        <v>135</v>
      </c>
      <c r="BV16" s="9"/>
      <c r="BW16" s="9"/>
      <c r="BX16" s="9"/>
      <c r="BY16" s="9"/>
      <c r="BZ16" s="9"/>
      <c r="CA16" s="9"/>
      <c r="CB16" s="9"/>
      <c r="CC16" s="9"/>
      <c r="CD16" s="36"/>
      <c r="CE16" s="4"/>
      <c r="CF16" s="4"/>
      <c r="CG16" s="8"/>
      <c r="CH16" s="9">
        <v>8</v>
      </c>
      <c r="CI16" s="35">
        <f t="shared" si="7"/>
        <v>50</v>
      </c>
      <c r="CJ16" s="35">
        <f t="shared" si="8"/>
        <v>120</v>
      </c>
      <c r="CK16" s="35">
        <f t="shared" si="1"/>
        <v>170</v>
      </c>
      <c r="CL16" s="35">
        <f t="shared" si="9"/>
        <v>160</v>
      </c>
      <c r="CM16" s="9"/>
      <c r="CN16" s="9"/>
      <c r="CO16" s="9"/>
      <c r="CP16" s="9"/>
      <c r="CQ16" s="9"/>
      <c r="CR16" s="9"/>
      <c r="CS16" s="9"/>
      <c r="CT16" s="36"/>
      <c r="CU16" s="4"/>
      <c r="CV16" s="4"/>
      <c r="CW16" s="8"/>
      <c r="CX16" s="9">
        <v>40</v>
      </c>
      <c r="CY16" s="49">
        <v>0.17499999999999999</v>
      </c>
      <c r="CZ16" s="35">
        <f t="shared" si="4"/>
        <v>660</v>
      </c>
      <c r="DA16" s="9"/>
      <c r="DB16" s="9"/>
      <c r="DC16" s="9"/>
      <c r="DD16" s="9"/>
      <c r="DE16" s="9"/>
      <c r="DF16" s="9"/>
      <c r="DG16" s="36"/>
      <c r="DH16" s="4"/>
      <c r="DI16" s="4"/>
      <c r="DJ16" s="8"/>
      <c r="DK16" s="9">
        <v>35</v>
      </c>
      <c r="DL16" s="49">
        <v>0.15</v>
      </c>
      <c r="DM16" s="35">
        <f t="shared" si="5"/>
        <v>446.25</v>
      </c>
      <c r="DN16" s="35">
        <f t="shared" si="10"/>
        <v>700</v>
      </c>
      <c r="DO16" s="35">
        <f t="shared" si="6"/>
        <v>253.75</v>
      </c>
      <c r="DP16" s="9"/>
      <c r="DQ16" s="9"/>
      <c r="DR16" s="9"/>
      <c r="DS16" s="9"/>
      <c r="DT16" s="9"/>
      <c r="DU16" s="9"/>
      <c r="DV16" s="36"/>
      <c r="DW16" s="4"/>
      <c r="DX16" s="4"/>
      <c r="DY16" s="8"/>
      <c r="DZ16" s="9"/>
      <c r="EA16" s="25"/>
      <c r="EB16" s="12"/>
      <c r="EC16" s="25"/>
      <c r="ED16" s="12"/>
      <c r="EE16" s="25"/>
      <c r="EF16" s="12"/>
      <c r="EG16" s="45"/>
      <c r="EH16" s="36"/>
      <c r="EI16" s="4"/>
      <c r="EJ16" s="4"/>
      <c r="EK16" s="8"/>
      <c r="EL16" s="9"/>
      <c r="EM16" s="25"/>
      <c r="EN16" s="12"/>
      <c r="EO16" s="25"/>
      <c r="EP16" s="12"/>
      <c r="EQ16" s="25"/>
      <c r="ER16" s="12"/>
      <c r="ES16" s="45"/>
      <c r="ET16" s="36"/>
      <c r="EU16" s="4"/>
      <c r="EV16" s="4"/>
      <c r="EW16" s="8"/>
      <c r="EX16" s="9" t="s">
        <v>77</v>
      </c>
      <c r="EY16" s="35">
        <v>200</v>
      </c>
      <c r="EZ16" s="35"/>
      <c r="FA16" s="35">
        <v>1000</v>
      </c>
      <c r="FB16" s="35"/>
      <c r="FC16" s="35">
        <v>1000</v>
      </c>
      <c r="FD16" s="36"/>
      <c r="FE16" s="4"/>
      <c r="FF16" s="4"/>
      <c r="FG16" s="4"/>
      <c r="FH16" s="4"/>
      <c r="FI16" s="4"/>
      <c r="FJ16" s="4"/>
      <c r="FK16" s="4"/>
      <c r="FL16" s="4"/>
      <c r="FM16" s="4"/>
    </row>
    <row r="17" spans="1:169" ht="13.5" thickBot="1" x14ac:dyDescent="0.45">
      <c r="A17" s="4"/>
      <c r="B17" s="4"/>
      <c r="C17" s="8"/>
      <c r="D17" s="20" t="s">
        <v>9</v>
      </c>
      <c r="E17" s="35"/>
      <c r="F17" s="35">
        <f>SUM(E11:E15)</f>
        <v>6500</v>
      </c>
      <c r="G17" s="36"/>
      <c r="H17" s="4"/>
      <c r="I17" s="4"/>
      <c r="J17" s="8"/>
      <c r="K17" s="13" t="s">
        <v>22</v>
      </c>
      <c r="L17" s="21">
        <f>PackagingCost*SalesLevel</f>
        <v>4510</v>
      </c>
      <c r="M17" s="21"/>
      <c r="N17" s="9"/>
      <c r="O17" s="9"/>
      <c r="P17" s="9"/>
      <c r="Q17" s="15"/>
      <c r="R17" s="4"/>
      <c r="S17" s="4"/>
      <c r="T17" s="8"/>
      <c r="U17" s="33"/>
      <c r="V17" s="33"/>
      <c r="W17" s="33"/>
      <c r="X17" s="33"/>
      <c r="Y17" s="33"/>
      <c r="Z17" s="36"/>
      <c r="AA17" s="4"/>
      <c r="AB17" s="4"/>
      <c r="AC17" s="28"/>
      <c r="AD17" s="29"/>
      <c r="AE17" s="29"/>
      <c r="AF17" s="29"/>
      <c r="AG17" s="29"/>
      <c r="AH17" s="29"/>
      <c r="AI17" s="37"/>
      <c r="AJ17" s="4"/>
      <c r="AK17" s="4"/>
      <c r="AL17" s="28"/>
      <c r="AM17" s="29"/>
      <c r="AN17" s="29"/>
      <c r="AO17" s="29"/>
      <c r="AP17" s="46"/>
      <c r="AQ17" s="29"/>
      <c r="AR17" s="37"/>
      <c r="AS17" s="4"/>
      <c r="AT17" s="4"/>
      <c r="AU17" s="4"/>
      <c r="AV17" s="4"/>
      <c r="AW17" s="8"/>
      <c r="AX17" s="9"/>
      <c r="AY17" s="9"/>
      <c r="AZ17" s="9"/>
      <c r="BA17" s="9"/>
      <c r="BB17" s="36"/>
      <c r="BC17" s="4"/>
      <c r="BD17" s="4"/>
      <c r="BE17" s="8"/>
      <c r="BF17" s="9">
        <v>10</v>
      </c>
      <c r="BG17" s="35">
        <f t="shared" si="2"/>
        <v>50</v>
      </c>
      <c r="BH17" s="9"/>
      <c r="BI17" s="9"/>
      <c r="BJ17" s="9"/>
      <c r="BK17" s="9"/>
      <c r="BL17" s="9"/>
      <c r="BM17" s="9"/>
      <c r="BN17" s="9"/>
      <c r="BO17" s="9"/>
      <c r="BP17" s="36"/>
      <c r="BQ17" s="4"/>
      <c r="BR17" s="4"/>
      <c r="BS17" s="8"/>
      <c r="BT17" s="9">
        <v>10</v>
      </c>
      <c r="BU17" s="35">
        <f t="shared" si="3"/>
        <v>150</v>
      </c>
      <c r="BV17" s="9"/>
      <c r="BW17" s="9"/>
      <c r="BX17" s="9"/>
      <c r="BY17" s="9"/>
      <c r="BZ17" s="9"/>
      <c r="CA17" s="9"/>
      <c r="CB17" s="9"/>
      <c r="CC17" s="9"/>
      <c r="CD17" s="36"/>
      <c r="CE17" s="4"/>
      <c r="CF17" s="4"/>
      <c r="CG17" s="8"/>
      <c r="CH17" s="9">
        <v>9</v>
      </c>
      <c r="CI17" s="35">
        <f t="shared" si="7"/>
        <v>50</v>
      </c>
      <c r="CJ17" s="35">
        <f t="shared" si="8"/>
        <v>135</v>
      </c>
      <c r="CK17" s="35">
        <f t="shared" si="1"/>
        <v>185</v>
      </c>
      <c r="CL17" s="35">
        <f t="shared" si="9"/>
        <v>180</v>
      </c>
      <c r="CM17" s="9"/>
      <c r="CN17" s="9"/>
      <c r="CO17" s="9"/>
      <c r="CP17" s="9"/>
      <c r="CQ17" s="9"/>
      <c r="CR17" s="9"/>
      <c r="CS17" s="9"/>
      <c r="CT17" s="36"/>
      <c r="CU17" s="4"/>
      <c r="CV17" s="4"/>
      <c r="CW17" s="8"/>
      <c r="CX17" s="9">
        <v>45</v>
      </c>
      <c r="CY17" s="49">
        <v>0.2</v>
      </c>
      <c r="CZ17" s="35">
        <f t="shared" si="4"/>
        <v>720</v>
      </c>
      <c r="DA17" s="9"/>
      <c r="DB17" s="9"/>
      <c r="DC17" s="9"/>
      <c r="DD17" s="9"/>
      <c r="DE17" s="9"/>
      <c r="DF17" s="9"/>
      <c r="DG17" s="36"/>
      <c r="DH17" s="4"/>
      <c r="DI17" s="4"/>
      <c r="DJ17" s="8"/>
      <c r="DK17" s="9">
        <v>40</v>
      </c>
      <c r="DL17" s="49">
        <v>0.17499999999999999</v>
      </c>
      <c r="DM17" s="35">
        <f t="shared" si="5"/>
        <v>495</v>
      </c>
      <c r="DN17" s="35">
        <f t="shared" si="10"/>
        <v>800</v>
      </c>
      <c r="DO17" s="35">
        <f t="shared" si="6"/>
        <v>305</v>
      </c>
      <c r="DP17" s="9"/>
      <c r="DQ17" s="9"/>
      <c r="DR17" s="9"/>
      <c r="DS17" s="9"/>
      <c r="DT17" s="9"/>
      <c r="DU17" s="9"/>
      <c r="DV17" s="36"/>
      <c r="DW17" s="4"/>
      <c r="DX17" s="4"/>
      <c r="DY17" s="8"/>
      <c r="DZ17" s="9" t="s">
        <v>69</v>
      </c>
      <c r="EA17" s="22">
        <f t="shared" ref="EA17:EG17" si="11">EA12-EA14</f>
        <v>36500</v>
      </c>
      <c r="EB17" s="23">
        <f t="shared" si="11"/>
        <v>3.6500000000000004</v>
      </c>
      <c r="EC17" s="22">
        <f t="shared" si="11"/>
        <v>43200</v>
      </c>
      <c r="ED17" s="23">
        <f t="shared" si="11"/>
        <v>2.8799999999999994</v>
      </c>
      <c r="EE17" s="22">
        <f t="shared" si="11"/>
        <v>42000.000000000007</v>
      </c>
      <c r="EF17" s="23">
        <f t="shared" si="11"/>
        <v>2.1</v>
      </c>
      <c r="EG17" s="35">
        <f t="shared" si="11"/>
        <v>121700</v>
      </c>
      <c r="EH17" s="36"/>
      <c r="EI17" s="4"/>
      <c r="EJ17" s="4"/>
      <c r="EK17" s="8"/>
      <c r="EL17" s="9" t="s">
        <v>69</v>
      </c>
      <c r="EM17" s="22">
        <f t="shared" ref="EM17:ES17" si="12">EM12-EM14</f>
        <v>54750</v>
      </c>
      <c r="EN17" s="23">
        <f t="shared" si="12"/>
        <v>3.6500000000000004</v>
      </c>
      <c r="EO17" s="22">
        <f t="shared" si="12"/>
        <v>57599.999999999985</v>
      </c>
      <c r="EP17" s="23">
        <f t="shared" si="12"/>
        <v>2.8799999999999994</v>
      </c>
      <c r="EQ17" s="22">
        <f t="shared" si="12"/>
        <v>10500.000000000002</v>
      </c>
      <c r="ER17" s="23">
        <f t="shared" si="12"/>
        <v>2.1</v>
      </c>
      <c r="ES17" s="35">
        <f t="shared" si="12"/>
        <v>122850</v>
      </c>
      <c r="ET17" s="36"/>
      <c r="EU17" s="4"/>
      <c r="EV17" s="4"/>
      <c r="EW17" s="8"/>
      <c r="EX17" s="9"/>
      <c r="EY17" s="35"/>
      <c r="EZ17" s="35"/>
      <c r="FA17" s="35"/>
      <c r="FB17" s="35"/>
      <c r="FC17" s="35"/>
      <c r="FD17" s="36"/>
      <c r="FE17" s="4"/>
      <c r="FF17" s="4"/>
      <c r="FG17" s="4"/>
      <c r="FH17" s="4"/>
      <c r="FI17" s="4"/>
      <c r="FJ17" s="4"/>
      <c r="FK17" s="4"/>
      <c r="FL17" s="4"/>
      <c r="FM17" s="4"/>
    </row>
    <row r="18" spans="1:169" ht="13.5" thickTop="1" thickBot="1" x14ac:dyDescent="0.4">
      <c r="A18" s="4"/>
      <c r="B18" s="4"/>
      <c r="C18" s="8"/>
      <c r="D18" s="9"/>
      <c r="E18" s="35"/>
      <c r="F18" s="9"/>
      <c r="G18" s="36"/>
      <c r="H18" s="4"/>
      <c r="I18" s="4"/>
      <c r="J18" s="8"/>
      <c r="K18" s="13"/>
      <c r="L18" s="38"/>
      <c r="M18" s="21"/>
      <c r="N18" s="9" t="s">
        <v>23</v>
      </c>
      <c r="O18" s="26">
        <v>1</v>
      </c>
      <c r="P18" s="9"/>
      <c r="Q18" s="15"/>
      <c r="R18" s="4"/>
      <c r="S18" s="4"/>
      <c r="T18" s="8"/>
      <c r="U18" s="34"/>
      <c r="V18" s="34"/>
      <c r="W18" s="34"/>
      <c r="X18" s="34"/>
      <c r="Y18" s="34"/>
      <c r="Z18" s="36"/>
      <c r="AA18" s="4"/>
      <c r="AB18" s="4"/>
      <c r="AC18" s="4"/>
      <c r="AD18" s="4"/>
      <c r="AE18" s="4"/>
      <c r="AF18" s="4"/>
      <c r="AG18" s="4"/>
      <c r="AH18" s="4"/>
      <c r="AI18" s="4"/>
      <c r="AJ18" s="4"/>
      <c r="AK18" s="4"/>
      <c r="AL18" s="4"/>
      <c r="AM18" s="4"/>
      <c r="AN18" s="4"/>
      <c r="AO18" s="4"/>
      <c r="AP18" s="4"/>
      <c r="AQ18" s="4"/>
      <c r="AR18" s="4"/>
      <c r="AS18" s="4"/>
      <c r="AT18" s="4"/>
      <c r="AU18" s="4"/>
      <c r="AV18" s="4"/>
      <c r="AW18" s="28"/>
      <c r="AX18" s="29"/>
      <c r="AY18" s="29"/>
      <c r="AZ18" s="29"/>
      <c r="BA18" s="29"/>
      <c r="BB18" s="37"/>
      <c r="BC18" s="4"/>
      <c r="BD18" s="4"/>
      <c r="BE18" s="8"/>
      <c r="BF18" s="9"/>
      <c r="BG18" s="9"/>
      <c r="BH18" s="9"/>
      <c r="BI18" s="9"/>
      <c r="BJ18" s="9"/>
      <c r="BK18" s="9"/>
      <c r="BL18" s="9"/>
      <c r="BM18" s="9"/>
      <c r="BN18" s="9"/>
      <c r="BO18" s="9"/>
      <c r="BP18" s="36"/>
      <c r="BQ18" s="4"/>
      <c r="BR18" s="4"/>
      <c r="BS18" s="8"/>
      <c r="BT18" s="9"/>
      <c r="BU18" s="9"/>
      <c r="BV18" s="9"/>
      <c r="BW18" s="9"/>
      <c r="BX18" s="9"/>
      <c r="BY18" s="9"/>
      <c r="BZ18" s="9"/>
      <c r="CA18" s="9"/>
      <c r="CB18" s="9"/>
      <c r="CC18" s="9"/>
      <c r="CD18" s="36"/>
      <c r="CE18" s="4"/>
      <c r="CF18" s="4"/>
      <c r="CG18" s="8"/>
      <c r="CH18" s="9">
        <v>10</v>
      </c>
      <c r="CI18" s="35">
        <f t="shared" si="7"/>
        <v>50</v>
      </c>
      <c r="CJ18" s="35">
        <f t="shared" si="8"/>
        <v>150</v>
      </c>
      <c r="CK18" s="35">
        <f t="shared" si="1"/>
        <v>200</v>
      </c>
      <c r="CL18" s="35">
        <f t="shared" si="9"/>
        <v>200</v>
      </c>
      <c r="CM18" s="9"/>
      <c r="CN18" s="9"/>
      <c r="CO18" s="9"/>
      <c r="CP18" s="9"/>
      <c r="CQ18" s="9"/>
      <c r="CR18" s="9"/>
      <c r="CS18" s="9"/>
      <c r="CT18" s="36"/>
      <c r="CU18" s="4"/>
      <c r="CV18" s="4"/>
      <c r="CW18" s="8"/>
      <c r="CX18" s="9">
        <v>50</v>
      </c>
      <c r="CY18" s="49">
        <v>0.22500000000000001</v>
      </c>
      <c r="CZ18" s="35">
        <f t="shared" si="4"/>
        <v>775</v>
      </c>
      <c r="DA18" s="9"/>
      <c r="DB18" s="9"/>
      <c r="DC18" s="9"/>
      <c r="DD18" s="9"/>
      <c r="DE18" s="9"/>
      <c r="DF18" s="9"/>
      <c r="DG18" s="36"/>
      <c r="DH18" s="4"/>
      <c r="DI18" s="4"/>
      <c r="DJ18" s="8"/>
      <c r="DK18" s="9">
        <v>45</v>
      </c>
      <c r="DL18" s="49">
        <v>0.2</v>
      </c>
      <c r="DM18" s="35">
        <f t="shared" si="5"/>
        <v>540</v>
      </c>
      <c r="DN18" s="35">
        <f t="shared" si="10"/>
        <v>900</v>
      </c>
      <c r="DO18" s="35">
        <f t="shared" si="6"/>
        <v>360</v>
      </c>
      <c r="DP18" s="9"/>
      <c r="DQ18" s="9"/>
      <c r="DR18" s="9"/>
      <c r="DS18" s="9"/>
      <c r="DT18" s="9"/>
      <c r="DU18" s="9"/>
      <c r="DV18" s="36"/>
      <c r="DW18" s="4"/>
      <c r="DX18" s="4"/>
      <c r="DY18" s="8"/>
      <c r="DZ18" s="9" t="s">
        <v>68</v>
      </c>
      <c r="EA18" s="25">
        <f>EA17/EA12</f>
        <v>0.49324324324324326</v>
      </c>
      <c r="EB18" s="12"/>
      <c r="EC18" s="25">
        <f>EC17/EC12</f>
        <v>0.45933014354066987</v>
      </c>
      <c r="ED18" s="12"/>
      <c r="EE18" s="25">
        <f>EE17/EE12</f>
        <v>0.40935672514619892</v>
      </c>
      <c r="EF18" s="12"/>
      <c r="EG18" s="45">
        <f>EG17/EG12</f>
        <v>0.44965823018658785</v>
      </c>
      <c r="EH18" s="36"/>
      <c r="EI18" s="4"/>
      <c r="EJ18" s="4"/>
      <c r="EK18" s="8"/>
      <c r="EL18" s="9" t="s">
        <v>68</v>
      </c>
      <c r="EM18" s="25">
        <f>EM17/EM12</f>
        <v>0.49324324324324326</v>
      </c>
      <c r="EN18" s="12"/>
      <c r="EO18" s="25">
        <f>EO17/EO12</f>
        <v>0.45933014354066981</v>
      </c>
      <c r="EP18" s="12"/>
      <c r="EQ18" s="25">
        <f>EQ17/EQ12</f>
        <v>0.40935672514619892</v>
      </c>
      <c r="ER18" s="12"/>
      <c r="ES18" s="45">
        <f>ES17/ES12</f>
        <v>0.46880366342301089</v>
      </c>
      <c r="ET18" s="36"/>
      <c r="EU18" s="4"/>
      <c r="EV18" s="4"/>
      <c r="EW18" s="8"/>
      <c r="EX18" s="9" t="s">
        <v>78</v>
      </c>
      <c r="EY18" s="35">
        <f>EY14-EY16</f>
        <v>210</v>
      </c>
      <c r="EZ18" s="35"/>
      <c r="FA18" s="35">
        <f>FA14-FA16</f>
        <v>500</v>
      </c>
      <c r="FB18" s="35"/>
      <c r="FC18" s="35">
        <f>FC14-FC16</f>
        <v>250</v>
      </c>
      <c r="FD18" s="36"/>
      <c r="FE18" s="4"/>
      <c r="FF18" s="4"/>
      <c r="FG18" s="4"/>
      <c r="FH18" s="4"/>
      <c r="FI18" s="4"/>
      <c r="FJ18" s="4"/>
      <c r="FK18" s="4"/>
      <c r="FL18" s="4"/>
      <c r="FM18" s="4"/>
    </row>
    <row r="19" spans="1:169" ht="13.5" thickTop="1" x14ac:dyDescent="0.4">
      <c r="A19" s="4"/>
      <c r="B19" s="4"/>
      <c r="C19" s="8"/>
      <c r="D19" s="20" t="s">
        <v>10</v>
      </c>
      <c r="E19" s="9"/>
      <c r="F19" s="35">
        <f>F7-F17</f>
        <v>3500</v>
      </c>
      <c r="G19" s="36"/>
      <c r="H19" s="4"/>
      <c r="I19" s="4"/>
      <c r="J19" s="8"/>
      <c r="K19" s="20" t="s">
        <v>9</v>
      </c>
      <c r="L19" s="21">
        <f>SUM(L13:L17)</f>
        <v>30119</v>
      </c>
      <c r="N19" s="9"/>
      <c r="O19" s="9"/>
      <c r="P19" s="9"/>
      <c r="Q19" s="15"/>
      <c r="R19" s="4"/>
      <c r="S19" s="4"/>
      <c r="T19" s="8"/>
      <c r="U19" s="13" t="s">
        <v>24</v>
      </c>
      <c r="V19" s="9">
        <v>5510</v>
      </c>
      <c r="W19" s="9"/>
      <c r="X19" s="9"/>
      <c r="Y19" s="9"/>
      <c r="Z19" s="36"/>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8"/>
      <c r="BF19" s="9"/>
      <c r="BG19" s="9"/>
      <c r="BH19" s="9"/>
      <c r="BI19" s="9"/>
      <c r="BJ19" s="9"/>
      <c r="BK19" s="9"/>
      <c r="BL19" s="9"/>
      <c r="BM19" s="9"/>
      <c r="BN19" s="9"/>
      <c r="BO19" s="9"/>
      <c r="BP19" s="36"/>
      <c r="BQ19" s="4"/>
      <c r="BR19" s="4"/>
      <c r="BS19" s="8"/>
      <c r="BT19" s="9"/>
      <c r="BU19" s="9"/>
      <c r="BV19" s="9"/>
      <c r="BW19" s="9"/>
      <c r="BX19" s="9"/>
      <c r="BY19" s="9"/>
      <c r="BZ19" s="9"/>
      <c r="CA19" s="9"/>
      <c r="CB19" s="9"/>
      <c r="CC19" s="9"/>
      <c r="CD19" s="36"/>
      <c r="CE19" s="4"/>
      <c r="CF19" s="4"/>
      <c r="CG19" s="8"/>
      <c r="CH19" s="9">
        <v>11</v>
      </c>
      <c r="CI19" s="35">
        <f t="shared" si="7"/>
        <v>50</v>
      </c>
      <c r="CJ19" s="35">
        <f t="shared" si="8"/>
        <v>165</v>
      </c>
      <c r="CK19" s="35">
        <f t="shared" si="1"/>
        <v>215</v>
      </c>
      <c r="CL19" s="35">
        <f t="shared" si="9"/>
        <v>220</v>
      </c>
      <c r="CM19" s="9"/>
      <c r="CN19" s="9"/>
      <c r="CO19" s="9"/>
      <c r="CP19" s="9"/>
      <c r="CQ19" s="9"/>
      <c r="CR19" s="9"/>
      <c r="CS19" s="9"/>
      <c r="CT19" s="36"/>
      <c r="CU19" s="4"/>
      <c r="CV19" s="4"/>
      <c r="CW19" s="8"/>
      <c r="CX19" s="9">
        <v>55</v>
      </c>
      <c r="CY19" s="49">
        <v>0.25</v>
      </c>
      <c r="CZ19" s="35">
        <f t="shared" si="4"/>
        <v>825</v>
      </c>
      <c r="DA19" s="9"/>
      <c r="DB19" s="9"/>
      <c r="DC19" s="9"/>
      <c r="DD19" s="9"/>
      <c r="DE19" s="9"/>
      <c r="DF19" s="9"/>
      <c r="DG19" s="36"/>
      <c r="DH19" s="4"/>
      <c r="DI19" s="4"/>
      <c r="DJ19" s="8"/>
      <c r="DK19" s="9">
        <v>50</v>
      </c>
      <c r="DL19" s="49">
        <v>0.22500000000000001</v>
      </c>
      <c r="DM19" s="35">
        <f t="shared" si="5"/>
        <v>581.25</v>
      </c>
      <c r="DN19" s="35">
        <f t="shared" si="10"/>
        <v>1000</v>
      </c>
      <c r="DO19" s="35">
        <f t="shared" si="6"/>
        <v>418.75</v>
      </c>
      <c r="DP19" s="9"/>
      <c r="DQ19" s="9"/>
      <c r="DR19" s="9"/>
      <c r="DS19" s="9"/>
      <c r="DT19" s="9"/>
      <c r="DU19" s="9"/>
      <c r="DV19" s="36"/>
      <c r="DW19" s="4"/>
      <c r="DX19" s="4"/>
      <c r="DY19" s="8"/>
      <c r="DZ19" s="9"/>
      <c r="EA19" s="25"/>
      <c r="EB19" s="12"/>
      <c r="EC19" s="25"/>
      <c r="ED19" s="12"/>
      <c r="EE19" s="25"/>
      <c r="EF19" s="12"/>
      <c r="EG19" s="45"/>
      <c r="EH19" s="36"/>
      <c r="EI19" s="4"/>
      <c r="EJ19" s="4"/>
      <c r="EK19" s="8"/>
      <c r="EL19" s="9"/>
      <c r="EM19" s="25"/>
      <c r="EN19" s="12"/>
      <c r="EO19" s="25"/>
      <c r="EP19" s="12"/>
      <c r="EQ19" s="25"/>
      <c r="ER19" s="12"/>
      <c r="ES19" s="45"/>
      <c r="ET19" s="36"/>
      <c r="EU19" s="4"/>
      <c r="EV19" s="4"/>
      <c r="EW19" s="8"/>
      <c r="EX19" s="9"/>
      <c r="EY19" s="9"/>
      <c r="EZ19" s="9"/>
      <c r="FA19" s="9"/>
      <c r="FB19" s="9"/>
      <c r="FC19" s="9"/>
      <c r="FD19" s="36"/>
      <c r="FE19" s="4"/>
      <c r="FF19" s="4"/>
      <c r="FG19" s="4"/>
      <c r="FH19" s="4"/>
      <c r="FI19" s="4"/>
      <c r="FJ19" s="4"/>
      <c r="FK19" s="4"/>
      <c r="FL19" s="4"/>
      <c r="FM19" s="4"/>
    </row>
    <row r="20" spans="1:169" ht="13.15" thickBot="1" x14ac:dyDescent="0.4">
      <c r="A20" s="4"/>
      <c r="B20" s="4"/>
      <c r="C20" s="28"/>
      <c r="D20" s="29"/>
      <c r="E20" s="30"/>
      <c r="F20" s="29"/>
      <c r="G20" s="37"/>
      <c r="H20" s="4"/>
      <c r="I20" s="4"/>
      <c r="J20" s="8"/>
      <c r="K20" s="9"/>
      <c r="L20" s="21"/>
      <c r="N20" s="9"/>
      <c r="O20" s="9"/>
      <c r="P20" s="9"/>
      <c r="Q20" s="15"/>
      <c r="R20" s="4"/>
      <c r="S20" s="4"/>
      <c r="T20" s="8"/>
      <c r="U20" s="9"/>
      <c r="V20" s="9"/>
      <c r="W20" s="9" t="s">
        <v>25</v>
      </c>
      <c r="X20" s="9" t="s">
        <v>26</v>
      </c>
      <c r="Y20" s="9" t="s">
        <v>27</v>
      </c>
      <c r="Z20" s="36"/>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8"/>
      <c r="BF20" s="9"/>
      <c r="BG20" s="9"/>
      <c r="BH20" s="9"/>
      <c r="BI20" s="9"/>
      <c r="BJ20" s="9"/>
      <c r="BK20" s="9"/>
      <c r="BL20" s="9"/>
      <c r="BM20" s="9"/>
      <c r="BN20" s="9"/>
      <c r="BO20" s="9"/>
      <c r="BP20" s="36"/>
      <c r="BQ20" s="4"/>
      <c r="BR20" s="4"/>
      <c r="BS20" s="8"/>
      <c r="BT20" s="9"/>
      <c r="BU20" s="9"/>
      <c r="BV20" s="9"/>
      <c r="BW20" s="9"/>
      <c r="BX20" s="9"/>
      <c r="BY20" s="9"/>
      <c r="BZ20" s="9"/>
      <c r="CA20" s="9"/>
      <c r="CB20" s="9"/>
      <c r="CC20" s="9"/>
      <c r="CD20" s="36"/>
      <c r="CE20" s="4"/>
      <c r="CF20" s="4"/>
      <c r="CG20" s="8"/>
      <c r="CH20" s="9">
        <v>12</v>
      </c>
      <c r="CI20" s="35">
        <f t="shared" si="7"/>
        <v>50</v>
      </c>
      <c r="CJ20" s="35">
        <f t="shared" si="8"/>
        <v>180</v>
      </c>
      <c r="CK20" s="35">
        <f t="shared" si="1"/>
        <v>230</v>
      </c>
      <c r="CL20" s="35">
        <f t="shared" si="9"/>
        <v>240</v>
      </c>
      <c r="CM20" s="9"/>
      <c r="CN20" s="9"/>
      <c r="CO20" s="9"/>
      <c r="CP20" s="9"/>
      <c r="CQ20" s="9"/>
      <c r="CR20" s="9"/>
      <c r="CS20" s="9"/>
      <c r="CT20" s="36"/>
      <c r="CU20" s="4"/>
      <c r="CV20" s="4"/>
      <c r="CW20" s="8"/>
      <c r="CX20" s="9">
        <v>60</v>
      </c>
      <c r="CY20" s="49">
        <v>0.27500000000000002</v>
      </c>
      <c r="CZ20" s="35">
        <f t="shared" si="4"/>
        <v>870</v>
      </c>
      <c r="DA20" s="9"/>
      <c r="DB20" s="9"/>
      <c r="DC20" s="9"/>
      <c r="DD20" s="9"/>
      <c r="DE20" s="9"/>
      <c r="DF20" s="9"/>
      <c r="DG20" s="36"/>
      <c r="DH20" s="4"/>
      <c r="DI20" s="4"/>
      <c r="DJ20" s="8"/>
      <c r="DK20" s="9">
        <v>55</v>
      </c>
      <c r="DL20" s="49">
        <v>0.25</v>
      </c>
      <c r="DM20" s="35">
        <f t="shared" si="5"/>
        <v>618.75</v>
      </c>
      <c r="DN20" s="35">
        <f t="shared" si="10"/>
        <v>1100</v>
      </c>
      <c r="DO20" s="35">
        <f t="shared" si="6"/>
        <v>481.25</v>
      </c>
      <c r="DP20" s="9"/>
      <c r="DQ20" s="9"/>
      <c r="DR20" s="9"/>
      <c r="DS20" s="9"/>
      <c r="DT20" s="9"/>
      <c r="DU20" s="9"/>
      <c r="DV20" s="36"/>
      <c r="DW20" s="4"/>
      <c r="DX20" s="4"/>
      <c r="DY20" s="8"/>
      <c r="DZ20" s="9" t="s">
        <v>70</v>
      </c>
      <c r="EA20" s="25">
        <f>EA12/$EG$12</f>
        <v>0.27341585072972474</v>
      </c>
      <c r="EB20" s="12"/>
      <c r="EC20" s="25">
        <f>EC12/$EG$12</f>
        <v>0.34749676704230559</v>
      </c>
      <c r="ED20" s="12"/>
      <c r="EE20" s="25">
        <f>EE12/$EG$12</f>
        <v>0.37908738222796973</v>
      </c>
      <c r="EF20" s="12"/>
      <c r="EG20" s="45">
        <f>EG12/$EG$12</f>
        <v>1</v>
      </c>
      <c r="EH20" s="36"/>
      <c r="EI20" s="4"/>
      <c r="EJ20" s="4"/>
      <c r="EK20" s="8"/>
      <c r="EL20" s="9" t="s">
        <v>70</v>
      </c>
      <c r="EM20" s="25">
        <f>EM12/$ES$12</f>
        <v>0.42358328563251285</v>
      </c>
      <c r="EN20" s="12"/>
      <c r="EO20" s="25">
        <f>EO12/$ES$12</f>
        <v>0.47853463079564962</v>
      </c>
      <c r="EP20" s="12"/>
      <c r="EQ20" s="25">
        <f>EQ12/$ES$12</f>
        <v>9.7882083571837433E-2</v>
      </c>
      <c r="ER20" s="12"/>
      <c r="ES20" s="45">
        <f>ES12/$ES$12</f>
        <v>1</v>
      </c>
      <c r="ET20" s="36"/>
      <c r="EU20" s="4"/>
      <c r="EV20" s="4"/>
      <c r="EW20" s="8"/>
      <c r="EX20" s="9"/>
      <c r="EY20" s="9"/>
      <c r="EZ20" s="9"/>
      <c r="FA20" s="9"/>
      <c r="FB20" s="9"/>
      <c r="FC20" s="9"/>
      <c r="FD20" s="36"/>
      <c r="FE20" s="4"/>
      <c r="FF20" s="4"/>
      <c r="FG20" s="4"/>
      <c r="FH20" s="4"/>
      <c r="FI20" s="4"/>
      <c r="FJ20" s="4"/>
      <c r="FK20" s="4"/>
      <c r="FL20" s="4"/>
      <c r="FM20" s="4"/>
    </row>
    <row r="21" spans="1:169" ht="13.5" thickTop="1" x14ac:dyDescent="0.4">
      <c r="A21" s="4"/>
      <c r="B21" s="4"/>
      <c r="C21" s="4"/>
      <c r="D21" s="4"/>
      <c r="E21" s="5"/>
      <c r="F21" s="4"/>
      <c r="G21" s="4"/>
      <c r="H21" s="4"/>
      <c r="I21" s="4"/>
      <c r="J21" s="8"/>
      <c r="K21" s="20" t="s">
        <v>10</v>
      </c>
      <c r="L21" s="21">
        <f>L9-L19</f>
        <v>14981</v>
      </c>
      <c r="N21" s="9"/>
      <c r="O21" s="9"/>
      <c r="P21" s="9"/>
      <c r="Q21" s="15"/>
      <c r="R21" s="4"/>
      <c r="S21" s="4"/>
      <c r="T21" s="8"/>
      <c r="U21" s="9" t="s">
        <v>28</v>
      </c>
      <c r="V21" s="9"/>
      <c r="W21" s="40">
        <f>V19*10</f>
        <v>55100</v>
      </c>
      <c r="X21" s="40">
        <v>10</v>
      </c>
      <c r="Y21" s="41">
        <v>1</v>
      </c>
      <c r="Z21" s="36"/>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8"/>
      <c r="BF21" s="9"/>
      <c r="BG21" s="9"/>
      <c r="BH21" s="9"/>
      <c r="BI21" s="9"/>
      <c r="BJ21" s="9"/>
      <c r="BK21" s="9"/>
      <c r="BL21" s="9"/>
      <c r="BM21" s="9"/>
      <c r="BN21" s="9"/>
      <c r="BO21" s="9"/>
      <c r="BP21" s="36"/>
      <c r="BQ21" s="4"/>
      <c r="BR21" s="4"/>
      <c r="BS21" s="8"/>
      <c r="BT21" s="9"/>
      <c r="BU21" s="9"/>
      <c r="BV21" s="9"/>
      <c r="BW21" s="9"/>
      <c r="BX21" s="9"/>
      <c r="BY21" s="9"/>
      <c r="BZ21" s="9"/>
      <c r="CA21" s="9"/>
      <c r="CB21" s="9"/>
      <c r="CC21" s="9"/>
      <c r="CD21" s="36"/>
      <c r="CE21" s="4"/>
      <c r="CF21" s="4"/>
      <c r="CG21" s="8"/>
      <c r="CH21" s="9">
        <v>13</v>
      </c>
      <c r="CI21" s="35">
        <f t="shared" si="7"/>
        <v>50</v>
      </c>
      <c r="CJ21" s="35">
        <f t="shared" si="8"/>
        <v>195</v>
      </c>
      <c r="CK21" s="35">
        <f t="shared" si="1"/>
        <v>245</v>
      </c>
      <c r="CL21" s="35">
        <f t="shared" si="9"/>
        <v>260</v>
      </c>
      <c r="CM21" s="9"/>
      <c r="CN21" s="9"/>
      <c r="CO21" s="9"/>
      <c r="CP21" s="9"/>
      <c r="CQ21" s="9"/>
      <c r="CR21" s="9"/>
      <c r="CS21" s="9"/>
      <c r="CT21" s="36"/>
      <c r="CU21" s="4"/>
      <c r="CV21" s="4"/>
      <c r="CW21" s="8"/>
      <c r="CX21" s="9">
        <v>65</v>
      </c>
      <c r="CY21" s="49">
        <v>0.3</v>
      </c>
      <c r="CZ21" s="35">
        <f t="shared" si="4"/>
        <v>909.99999999999989</v>
      </c>
      <c r="DA21" s="9"/>
      <c r="DB21" s="9"/>
      <c r="DC21" s="9"/>
      <c r="DD21" s="9"/>
      <c r="DE21" s="9"/>
      <c r="DF21" s="9"/>
      <c r="DG21" s="36"/>
      <c r="DH21" s="4"/>
      <c r="DI21" s="4"/>
      <c r="DJ21" s="8"/>
      <c r="DK21" s="9">
        <v>60</v>
      </c>
      <c r="DL21" s="49">
        <v>0.27500000000000002</v>
      </c>
      <c r="DM21" s="35">
        <f t="shared" si="5"/>
        <v>652.5</v>
      </c>
      <c r="DN21" s="35">
        <f t="shared" si="10"/>
        <v>1200</v>
      </c>
      <c r="DO21" s="35">
        <f t="shared" si="6"/>
        <v>547.5</v>
      </c>
      <c r="DP21" s="9"/>
      <c r="DQ21" s="9"/>
      <c r="DR21" s="9"/>
      <c r="DS21" s="9"/>
      <c r="DT21" s="9"/>
      <c r="DU21" s="9"/>
      <c r="DV21" s="36"/>
      <c r="DW21" s="4"/>
      <c r="DX21" s="4"/>
      <c r="DY21" s="8"/>
      <c r="DZ21" s="9"/>
      <c r="EA21" s="11"/>
      <c r="EB21" s="12"/>
      <c r="EC21" s="11"/>
      <c r="ED21" s="12"/>
      <c r="EE21" s="11"/>
      <c r="EF21" s="12"/>
      <c r="EG21" s="9"/>
      <c r="EH21" s="36"/>
      <c r="EI21" s="4"/>
      <c r="EJ21" s="4"/>
      <c r="EK21" s="8"/>
      <c r="EL21" s="9"/>
      <c r="EM21" s="11"/>
      <c r="EN21" s="12"/>
      <c r="EO21" s="11"/>
      <c r="EP21" s="12"/>
      <c r="EQ21" s="11"/>
      <c r="ER21" s="12"/>
      <c r="ES21" s="9"/>
      <c r="ET21" s="36"/>
      <c r="EU21" s="4"/>
      <c r="EV21" s="4"/>
      <c r="EW21" s="8"/>
      <c r="EX21" s="9"/>
      <c r="EY21" s="9"/>
      <c r="EZ21" s="9"/>
      <c r="FA21" s="9"/>
      <c r="FB21" s="9"/>
      <c r="FC21" s="9"/>
      <c r="FD21" s="36"/>
      <c r="FE21" s="4"/>
      <c r="FF21" s="4"/>
      <c r="FG21" s="4"/>
      <c r="FH21" s="4"/>
      <c r="FI21" s="4"/>
      <c r="FJ21" s="4"/>
      <c r="FK21" s="4"/>
      <c r="FL21" s="4"/>
      <c r="FM21" s="4"/>
    </row>
    <row r="22" spans="1:169" ht="13.5" thickBot="1" x14ac:dyDescent="0.45">
      <c r="A22" s="4"/>
      <c r="B22" s="4"/>
      <c r="C22" s="44"/>
      <c r="D22" s="4"/>
      <c r="E22" s="5"/>
      <c r="F22" s="4"/>
      <c r="G22" s="4"/>
      <c r="H22" s="4"/>
      <c r="I22" s="4"/>
      <c r="J22" s="28"/>
      <c r="K22" s="29"/>
      <c r="L22" s="30"/>
      <c r="M22" s="29"/>
      <c r="N22" s="29"/>
      <c r="O22" s="29"/>
      <c r="P22" s="29"/>
      <c r="Q22" s="31"/>
      <c r="R22" s="4"/>
      <c r="S22" s="4"/>
      <c r="T22" s="8"/>
      <c r="U22" s="9"/>
      <c r="V22" s="9"/>
      <c r="W22" s="42"/>
      <c r="X22" s="40"/>
      <c r="Y22" s="41"/>
      <c r="Z22" s="36"/>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8"/>
      <c r="BF22" s="9"/>
      <c r="BG22" s="9"/>
      <c r="BH22" s="9"/>
      <c r="BI22" s="9"/>
      <c r="BJ22" s="9"/>
      <c r="BK22" s="9"/>
      <c r="BL22" s="9"/>
      <c r="BM22" s="9"/>
      <c r="BN22" s="9"/>
      <c r="BO22" s="9"/>
      <c r="BP22" s="36"/>
      <c r="BQ22" s="4"/>
      <c r="BR22" s="4"/>
      <c r="BS22" s="8"/>
      <c r="BT22" s="9"/>
      <c r="BU22" s="9"/>
      <c r="BV22" s="9"/>
      <c r="BW22" s="9"/>
      <c r="BX22" s="9"/>
      <c r="BY22" s="9"/>
      <c r="BZ22" s="9"/>
      <c r="CA22" s="9"/>
      <c r="CB22" s="9"/>
      <c r="CC22" s="9"/>
      <c r="CD22" s="36"/>
      <c r="CE22" s="4"/>
      <c r="CF22" s="4"/>
      <c r="CG22" s="8"/>
      <c r="CH22" s="9">
        <v>14</v>
      </c>
      <c r="CI22" s="35">
        <f t="shared" si="7"/>
        <v>50</v>
      </c>
      <c r="CJ22" s="35">
        <f t="shared" si="8"/>
        <v>210</v>
      </c>
      <c r="CK22" s="35">
        <f t="shared" si="1"/>
        <v>260</v>
      </c>
      <c r="CL22" s="35">
        <f t="shared" si="9"/>
        <v>280</v>
      </c>
      <c r="CM22" s="9"/>
      <c r="CN22" s="9"/>
      <c r="CO22" s="9"/>
      <c r="CP22" s="9"/>
      <c r="CQ22" s="9"/>
      <c r="CR22" s="9"/>
      <c r="CS22" s="9"/>
      <c r="CT22" s="36"/>
      <c r="CU22" s="4"/>
      <c r="CV22" s="4"/>
      <c r="CW22" s="8"/>
      <c r="CX22" s="9">
        <v>70</v>
      </c>
      <c r="CY22" s="49">
        <v>0.32500000000000001</v>
      </c>
      <c r="CZ22" s="35">
        <f t="shared" si="4"/>
        <v>945.00000000000011</v>
      </c>
      <c r="DA22" s="9"/>
      <c r="DB22" s="9"/>
      <c r="DC22" s="9"/>
      <c r="DD22" s="9"/>
      <c r="DE22" s="9"/>
      <c r="DF22" s="9"/>
      <c r="DG22" s="36"/>
      <c r="DH22" s="4"/>
      <c r="DI22" s="4"/>
      <c r="DJ22" s="8"/>
      <c r="DK22" s="9">
        <v>65</v>
      </c>
      <c r="DL22" s="49">
        <v>0.3</v>
      </c>
      <c r="DM22" s="35">
        <f t="shared" si="5"/>
        <v>682.5</v>
      </c>
      <c r="DN22" s="35">
        <f t="shared" si="10"/>
        <v>1300</v>
      </c>
      <c r="DO22" s="35">
        <f t="shared" si="6"/>
        <v>617.5</v>
      </c>
      <c r="DP22" s="9"/>
      <c r="DQ22" s="9"/>
      <c r="DR22" s="9"/>
      <c r="DS22" s="9"/>
      <c r="DT22" s="9"/>
      <c r="DU22" s="9"/>
      <c r="DV22" s="36"/>
      <c r="DW22" s="4"/>
      <c r="DX22" s="4"/>
      <c r="DY22" s="8"/>
      <c r="DZ22" s="9" t="s">
        <v>71</v>
      </c>
      <c r="EA22" s="27">
        <f>$EA$7/EA18</f>
        <v>68931.506849315061</v>
      </c>
      <c r="EB22" s="17"/>
      <c r="EC22" s="27">
        <f>$EA$7/EC18</f>
        <v>74020.833333333328</v>
      </c>
      <c r="ED22" s="17"/>
      <c r="EE22" s="27">
        <f>$EA$7/EE18</f>
        <v>83057.142857142841</v>
      </c>
      <c r="EF22" s="17"/>
      <c r="EG22" s="35">
        <f>$EA$7/EG18</f>
        <v>75612.982744453577</v>
      </c>
      <c r="EH22" s="36"/>
      <c r="EI22" s="4"/>
      <c r="EJ22" s="4"/>
      <c r="EK22" s="8"/>
      <c r="EL22" s="9" t="s">
        <v>71</v>
      </c>
      <c r="EM22" s="27">
        <f>$EM$7/EM18</f>
        <v>68931.506849315061</v>
      </c>
      <c r="EN22" s="17"/>
      <c r="EO22" s="27">
        <f>$EM$7/EO18</f>
        <v>74020.833333333343</v>
      </c>
      <c r="EP22" s="17"/>
      <c r="EQ22" s="27">
        <f>$EM$7/EQ18</f>
        <v>83057.142857142841</v>
      </c>
      <c r="ER22" s="17"/>
      <c r="ES22" s="35">
        <f>$EM$7/ES18</f>
        <v>72525.030525030525</v>
      </c>
      <c r="ET22" s="36"/>
      <c r="EU22" s="4"/>
      <c r="EV22" s="4"/>
      <c r="EW22" s="28"/>
      <c r="EX22" s="29"/>
      <c r="EY22" s="29"/>
      <c r="EZ22" s="29"/>
      <c r="FA22" s="29"/>
      <c r="FB22" s="29"/>
      <c r="FC22" s="29"/>
      <c r="FD22" s="37"/>
      <c r="FE22" s="4"/>
      <c r="FF22" s="4"/>
      <c r="FG22" s="4"/>
      <c r="FH22" s="4"/>
      <c r="FI22" s="4"/>
      <c r="FJ22" s="4"/>
      <c r="FK22" s="4"/>
      <c r="FL22" s="4"/>
      <c r="FM22" s="4"/>
    </row>
    <row r="23" spans="1:169" ht="13.15" thickTop="1" x14ac:dyDescent="0.35">
      <c r="A23" s="4"/>
      <c r="B23" s="4"/>
      <c r="C23" s="4"/>
      <c r="D23" s="4"/>
      <c r="E23" s="5"/>
      <c r="F23" s="4"/>
      <c r="G23" s="4"/>
      <c r="H23" s="4"/>
      <c r="I23" s="4"/>
      <c r="J23" s="4"/>
      <c r="K23" s="4"/>
      <c r="L23" s="4"/>
      <c r="M23" s="4"/>
      <c r="N23" s="4"/>
      <c r="O23" s="4"/>
      <c r="P23" s="4"/>
      <c r="Q23" s="4"/>
      <c r="R23" s="4"/>
      <c r="S23" s="4"/>
      <c r="T23" s="8"/>
      <c r="U23" s="9" t="s">
        <v>29</v>
      </c>
      <c r="V23" s="9"/>
      <c r="W23" s="9"/>
      <c r="X23" s="9"/>
      <c r="Y23" s="41"/>
      <c r="Z23" s="36"/>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8"/>
      <c r="BF23" s="9"/>
      <c r="BG23" s="9"/>
      <c r="BH23" s="9"/>
      <c r="BI23" s="9"/>
      <c r="BJ23" s="9"/>
      <c r="BK23" s="9"/>
      <c r="BL23" s="9"/>
      <c r="BM23" s="9"/>
      <c r="BN23" s="9"/>
      <c r="BO23" s="9"/>
      <c r="BP23" s="36"/>
      <c r="BQ23" s="4"/>
      <c r="BR23" s="4"/>
      <c r="BS23" s="8"/>
      <c r="BT23" s="9"/>
      <c r="BU23" s="9"/>
      <c r="BV23" s="9"/>
      <c r="BW23" s="9"/>
      <c r="BX23" s="9"/>
      <c r="BY23" s="9"/>
      <c r="BZ23" s="9"/>
      <c r="CA23" s="9"/>
      <c r="CB23" s="9"/>
      <c r="CC23" s="9"/>
      <c r="CD23" s="36"/>
      <c r="CE23" s="4"/>
      <c r="CF23" s="4"/>
      <c r="CG23" s="8"/>
      <c r="CH23" s="9">
        <v>15</v>
      </c>
      <c r="CI23" s="35">
        <f t="shared" si="7"/>
        <v>50</v>
      </c>
      <c r="CJ23" s="35">
        <f t="shared" si="8"/>
        <v>225</v>
      </c>
      <c r="CK23" s="35">
        <f t="shared" si="1"/>
        <v>275</v>
      </c>
      <c r="CL23" s="35">
        <f t="shared" si="9"/>
        <v>300</v>
      </c>
      <c r="CM23" s="9"/>
      <c r="CN23" s="9"/>
      <c r="CO23" s="9"/>
      <c r="CP23" s="9"/>
      <c r="CQ23" s="9"/>
      <c r="CR23" s="9"/>
      <c r="CS23" s="9"/>
      <c r="CT23" s="36"/>
      <c r="CU23" s="4"/>
      <c r="CV23" s="4"/>
      <c r="CW23" s="8"/>
      <c r="CX23" s="9">
        <v>75</v>
      </c>
      <c r="CY23" s="49">
        <v>0.35</v>
      </c>
      <c r="CZ23" s="35">
        <f t="shared" si="4"/>
        <v>975</v>
      </c>
      <c r="DA23" s="9"/>
      <c r="DB23" s="9"/>
      <c r="DC23" s="9"/>
      <c r="DD23" s="9"/>
      <c r="DE23" s="9"/>
      <c r="DF23" s="9"/>
      <c r="DG23" s="36"/>
      <c r="DH23" s="4"/>
      <c r="DI23" s="4"/>
      <c r="DJ23" s="8"/>
      <c r="DK23" s="9">
        <v>70</v>
      </c>
      <c r="DL23" s="49">
        <v>0.32500000000000001</v>
      </c>
      <c r="DM23" s="35">
        <f t="shared" si="5"/>
        <v>708.75</v>
      </c>
      <c r="DN23" s="35">
        <f t="shared" si="10"/>
        <v>1400</v>
      </c>
      <c r="DO23" s="35">
        <f t="shared" si="6"/>
        <v>691.25</v>
      </c>
      <c r="DP23" s="9"/>
      <c r="DQ23" s="9"/>
      <c r="DR23" s="9"/>
      <c r="DS23" s="9"/>
      <c r="DT23" s="9"/>
      <c r="DU23" s="9"/>
      <c r="DV23" s="36"/>
      <c r="DW23" s="4"/>
      <c r="DX23" s="4"/>
      <c r="DY23" s="8"/>
      <c r="DZ23" s="9"/>
      <c r="EA23" s="9"/>
      <c r="EB23" s="9"/>
      <c r="EC23" s="9"/>
      <c r="ED23" s="9"/>
      <c r="EE23" s="9"/>
      <c r="EF23" s="9"/>
      <c r="EG23" s="9"/>
      <c r="EH23" s="36"/>
      <c r="EI23" s="4"/>
      <c r="EJ23" s="4"/>
      <c r="EK23" s="8"/>
      <c r="EL23" s="9"/>
      <c r="EM23" s="9"/>
      <c r="EN23" s="9"/>
      <c r="EO23" s="9"/>
      <c r="EP23" s="9"/>
      <c r="EQ23" s="9"/>
      <c r="ER23" s="9"/>
      <c r="ES23" s="9"/>
      <c r="ET23" s="36"/>
      <c r="EU23" s="4"/>
      <c r="EV23" s="4"/>
      <c r="EW23" s="4"/>
      <c r="EX23" s="4"/>
      <c r="EY23" s="4"/>
      <c r="EZ23" s="4"/>
      <c r="FA23" s="4"/>
      <c r="FB23" s="4"/>
      <c r="FC23" s="4"/>
      <c r="FD23" s="4"/>
      <c r="FE23" s="4"/>
      <c r="FF23" s="4"/>
      <c r="FG23" s="4"/>
      <c r="FH23" s="4"/>
      <c r="FI23" s="4"/>
      <c r="FJ23" s="4"/>
      <c r="FK23" s="4"/>
      <c r="FL23" s="4"/>
      <c r="FM23" s="4"/>
    </row>
    <row r="24" spans="1:169" ht="13.15" x14ac:dyDescent="0.4">
      <c r="A24" s="4"/>
      <c r="B24" s="4"/>
      <c r="C24" s="4"/>
      <c r="D24" s="4"/>
      <c r="E24" s="5"/>
      <c r="F24" s="4"/>
      <c r="G24" s="4"/>
      <c r="H24" s="4"/>
      <c r="I24" s="4"/>
      <c r="J24" s="44"/>
      <c r="K24" s="4"/>
      <c r="L24" s="4"/>
      <c r="M24" s="4"/>
      <c r="N24" s="4"/>
      <c r="O24" s="4"/>
      <c r="P24" s="4"/>
      <c r="Q24" s="4"/>
      <c r="R24" s="4"/>
      <c r="S24" s="4"/>
      <c r="T24" s="8"/>
      <c r="U24" s="13" t="s">
        <v>30</v>
      </c>
      <c r="V24" s="9"/>
      <c r="W24" s="40">
        <f>V19*X24</f>
        <v>4010</v>
      </c>
      <c r="X24" s="40">
        <f>(SUM('JaxWorks Break-Even Analysis'!P9:P14)+490*0.9+510)/V19</f>
        <v>0.72776769509981853</v>
      </c>
      <c r="Y24" s="41">
        <f>X24/$X$9</f>
        <v>7.2776769509981853E-2</v>
      </c>
      <c r="Z24" s="36"/>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8"/>
      <c r="BF24" s="9"/>
      <c r="BG24" s="9"/>
      <c r="BH24" s="9"/>
      <c r="BI24" s="9"/>
      <c r="BJ24" s="9"/>
      <c r="BK24" s="9"/>
      <c r="BL24" s="9"/>
      <c r="BM24" s="9"/>
      <c r="BN24" s="9"/>
      <c r="BO24" s="9"/>
      <c r="BP24" s="36"/>
      <c r="BQ24" s="4"/>
      <c r="BR24" s="4"/>
      <c r="BS24" s="8"/>
      <c r="BT24" s="9"/>
      <c r="BU24" s="9"/>
      <c r="BV24" s="9"/>
      <c r="BW24" s="9"/>
      <c r="BX24" s="9"/>
      <c r="BY24" s="9"/>
      <c r="BZ24" s="9"/>
      <c r="CA24" s="9"/>
      <c r="CB24" s="9"/>
      <c r="CC24" s="9"/>
      <c r="CD24" s="36"/>
      <c r="CE24" s="4"/>
      <c r="CF24" s="4"/>
      <c r="CG24" s="8"/>
      <c r="CH24" s="9">
        <v>16</v>
      </c>
      <c r="CI24" s="35">
        <f t="shared" si="7"/>
        <v>50</v>
      </c>
      <c r="CJ24" s="35">
        <f t="shared" si="8"/>
        <v>240</v>
      </c>
      <c r="CK24" s="35">
        <f t="shared" si="1"/>
        <v>290</v>
      </c>
      <c r="CL24" s="35">
        <f t="shared" si="9"/>
        <v>320</v>
      </c>
      <c r="CM24" s="9"/>
      <c r="CN24" s="9"/>
      <c r="CO24" s="9"/>
      <c r="CP24" s="9"/>
      <c r="CQ24" s="9"/>
      <c r="CR24" s="9"/>
      <c r="CS24" s="9"/>
      <c r="CT24" s="36"/>
      <c r="CU24" s="4"/>
      <c r="CV24" s="4"/>
      <c r="CW24" s="8"/>
      <c r="CX24" s="9">
        <v>80</v>
      </c>
      <c r="CY24" s="49">
        <v>0.375</v>
      </c>
      <c r="CZ24" s="35">
        <f t="shared" si="4"/>
        <v>1000</v>
      </c>
      <c r="DA24" s="9"/>
      <c r="DB24" s="9"/>
      <c r="DC24" s="9"/>
      <c r="DD24" s="9"/>
      <c r="DE24" s="9"/>
      <c r="DF24" s="9"/>
      <c r="DG24" s="36"/>
      <c r="DH24" s="4"/>
      <c r="DI24" s="4"/>
      <c r="DJ24" s="8"/>
      <c r="DK24" s="9">
        <v>75</v>
      </c>
      <c r="DL24" s="49">
        <v>0.35</v>
      </c>
      <c r="DM24" s="35">
        <f t="shared" si="5"/>
        <v>731.25</v>
      </c>
      <c r="DN24" s="35">
        <f t="shared" si="10"/>
        <v>1500</v>
      </c>
      <c r="DO24" s="35">
        <f t="shared" si="6"/>
        <v>768.75</v>
      </c>
      <c r="DP24" s="9"/>
      <c r="DQ24" s="9"/>
      <c r="DR24" s="9"/>
      <c r="DS24" s="9"/>
      <c r="DT24" s="9"/>
      <c r="DU24" s="9"/>
      <c r="DV24" s="36"/>
      <c r="DW24" s="4"/>
      <c r="DX24" s="4"/>
      <c r="DY24" s="8"/>
      <c r="DZ24" s="9"/>
      <c r="EA24" s="9"/>
      <c r="EB24" s="9"/>
      <c r="EC24" s="9"/>
      <c r="ED24" s="9"/>
      <c r="EE24" s="9"/>
      <c r="EF24" s="9"/>
      <c r="EG24" s="9"/>
      <c r="EH24" s="36"/>
      <c r="EI24" s="4"/>
      <c r="EJ24" s="4"/>
      <c r="EK24" s="8"/>
      <c r="EL24" s="9"/>
      <c r="EM24" s="9"/>
      <c r="EN24" s="9"/>
      <c r="EO24" s="9"/>
      <c r="EP24" s="9"/>
      <c r="EQ24" s="9"/>
      <c r="ER24" s="9"/>
      <c r="ES24" s="9"/>
      <c r="ET24" s="36"/>
      <c r="EU24" s="4"/>
      <c r="EV24" s="4"/>
      <c r="EW24" s="4"/>
      <c r="EX24" s="4"/>
      <c r="EY24" s="4"/>
      <c r="EZ24" s="4"/>
      <c r="FA24" s="4"/>
      <c r="FB24" s="4"/>
      <c r="FC24" s="4"/>
      <c r="FD24" s="4"/>
      <c r="FE24" s="4"/>
      <c r="FF24" s="4"/>
      <c r="FG24" s="4"/>
      <c r="FH24" s="4"/>
      <c r="FI24" s="4"/>
      <c r="FJ24" s="4"/>
      <c r="FK24" s="4"/>
      <c r="FL24" s="4"/>
      <c r="FM24" s="4"/>
    </row>
    <row r="25" spans="1:169" ht="13.15" thickBot="1" x14ac:dyDescent="0.4">
      <c r="A25" s="4"/>
      <c r="B25" s="4"/>
      <c r="C25" s="4"/>
      <c r="D25" s="4"/>
      <c r="E25" s="5"/>
      <c r="F25" s="4"/>
      <c r="G25" s="4"/>
      <c r="H25" s="4"/>
      <c r="I25" s="4"/>
      <c r="J25" s="4"/>
      <c r="K25" s="4"/>
      <c r="L25" s="4"/>
      <c r="M25" s="4"/>
      <c r="N25" s="4"/>
      <c r="O25" s="4"/>
      <c r="P25" s="4"/>
      <c r="Q25" s="4"/>
      <c r="R25" s="4"/>
      <c r="S25" s="4"/>
      <c r="T25" s="8"/>
      <c r="U25" s="13" t="s">
        <v>31</v>
      </c>
      <c r="V25" s="9"/>
      <c r="W25" s="40">
        <f>V19*X25</f>
        <v>27550</v>
      </c>
      <c r="X25" s="40">
        <v>5</v>
      </c>
      <c r="Y25" s="41">
        <f>X25/$X$9</f>
        <v>0.5</v>
      </c>
      <c r="Z25" s="36"/>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8"/>
      <c r="BF25" s="9"/>
      <c r="BG25" s="9"/>
      <c r="BH25" s="9"/>
      <c r="BI25" s="9"/>
      <c r="BJ25" s="9"/>
      <c r="BK25" s="9"/>
      <c r="BL25" s="9"/>
      <c r="BM25" s="9"/>
      <c r="BN25" s="9"/>
      <c r="BO25" s="9"/>
      <c r="BP25" s="36"/>
      <c r="BQ25" s="4"/>
      <c r="BR25" s="4"/>
      <c r="BS25" s="8"/>
      <c r="BT25" s="9"/>
      <c r="BU25" s="9"/>
      <c r="BV25" s="9"/>
      <c r="BW25" s="9"/>
      <c r="BX25" s="9"/>
      <c r="BY25" s="9"/>
      <c r="BZ25" s="9"/>
      <c r="CA25" s="9"/>
      <c r="CB25" s="9"/>
      <c r="CC25" s="9"/>
      <c r="CD25" s="36"/>
      <c r="CE25" s="4"/>
      <c r="CF25" s="4"/>
      <c r="CG25" s="8"/>
      <c r="CH25" s="9">
        <v>17</v>
      </c>
      <c r="CI25" s="35">
        <f t="shared" si="7"/>
        <v>50</v>
      </c>
      <c r="CJ25" s="35">
        <f t="shared" si="8"/>
        <v>255</v>
      </c>
      <c r="CK25" s="35">
        <f t="shared" si="1"/>
        <v>305</v>
      </c>
      <c r="CL25" s="35">
        <f t="shared" si="9"/>
        <v>340</v>
      </c>
      <c r="CM25" s="9"/>
      <c r="CN25" s="9"/>
      <c r="CO25" s="9"/>
      <c r="CP25" s="9"/>
      <c r="CQ25" s="9"/>
      <c r="CR25" s="9"/>
      <c r="CS25" s="9"/>
      <c r="CT25" s="36"/>
      <c r="CU25" s="4"/>
      <c r="CV25" s="4"/>
      <c r="CW25" s="8"/>
      <c r="CX25" s="9">
        <v>85</v>
      </c>
      <c r="CY25" s="49">
        <v>0.4</v>
      </c>
      <c r="CZ25" s="35">
        <f t="shared" si="4"/>
        <v>1020</v>
      </c>
      <c r="DA25" s="9"/>
      <c r="DB25" s="9"/>
      <c r="DC25" s="9"/>
      <c r="DD25" s="9"/>
      <c r="DE25" s="9"/>
      <c r="DF25" s="9"/>
      <c r="DG25" s="36"/>
      <c r="DH25" s="4"/>
      <c r="DI25" s="4"/>
      <c r="DJ25" s="8"/>
      <c r="DK25" s="9">
        <v>80</v>
      </c>
      <c r="DL25" s="49">
        <v>0.375</v>
      </c>
      <c r="DM25" s="35">
        <f t="shared" si="5"/>
        <v>750</v>
      </c>
      <c r="DN25" s="35">
        <f t="shared" si="10"/>
        <v>1600</v>
      </c>
      <c r="DO25" s="35">
        <f t="shared" si="6"/>
        <v>850</v>
      </c>
      <c r="DP25" s="9"/>
      <c r="DQ25" s="9"/>
      <c r="DR25" s="9"/>
      <c r="DS25" s="9"/>
      <c r="DT25" s="9"/>
      <c r="DU25" s="9"/>
      <c r="DV25" s="36"/>
      <c r="DW25" s="4"/>
      <c r="DX25" s="4"/>
      <c r="DY25" s="28"/>
      <c r="DZ25" s="29"/>
      <c r="EA25" s="29"/>
      <c r="EB25" s="29"/>
      <c r="EC25" s="29"/>
      <c r="ED25" s="29"/>
      <c r="EE25" s="29"/>
      <c r="EF25" s="29"/>
      <c r="EG25" s="29"/>
      <c r="EH25" s="37"/>
      <c r="EI25" s="4"/>
      <c r="EJ25" s="4"/>
      <c r="EK25" s="28"/>
      <c r="EL25" s="29"/>
      <c r="EM25" s="29"/>
      <c r="EN25" s="29"/>
      <c r="EO25" s="29"/>
      <c r="EP25" s="29"/>
      <c r="EQ25" s="29"/>
      <c r="ER25" s="29"/>
      <c r="ES25" s="29"/>
      <c r="ET25" s="37"/>
      <c r="EU25" s="4"/>
      <c r="EV25" s="4"/>
      <c r="EW25" s="4"/>
      <c r="EX25" s="4"/>
      <c r="EY25" s="4"/>
      <c r="EZ25" s="4"/>
      <c r="FA25" s="4"/>
      <c r="FB25" s="4"/>
      <c r="FC25" s="4"/>
      <c r="FD25" s="4"/>
      <c r="FE25" s="4"/>
      <c r="FF25" s="4"/>
      <c r="FG25" s="4"/>
      <c r="FH25" s="4"/>
      <c r="FI25" s="4"/>
      <c r="FJ25" s="4"/>
      <c r="FK25" s="4"/>
      <c r="FL25" s="4"/>
      <c r="FM25" s="4"/>
    </row>
    <row r="26" spans="1:169" ht="13.5" thickTop="1" thickBot="1" x14ac:dyDescent="0.4">
      <c r="A26" s="4"/>
      <c r="B26" s="4"/>
      <c r="C26" s="4"/>
      <c r="D26" s="4"/>
      <c r="E26" s="5"/>
      <c r="F26" s="32"/>
      <c r="G26" s="4"/>
      <c r="H26" s="4"/>
      <c r="I26" s="4"/>
      <c r="J26" s="4"/>
      <c r="K26" s="4"/>
      <c r="L26" s="4"/>
      <c r="M26" s="4"/>
      <c r="N26" s="4"/>
      <c r="O26" s="4"/>
      <c r="P26" s="4"/>
      <c r="Q26" s="4"/>
      <c r="R26" s="4"/>
      <c r="S26" s="4"/>
      <c r="T26" s="8"/>
      <c r="U26" s="13" t="s">
        <v>32</v>
      </c>
      <c r="V26" s="9"/>
      <c r="W26" s="40">
        <f>V19*X26</f>
        <v>5510</v>
      </c>
      <c r="X26" s="40">
        <v>1</v>
      </c>
      <c r="Y26" s="41">
        <f>X26/$X$9</f>
        <v>0.1</v>
      </c>
      <c r="Z26" s="36"/>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28"/>
      <c r="BF26" s="29"/>
      <c r="BG26" s="29"/>
      <c r="BH26" s="29"/>
      <c r="BI26" s="29"/>
      <c r="BJ26" s="29"/>
      <c r="BK26" s="29"/>
      <c r="BL26" s="29"/>
      <c r="BM26" s="29"/>
      <c r="BN26" s="29"/>
      <c r="BO26" s="29"/>
      <c r="BP26" s="37"/>
      <c r="BQ26" s="4"/>
      <c r="BR26" s="4"/>
      <c r="BS26" s="28"/>
      <c r="BT26" s="29"/>
      <c r="BU26" s="29"/>
      <c r="BV26" s="29"/>
      <c r="BW26" s="29"/>
      <c r="BX26" s="29"/>
      <c r="BY26" s="29"/>
      <c r="BZ26" s="29"/>
      <c r="CA26" s="29"/>
      <c r="CB26" s="29"/>
      <c r="CC26" s="29"/>
      <c r="CD26" s="37"/>
      <c r="CE26" s="4"/>
      <c r="CF26" s="4"/>
      <c r="CG26" s="8"/>
      <c r="CH26" s="9">
        <v>18</v>
      </c>
      <c r="CI26" s="35">
        <f t="shared" si="7"/>
        <v>50</v>
      </c>
      <c r="CJ26" s="35">
        <f t="shared" si="8"/>
        <v>270</v>
      </c>
      <c r="CK26" s="35">
        <f t="shared" si="1"/>
        <v>320</v>
      </c>
      <c r="CL26" s="35">
        <f t="shared" si="9"/>
        <v>360</v>
      </c>
      <c r="CM26" s="9"/>
      <c r="CN26" s="9"/>
      <c r="CO26" s="9"/>
      <c r="CP26" s="9"/>
      <c r="CQ26" s="9"/>
      <c r="CR26" s="9"/>
      <c r="CS26" s="9"/>
      <c r="CT26" s="36"/>
      <c r="CU26" s="4"/>
      <c r="CV26" s="4"/>
      <c r="CW26" s="8"/>
      <c r="CX26" s="9">
        <v>90</v>
      </c>
      <c r="CY26" s="49">
        <v>0.42499999999999999</v>
      </c>
      <c r="CZ26" s="35">
        <f t="shared" si="4"/>
        <v>1035</v>
      </c>
      <c r="DA26" s="9"/>
      <c r="DB26" s="9"/>
      <c r="DC26" s="9"/>
      <c r="DD26" s="9"/>
      <c r="DE26" s="9"/>
      <c r="DF26" s="9"/>
      <c r="DG26" s="36"/>
      <c r="DH26" s="4"/>
      <c r="DI26" s="4"/>
      <c r="DJ26" s="8"/>
      <c r="DK26" s="9">
        <v>85</v>
      </c>
      <c r="DL26" s="49">
        <v>0.4</v>
      </c>
      <c r="DM26" s="35">
        <f t="shared" si="5"/>
        <v>765</v>
      </c>
      <c r="DN26" s="35">
        <f t="shared" si="10"/>
        <v>1700</v>
      </c>
      <c r="DO26" s="35">
        <f t="shared" si="6"/>
        <v>935</v>
      </c>
      <c r="DP26" s="9"/>
      <c r="DQ26" s="9"/>
      <c r="DR26" s="9"/>
      <c r="DS26" s="9"/>
      <c r="DT26" s="9"/>
      <c r="DU26" s="9"/>
      <c r="DV26" s="36"/>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row>
    <row r="27" spans="1:169" ht="13.15" thickTop="1" x14ac:dyDescent="0.35">
      <c r="A27" s="4"/>
      <c r="B27" s="4"/>
      <c r="C27" s="4"/>
      <c r="D27" s="4"/>
      <c r="E27" s="5"/>
      <c r="F27" s="4"/>
      <c r="G27" s="4"/>
      <c r="H27" s="4"/>
      <c r="I27" s="4"/>
      <c r="J27" s="4"/>
      <c r="K27" s="4"/>
      <c r="L27" s="4"/>
      <c r="M27" s="4"/>
      <c r="N27" s="4"/>
      <c r="O27" s="4"/>
      <c r="P27" s="4"/>
      <c r="Q27" s="4"/>
      <c r="R27" s="4"/>
      <c r="S27" s="4"/>
      <c r="T27" s="8"/>
      <c r="U27" s="9"/>
      <c r="V27" s="9"/>
      <c r="W27" s="9"/>
      <c r="X27" s="9"/>
      <c r="Y27" s="41"/>
      <c r="Z27" s="36"/>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8"/>
      <c r="CH27" s="9">
        <v>19</v>
      </c>
      <c r="CI27" s="35">
        <f t="shared" si="7"/>
        <v>50</v>
      </c>
      <c r="CJ27" s="35">
        <f t="shared" si="8"/>
        <v>285</v>
      </c>
      <c r="CK27" s="35">
        <f t="shared" si="1"/>
        <v>335</v>
      </c>
      <c r="CL27" s="35">
        <f t="shared" si="9"/>
        <v>380</v>
      </c>
      <c r="CM27" s="9"/>
      <c r="CN27" s="9"/>
      <c r="CO27" s="9"/>
      <c r="CP27" s="9"/>
      <c r="CQ27" s="9"/>
      <c r="CR27" s="9"/>
      <c r="CS27" s="9"/>
      <c r="CT27" s="36"/>
      <c r="CU27" s="4"/>
      <c r="CV27" s="4"/>
      <c r="CW27" s="8"/>
      <c r="CX27" s="9"/>
      <c r="CY27" s="9"/>
      <c r="CZ27" s="9"/>
      <c r="DA27" s="9"/>
      <c r="DB27" s="9"/>
      <c r="DC27" s="9"/>
      <c r="DD27" s="9"/>
      <c r="DE27" s="9"/>
      <c r="DF27" s="9"/>
      <c r="DG27" s="36"/>
      <c r="DH27" s="4"/>
      <c r="DI27" s="4"/>
      <c r="DJ27" s="8"/>
      <c r="DK27" s="9">
        <v>90</v>
      </c>
      <c r="DL27" s="49">
        <v>0.42499999999999999</v>
      </c>
      <c r="DM27" s="35">
        <f t="shared" si="5"/>
        <v>776.24999999999989</v>
      </c>
      <c r="DN27" s="35">
        <f t="shared" si="10"/>
        <v>1800</v>
      </c>
      <c r="DO27" s="35">
        <f t="shared" si="6"/>
        <v>1023.7500000000001</v>
      </c>
      <c r="DP27" s="9"/>
      <c r="DQ27" s="9"/>
      <c r="DR27" s="9"/>
      <c r="DS27" s="9"/>
      <c r="DT27" s="9"/>
      <c r="DU27" s="9"/>
      <c r="DV27" s="36"/>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row>
    <row r="28" spans="1:169" x14ac:dyDescent="0.35">
      <c r="A28" s="4"/>
      <c r="B28" s="4"/>
      <c r="C28" s="4"/>
      <c r="D28" s="4"/>
      <c r="E28" s="5"/>
      <c r="F28" s="4"/>
      <c r="G28" s="32"/>
      <c r="H28" s="4"/>
      <c r="I28" s="32"/>
      <c r="J28" s="4"/>
      <c r="K28" s="4"/>
      <c r="L28" s="4"/>
      <c r="M28" s="4"/>
      <c r="N28" s="4"/>
      <c r="O28" s="4"/>
      <c r="P28" s="4"/>
      <c r="Q28" s="4"/>
      <c r="R28" s="4"/>
      <c r="S28" s="4"/>
      <c r="T28" s="8"/>
      <c r="U28" s="9" t="s">
        <v>33</v>
      </c>
      <c r="V28" s="9"/>
      <c r="W28" s="40">
        <f>W21-SUM(W24:W26)</f>
        <v>18030</v>
      </c>
      <c r="X28" s="40">
        <f>X21-SUM(X24:X26)</f>
        <v>3.2722323049001814</v>
      </c>
      <c r="Y28" s="41">
        <f>X28/$X$9</f>
        <v>0.32722323049001811</v>
      </c>
      <c r="Z28" s="36"/>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8"/>
      <c r="CH28" s="9"/>
      <c r="CI28" s="9"/>
      <c r="CJ28" s="9"/>
      <c r="CK28" s="9"/>
      <c r="CL28" s="9"/>
      <c r="CM28" s="9"/>
      <c r="CN28" s="9"/>
      <c r="CO28" s="9"/>
      <c r="CP28" s="9"/>
      <c r="CQ28" s="9"/>
      <c r="CR28" s="9"/>
      <c r="CS28" s="9"/>
      <c r="CT28" s="36"/>
      <c r="CU28" s="4"/>
      <c r="CV28" s="4"/>
      <c r="CW28" s="8"/>
      <c r="CX28" s="9"/>
      <c r="CY28" s="9"/>
      <c r="CZ28" s="9"/>
      <c r="DA28" s="9"/>
      <c r="DB28" s="9"/>
      <c r="DC28" s="9"/>
      <c r="DD28" s="9"/>
      <c r="DE28" s="9"/>
      <c r="DF28" s="9"/>
      <c r="DG28" s="36"/>
      <c r="DH28" s="4"/>
      <c r="DI28" s="4"/>
      <c r="DJ28" s="8"/>
      <c r="DK28" s="9"/>
      <c r="DL28" s="9"/>
      <c r="DM28" s="9"/>
      <c r="DN28" s="9"/>
      <c r="DO28" s="9"/>
      <c r="DP28" s="9"/>
      <c r="DQ28" s="9"/>
      <c r="DR28" s="9"/>
      <c r="DS28" s="9"/>
      <c r="DT28" s="9"/>
      <c r="DU28" s="9"/>
      <c r="DV28" s="36"/>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row>
    <row r="29" spans="1:169" ht="13.15" thickBot="1" x14ac:dyDescent="0.4">
      <c r="A29" s="4"/>
      <c r="B29" s="4"/>
      <c r="C29" s="4"/>
      <c r="D29" s="4"/>
      <c r="E29" s="5"/>
      <c r="F29" s="4"/>
      <c r="G29" s="4"/>
      <c r="H29" s="4"/>
      <c r="I29" s="4"/>
      <c r="J29" s="4"/>
      <c r="K29" s="4"/>
      <c r="L29" s="4"/>
      <c r="M29" s="4"/>
      <c r="N29" s="4"/>
      <c r="O29" s="4"/>
      <c r="P29" s="4"/>
      <c r="Q29" s="4"/>
      <c r="R29" s="4"/>
      <c r="S29" s="4"/>
      <c r="T29" s="28"/>
      <c r="U29" s="29"/>
      <c r="V29" s="29"/>
      <c r="W29" s="29"/>
      <c r="X29" s="29"/>
      <c r="Y29" s="29"/>
      <c r="Z29" s="37"/>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8"/>
      <c r="CH29" s="34"/>
      <c r="CI29" s="34"/>
      <c r="CJ29" s="34"/>
      <c r="CK29" s="34"/>
      <c r="CL29" s="34"/>
      <c r="CM29" s="34"/>
      <c r="CN29" s="34"/>
      <c r="CO29" s="34"/>
      <c r="CP29" s="34"/>
      <c r="CQ29" s="34"/>
      <c r="CR29" s="34"/>
      <c r="CS29" s="34"/>
      <c r="CT29" s="10"/>
      <c r="CU29" s="4"/>
      <c r="CV29" s="4"/>
      <c r="CW29" s="28"/>
      <c r="CX29" s="29"/>
      <c r="CY29" s="29"/>
      <c r="CZ29" s="29"/>
      <c r="DA29" s="29"/>
      <c r="DB29" s="29"/>
      <c r="DC29" s="29"/>
      <c r="DD29" s="29"/>
      <c r="DE29" s="29"/>
      <c r="DF29" s="29"/>
      <c r="DG29" s="37"/>
      <c r="DH29" s="4"/>
      <c r="DI29" s="4"/>
      <c r="DJ29" s="28"/>
      <c r="DK29" s="29"/>
      <c r="DL29" s="29"/>
      <c r="DM29" s="29"/>
      <c r="DN29" s="29"/>
      <c r="DO29" s="29"/>
      <c r="DP29" s="29"/>
      <c r="DQ29" s="29"/>
      <c r="DR29" s="29"/>
      <c r="DS29" s="29"/>
      <c r="DT29" s="29"/>
      <c r="DU29" s="29"/>
      <c r="DV29" s="37"/>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row>
    <row r="30" spans="1:169" ht="13.15" thickTop="1" x14ac:dyDescent="0.35">
      <c r="A30" s="4"/>
      <c r="B30" s="4"/>
      <c r="C30" s="4"/>
      <c r="D30" s="4"/>
      <c r="E30" s="5"/>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8"/>
      <c r="CH30" s="34"/>
      <c r="CI30" s="34"/>
      <c r="CJ30" s="34"/>
      <c r="CK30" s="34"/>
      <c r="CL30" s="34"/>
      <c r="CM30" s="34"/>
      <c r="CN30" s="34"/>
      <c r="CO30" s="34"/>
      <c r="CP30" s="34"/>
      <c r="CQ30" s="34"/>
      <c r="CR30" s="34"/>
      <c r="CS30" s="34"/>
      <c r="CT30" s="10"/>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row>
    <row r="31" spans="1:169" ht="13.15" x14ac:dyDescent="0.4">
      <c r="A31" s="4"/>
      <c r="B31" s="4"/>
      <c r="C31" s="4"/>
      <c r="D31" s="4"/>
      <c r="E31" s="5"/>
      <c r="F31" s="4"/>
      <c r="G31" s="4"/>
      <c r="H31" s="4"/>
      <c r="I31" s="4"/>
      <c r="J31" s="4"/>
      <c r="K31" s="4"/>
      <c r="L31" s="4"/>
      <c r="M31" s="4"/>
      <c r="N31" s="4"/>
      <c r="O31" s="4"/>
      <c r="P31" s="4"/>
      <c r="Q31" s="4"/>
      <c r="R31" s="4"/>
      <c r="S31" s="4"/>
      <c r="T31" s="4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8"/>
      <c r="CH31" s="34"/>
      <c r="CI31" s="34"/>
      <c r="CJ31" s="34"/>
      <c r="CK31" s="34"/>
      <c r="CL31" s="34"/>
      <c r="CM31" s="34"/>
      <c r="CN31" s="34"/>
      <c r="CO31" s="34"/>
      <c r="CP31" s="34"/>
      <c r="CQ31" s="34"/>
      <c r="CR31" s="34"/>
      <c r="CS31" s="34"/>
      <c r="CT31" s="10"/>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row>
    <row r="32" spans="1:169" x14ac:dyDescent="0.35">
      <c r="A32" s="4"/>
      <c r="B32" s="4"/>
      <c r="C32" s="4"/>
      <c r="D32" s="4"/>
      <c r="E32" s="5"/>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8"/>
      <c r="CH32" s="34"/>
      <c r="CI32" s="34"/>
      <c r="CJ32" s="34"/>
      <c r="CK32" s="34"/>
      <c r="CL32" s="34"/>
      <c r="CM32" s="34"/>
      <c r="CN32" s="34"/>
      <c r="CO32" s="34"/>
      <c r="CP32" s="34"/>
      <c r="CQ32" s="34"/>
      <c r="CR32" s="34"/>
      <c r="CS32" s="34"/>
      <c r="CT32" s="10"/>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row>
    <row r="33" spans="1:169" x14ac:dyDescent="0.35">
      <c r="A33" s="4"/>
      <c r="B33" s="4"/>
      <c r="C33" s="4"/>
      <c r="D33" s="4"/>
      <c r="E33" s="5"/>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8"/>
      <c r="CH33" s="34"/>
      <c r="CI33" s="34"/>
      <c r="CJ33" s="34"/>
      <c r="CK33" s="34"/>
      <c r="CL33" s="34"/>
      <c r="CM33" s="34"/>
      <c r="CN33" s="34"/>
      <c r="CO33" s="34"/>
      <c r="CP33" s="34"/>
      <c r="CQ33" s="34"/>
      <c r="CR33" s="34"/>
      <c r="CS33" s="34"/>
      <c r="CT33" s="10"/>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row>
    <row r="34" spans="1:169" x14ac:dyDescent="0.35">
      <c r="A34" s="4"/>
      <c r="B34" s="4"/>
      <c r="C34" s="4"/>
      <c r="D34" s="4"/>
      <c r="E34" s="5"/>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8"/>
      <c r="CH34" s="34"/>
      <c r="CI34" s="34"/>
      <c r="CJ34" s="34"/>
      <c r="CK34" s="34"/>
      <c r="CL34" s="34"/>
      <c r="CM34" s="34"/>
      <c r="CN34" s="34"/>
      <c r="CO34" s="34"/>
      <c r="CP34" s="34"/>
      <c r="CQ34" s="34"/>
      <c r="CR34" s="34"/>
      <c r="CS34" s="34"/>
      <c r="CT34" s="10"/>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row>
    <row r="35" spans="1:169" x14ac:dyDescent="0.35">
      <c r="A35" s="4"/>
      <c r="B35" s="4"/>
      <c r="C35" s="4"/>
      <c r="D35" s="4"/>
      <c r="E35" s="5"/>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8"/>
      <c r="CH35" s="34"/>
      <c r="CI35" s="34"/>
      <c r="CJ35" s="34"/>
      <c r="CK35" s="34"/>
      <c r="CL35" s="34"/>
      <c r="CM35" s="34"/>
      <c r="CN35" s="34"/>
      <c r="CO35" s="34"/>
      <c r="CP35" s="34"/>
      <c r="CQ35" s="34"/>
      <c r="CR35" s="34"/>
      <c r="CS35" s="34"/>
      <c r="CT35" s="10"/>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row>
    <row r="36" spans="1:169" x14ac:dyDescent="0.35">
      <c r="A36" s="4"/>
      <c r="B36" s="4"/>
      <c r="C36" s="4"/>
      <c r="D36" s="4"/>
      <c r="E36" s="5"/>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8"/>
      <c r="CH36" s="34"/>
      <c r="CI36" s="34"/>
      <c r="CJ36" s="34"/>
      <c r="CK36" s="34"/>
      <c r="CL36" s="34"/>
      <c r="CM36" s="34"/>
      <c r="CN36" s="34"/>
      <c r="CO36" s="34"/>
      <c r="CP36" s="34"/>
      <c r="CQ36" s="34"/>
      <c r="CR36" s="34"/>
      <c r="CS36" s="34"/>
      <c r="CT36" s="10"/>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row>
    <row r="37" spans="1:169" x14ac:dyDescent="0.35">
      <c r="A37" s="4"/>
      <c r="B37" s="4"/>
      <c r="C37" s="4"/>
      <c r="D37" s="4"/>
      <c r="E37" s="5"/>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8"/>
      <c r="CH37" s="34"/>
      <c r="CI37" s="34"/>
      <c r="CJ37" s="34"/>
      <c r="CK37" s="34"/>
      <c r="CL37" s="34"/>
      <c r="CM37" s="34"/>
      <c r="CN37" s="34"/>
      <c r="CO37" s="34"/>
      <c r="CP37" s="34"/>
      <c r="CQ37" s="34"/>
      <c r="CR37" s="34"/>
      <c r="CS37" s="34"/>
      <c r="CT37" s="10"/>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row>
    <row r="38" spans="1:169" x14ac:dyDescent="0.35">
      <c r="A38" s="4"/>
      <c r="B38" s="4"/>
      <c r="C38" s="4"/>
      <c r="D38" s="4"/>
      <c r="E38" s="5"/>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8"/>
      <c r="CH38" s="34"/>
      <c r="CI38" s="34"/>
      <c r="CJ38" s="34"/>
      <c r="CK38" s="34"/>
      <c r="CL38" s="34"/>
      <c r="CM38" s="34"/>
      <c r="CN38" s="34"/>
      <c r="CO38" s="34"/>
      <c r="CP38" s="34"/>
      <c r="CQ38" s="34"/>
      <c r="CR38" s="34"/>
      <c r="CS38" s="34"/>
      <c r="CT38" s="10"/>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row>
    <row r="39" spans="1:169" x14ac:dyDescent="0.35">
      <c r="A39" s="4"/>
      <c r="B39" s="4"/>
      <c r="C39" s="4"/>
      <c r="D39" s="4"/>
      <c r="E39" s="5"/>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8"/>
      <c r="CH39" s="34"/>
      <c r="CI39" s="34"/>
      <c r="CJ39" s="34"/>
      <c r="CK39" s="34"/>
      <c r="CL39" s="34"/>
      <c r="CM39" s="34"/>
      <c r="CN39" s="34"/>
      <c r="CO39" s="34"/>
      <c r="CP39" s="34"/>
      <c r="CQ39" s="34"/>
      <c r="CR39" s="34"/>
      <c r="CS39" s="34"/>
      <c r="CT39" s="10"/>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row>
    <row r="40" spans="1:169" x14ac:dyDescent="0.35">
      <c r="A40" s="4"/>
      <c r="B40" s="4"/>
      <c r="C40" s="4"/>
      <c r="D40" s="4"/>
      <c r="E40" s="5"/>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8"/>
      <c r="CH40" s="34"/>
      <c r="CI40" s="34"/>
      <c r="CJ40" s="34"/>
      <c r="CK40" s="34"/>
      <c r="CL40" s="34"/>
      <c r="CM40" s="34"/>
      <c r="CN40" s="34"/>
      <c r="CO40" s="34"/>
      <c r="CP40" s="34"/>
      <c r="CQ40" s="34"/>
      <c r="CR40" s="34"/>
      <c r="CS40" s="34"/>
      <c r="CT40" s="10"/>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row>
    <row r="41" spans="1:169" x14ac:dyDescent="0.35">
      <c r="A41" s="4"/>
      <c r="B41" s="4"/>
      <c r="C41" s="4"/>
      <c r="D41" s="4"/>
      <c r="E41" s="5"/>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8"/>
      <c r="CH41" s="34"/>
      <c r="CI41" s="34"/>
      <c r="CJ41" s="34"/>
      <c r="CK41" s="34"/>
      <c r="CL41" s="34"/>
      <c r="CM41" s="34"/>
      <c r="CN41" s="34"/>
      <c r="CO41" s="34"/>
      <c r="CP41" s="34"/>
      <c r="CQ41" s="34"/>
      <c r="CR41" s="34"/>
      <c r="CS41" s="34"/>
      <c r="CT41" s="10"/>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row>
    <row r="42" spans="1:169" x14ac:dyDescent="0.35">
      <c r="A42" s="4"/>
      <c r="B42" s="4"/>
      <c r="C42" s="4"/>
      <c r="D42" s="4"/>
      <c r="E42" s="5"/>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8"/>
      <c r="CH42" s="34"/>
      <c r="CI42" s="34"/>
      <c r="CJ42" s="34"/>
      <c r="CK42" s="34"/>
      <c r="CL42" s="34"/>
      <c r="CM42" s="34"/>
      <c r="CN42" s="34"/>
      <c r="CO42" s="34"/>
      <c r="CP42" s="34"/>
      <c r="CQ42" s="34"/>
      <c r="CR42" s="34"/>
      <c r="CS42" s="34"/>
      <c r="CT42" s="10"/>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row>
    <row r="43" spans="1:169" x14ac:dyDescent="0.35">
      <c r="A43" s="4"/>
      <c r="B43" s="4"/>
      <c r="C43" s="4"/>
      <c r="D43" s="4"/>
      <c r="E43" s="5"/>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8"/>
      <c r="CH43" s="9"/>
      <c r="CI43" s="9"/>
      <c r="CJ43" s="9"/>
      <c r="CK43" s="9"/>
      <c r="CL43" s="9"/>
      <c r="CM43" s="9"/>
      <c r="CN43" s="9"/>
      <c r="CO43" s="9"/>
      <c r="CP43" s="9"/>
      <c r="CQ43" s="9"/>
      <c r="CR43" s="9"/>
      <c r="CS43" s="9"/>
      <c r="CT43" s="36"/>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row>
    <row r="44" spans="1:169" x14ac:dyDescent="0.35">
      <c r="A44" s="4"/>
      <c r="B44" s="4"/>
      <c r="C44" s="4"/>
      <c r="D44" s="4"/>
      <c r="E44" s="5"/>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8"/>
      <c r="CH44" s="9"/>
      <c r="CI44" s="9"/>
      <c r="CJ44" s="9"/>
      <c r="CK44" s="9"/>
      <c r="CL44" s="9"/>
      <c r="CM44" s="9"/>
      <c r="CN44" s="9"/>
      <c r="CO44" s="9"/>
      <c r="CP44" s="9"/>
      <c r="CQ44" s="9"/>
      <c r="CR44" s="9"/>
      <c r="CS44" s="9"/>
      <c r="CT44" s="36"/>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row>
    <row r="45" spans="1:169" x14ac:dyDescent="0.35">
      <c r="A45" s="4"/>
      <c r="B45" s="4"/>
      <c r="C45" s="4"/>
      <c r="D45" s="4"/>
      <c r="E45" s="5"/>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8"/>
      <c r="CH45" s="9"/>
      <c r="CI45" s="9"/>
      <c r="CJ45" s="9"/>
      <c r="CK45" s="9"/>
      <c r="CL45" s="9"/>
      <c r="CM45" s="9"/>
      <c r="CN45" s="9"/>
      <c r="CO45" s="9"/>
      <c r="CP45" s="9"/>
      <c r="CQ45" s="9"/>
      <c r="CR45" s="9"/>
      <c r="CS45" s="9"/>
      <c r="CT45" s="36"/>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row>
    <row r="46" spans="1:169" x14ac:dyDescent="0.35">
      <c r="A46" s="4"/>
      <c r="B46" s="4"/>
      <c r="C46" s="4"/>
      <c r="D46" s="4"/>
      <c r="E46" s="5"/>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8"/>
      <c r="CH46" s="9"/>
      <c r="CI46" s="9"/>
      <c r="CJ46" s="9"/>
      <c r="CK46" s="9"/>
      <c r="CL46" s="9"/>
      <c r="CM46" s="9"/>
      <c r="CN46" s="9"/>
      <c r="CO46" s="9"/>
      <c r="CP46" s="9"/>
      <c r="CQ46" s="9"/>
      <c r="CR46" s="9"/>
      <c r="CS46" s="9"/>
      <c r="CT46" s="36"/>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row>
    <row r="47" spans="1:169" x14ac:dyDescent="0.35">
      <c r="A47" s="4"/>
      <c r="B47" s="4"/>
      <c r="C47" s="4"/>
      <c r="D47" s="4"/>
      <c r="E47" s="5"/>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8"/>
      <c r="CH47" s="9"/>
      <c r="CI47" s="9"/>
      <c r="CJ47" s="9"/>
      <c r="CK47" s="9"/>
      <c r="CL47" s="9"/>
      <c r="CM47" s="9"/>
      <c r="CN47" s="9"/>
      <c r="CO47" s="9"/>
      <c r="CP47" s="9"/>
      <c r="CQ47" s="9"/>
      <c r="CR47" s="9"/>
      <c r="CS47" s="9"/>
      <c r="CT47" s="36"/>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row>
    <row r="48" spans="1:169" x14ac:dyDescent="0.35">
      <c r="A48" s="4"/>
      <c r="B48" s="4"/>
      <c r="C48" s="4"/>
      <c r="D48" s="4"/>
      <c r="E48" s="5"/>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8"/>
      <c r="CH48" s="9"/>
      <c r="CI48" s="9"/>
      <c r="CJ48" s="9"/>
      <c r="CK48" s="9"/>
      <c r="CL48" s="9"/>
      <c r="CM48" s="9"/>
      <c r="CN48" s="9"/>
      <c r="CO48" s="9"/>
      <c r="CP48" s="9"/>
      <c r="CQ48" s="9"/>
      <c r="CR48" s="9"/>
      <c r="CS48" s="9"/>
      <c r="CT48" s="36"/>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row>
    <row r="49" spans="1:169" x14ac:dyDescent="0.35">
      <c r="A49" s="4"/>
      <c r="B49" s="4"/>
      <c r="C49" s="4"/>
      <c r="D49" s="4"/>
      <c r="E49" s="5"/>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8"/>
      <c r="CH49" s="9"/>
      <c r="CI49" s="9"/>
      <c r="CJ49" s="9"/>
      <c r="CK49" s="9"/>
      <c r="CL49" s="9"/>
      <c r="CM49" s="9"/>
      <c r="CN49" s="9"/>
      <c r="CO49" s="9"/>
      <c r="CP49" s="9"/>
      <c r="CQ49" s="9"/>
      <c r="CR49" s="9"/>
      <c r="CS49" s="9"/>
      <c r="CT49" s="36"/>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row>
    <row r="50" spans="1:169" ht="13.15" thickBot="1" x14ac:dyDescent="0.4">
      <c r="A50" s="4"/>
      <c r="B50" s="4"/>
      <c r="C50" s="4"/>
      <c r="D50" s="4"/>
      <c r="E50" s="5"/>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28"/>
      <c r="CH50" s="29"/>
      <c r="CI50" s="29"/>
      <c r="CJ50" s="29"/>
      <c r="CK50" s="29"/>
      <c r="CL50" s="29"/>
      <c r="CM50" s="29"/>
      <c r="CN50" s="29"/>
      <c r="CO50" s="29"/>
      <c r="CP50" s="29"/>
      <c r="CQ50" s="29"/>
      <c r="CR50" s="29"/>
      <c r="CS50" s="29"/>
      <c r="CT50" s="37"/>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row>
    <row r="51" spans="1:169" ht="13.15" thickTop="1" x14ac:dyDescent="0.35">
      <c r="A51" s="4"/>
      <c r="B51" s="4"/>
      <c r="C51" s="4"/>
      <c r="D51" s="4"/>
      <c r="E51" s="5"/>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row>
    <row r="52" spans="1:169" x14ac:dyDescent="0.35">
      <c r="A52" s="4"/>
      <c r="B52" s="4"/>
      <c r="C52" s="4"/>
      <c r="D52" s="4"/>
      <c r="E52" s="5"/>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row>
    <row r="53" spans="1:169" x14ac:dyDescent="0.35">
      <c r="A53" s="4"/>
      <c r="B53" s="4"/>
      <c r="C53" s="4"/>
      <c r="D53" s="4"/>
      <c r="E53" s="5"/>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row>
    <row r="54" spans="1:169" x14ac:dyDescent="0.35">
      <c r="A54" s="4"/>
      <c r="B54" s="4"/>
      <c r="C54" s="4"/>
      <c r="D54" s="4"/>
      <c r="E54" s="5"/>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row>
    <row r="55" spans="1:169" x14ac:dyDescent="0.35">
      <c r="A55" s="4"/>
      <c r="B55" s="4"/>
      <c r="C55" s="4"/>
      <c r="D55" s="4"/>
      <c r="E55" s="5"/>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row>
    <row r="56" spans="1:169" x14ac:dyDescent="0.35">
      <c r="A56" s="4"/>
      <c r="B56" s="4"/>
      <c r="C56" s="4"/>
      <c r="D56" s="4"/>
      <c r="E56" s="5"/>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row>
    <row r="57" spans="1:169" x14ac:dyDescent="0.35">
      <c r="A57" s="4"/>
      <c r="B57" s="4"/>
      <c r="C57" s="4"/>
      <c r="D57" s="4"/>
      <c r="E57" s="5"/>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c r="FF57" s="4"/>
      <c r="FG57" s="4"/>
      <c r="FH57" s="4"/>
      <c r="FI57" s="4"/>
      <c r="FJ57" s="4"/>
      <c r="FK57" s="4"/>
      <c r="FL57" s="4"/>
      <c r="FM57" s="4"/>
    </row>
    <row r="58" spans="1:169" x14ac:dyDescent="0.35">
      <c r="A58" s="4"/>
      <c r="B58" s="4"/>
      <c r="C58" s="4"/>
      <c r="D58" s="4"/>
      <c r="E58" s="5"/>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c r="FF58" s="4"/>
      <c r="FG58" s="4"/>
      <c r="FH58" s="4"/>
      <c r="FI58" s="4"/>
      <c r="FJ58" s="4"/>
      <c r="FK58" s="4"/>
      <c r="FL58" s="4"/>
      <c r="FM58" s="4"/>
    </row>
    <row r="59" spans="1:169" x14ac:dyDescent="0.35">
      <c r="A59" s="4"/>
      <c r="B59" s="4"/>
      <c r="C59" s="4"/>
      <c r="D59" s="4"/>
      <c r="E59" s="5"/>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c r="FF59" s="4"/>
      <c r="FG59" s="4"/>
      <c r="FH59" s="4"/>
      <c r="FI59" s="4"/>
      <c r="FJ59" s="4"/>
      <c r="FK59" s="4"/>
      <c r="FL59" s="4"/>
      <c r="FM59" s="4"/>
    </row>
    <row r="60" spans="1:169" x14ac:dyDescent="0.35">
      <c r="A60" s="4"/>
      <c r="B60" s="4"/>
      <c r="C60" s="4"/>
      <c r="D60" s="4"/>
      <c r="E60" s="5"/>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c r="FF60" s="4"/>
      <c r="FG60" s="4"/>
      <c r="FH60" s="4"/>
      <c r="FI60" s="4"/>
      <c r="FJ60" s="4"/>
      <c r="FK60" s="4"/>
      <c r="FL60" s="4"/>
      <c r="FM60" s="4"/>
    </row>
    <row r="61" spans="1:169" x14ac:dyDescent="0.35">
      <c r="A61" s="4"/>
      <c r="B61" s="4"/>
      <c r="C61" s="4"/>
      <c r="D61" s="4"/>
      <c r="E61" s="5"/>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row>
    <row r="62" spans="1:169" x14ac:dyDescent="0.35">
      <c r="A62" s="4"/>
      <c r="B62" s="4"/>
      <c r="C62" s="4"/>
      <c r="D62" s="4"/>
      <c r="E62" s="5"/>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c r="FF62" s="4"/>
      <c r="FG62" s="4"/>
      <c r="FH62" s="4"/>
      <c r="FI62" s="4"/>
      <c r="FJ62" s="4"/>
      <c r="FK62" s="4"/>
      <c r="FL62" s="4"/>
      <c r="FM62" s="4"/>
    </row>
    <row r="63" spans="1:169" x14ac:dyDescent="0.35">
      <c r="A63" s="4"/>
      <c r="B63" s="4"/>
      <c r="C63" s="4"/>
      <c r="D63" s="4"/>
      <c r="E63" s="5"/>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c r="FF63" s="4"/>
      <c r="FG63" s="4"/>
      <c r="FH63" s="4"/>
      <c r="FI63" s="4"/>
      <c r="FJ63" s="4"/>
      <c r="FK63" s="4"/>
      <c r="FL63" s="4"/>
      <c r="FM63" s="4"/>
    </row>
    <row r="64" spans="1:169" x14ac:dyDescent="0.35">
      <c r="A64" s="4"/>
      <c r="B64" s="4"/>
      <c r="C64" s="4"/>
      <c r="D64" s="4"/>
      <c r="E64" s="5"/>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c r="FF64" s="4"/>
      <c r="FG64" s="4"/>
      <c r="FH64" s="4"/>
      <c r="FI64" s="4"/>
      <c r="FJ64" s="4"/>
      <c r="FK64" s="4"/>
      <c r="FL64" s="4"/>
      <c r="FM64" s="4"/>
    </row>
    <row r="65" spans="1:169" x14ac:dyDescent="0.35">
      <c r="A65" s="4"/>
      <c r="B65" s="4"/>
      <c r="C65" s="4"/>
      <c r="D65" s="4"/>
      <c r="E65" s="5"/>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c r="FF65" s="4"/>
      <c r="FG65" s="4"/>
      <c r="FH65" s="4"/>
      <c r="FI65" s="4"/>
      <c r="FJ65" s="4"/>
      <c r="FK65" s="4"/>
      <c r="FL65" s="4"/>
      <c r="FM65" s="4"/>
    </row>
    <row r="66" spans="1:169" x14ac:dyDescent="0.35">
      <c r="A66" s="4"/>
      <c r="B66" s="4"/>
      <c r="C66" s="4"/>
      <c r="D66" s="4"/>
      <c r="E66" s="5"/>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row>
    <row r="67" spans="1:169" x14ac:dyDescent="0.35">
      <c r="A67" s="4"/>
      <c r="B67" s="4"/>
      <c r="C67" s="4"/>
      <c r="D67" s="4"/>
      <c r="E67" s="5"/>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c r="FF67" s="4"/>
      <c r="FG67" s="4"/>
      <c r="FH67" s="4"/>
      <c r="FI67" s="4"/>
      <c r="FJ67" s="4"/>
      <c r="FK67" s="4"/>
      <c r="FL67" s="4"/>
      <c r="FM67" s="4"/>
    </row>
    <row r="68" spans="1:169" x14ac:dyDescent="0.35">
      <c r="A68" s="4"/>
      <c r="B68" s="4"/>
      <c r="C68" s="4"/>
      <c r="D68" s="4"/>
      <c r="E68" s="5"/>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c r="FF68" s="4"/>
      <c r="FG68" s="4"/>
      <c r="FH68" s="4"/>
      <c r="FI68" s="4"/>
      <c r="FJ68" s="4"/>
      <c r="FK68" s="4"/>
      <c r="FL68" s="4"/>
      <c r="FM68" s="4"/>
    </row>
  </sheetData>
  <phoneticPr fontId="2" type="noConversion"/>
  <conditionalFormatting sqref="CK9:CK27">
    <cfRule type="cellIs" dxfId="1" priority="1" stopIfTrue="1" operator="equal">
      <formula>CL9</formula>
    </cfRule>
  </conditionalFormatting>
  <conditionalFormatting sqref="CL9:CL27">
    <cfRule type="cellIs" dxfId="0" priority="2" stopIfTrue="1" operator="equal">
      <formula>CK9</formula>
    </cfRule>
  </conditionalFormatting>
  <printOptions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Button1_Click">
                <anchor moveWithCells="1" sizeWithCells="1">
                  <from>
                    <xdr:col>2</xdr:col>
                    <xdr:colOff>0</xdr:colOff>
                    <xdr:row>1</xdr:row>
                    <xdr:rowOff>47625</xdr:rowOff>
                  </from>
                  <to>
                    <xdr:col>3</xdr:col>
                    <xdr:colOff>1443038</xdr:colOff>
                    <xdr:row>3</xdr:row>
                    <xdr:rowOff>47625</xdr:rowOff>
                  </to>
                </anchor>
              </controlPr>
            </control>
          </mc:Choice>
        </mc:AlternateContent>
        <mc:AlternateContent xmlns:mc="http://schemas.openxmlformats.org/markup-compatibility/2006">
          <mc:Choice Requires="x14">
            <control shapeId="7177" r:id="rId5" name="Button 9">
              <controlPr defaultSize="0" print="0" autoFill="0" autoPict="0" macro="[0]!Button2_Click">
                <anchor moveWithCells="1" sizeWithCells="1">
                  <from>
                    <xdr:col>3</xdr:col>
                    <xdr:colOff>2309813</xdr:colOff>
                    <xdr:row>1</xdr:row>
                    <xdr:rowOff>47625</xdr:rowOff>
                  </from>
                  <to>
                    <xdr:col>7</xdr:col>
                    <xdr:colOff>9525</xdr:colOff>
                    <xdr:row>3</xdr:row>
                    <xdr:rowOff>47625</xdr:rowOff>
                  </to>
                </anchor>
              </controlPr>
            </control>
          </mc:Choice>
        </mc:AlternateContent>
        <mc:AlternateContent xmlns:mc="http://schemas.openxmlformats.org/markup-compatibility/2006">
          <mc:Choice Requires="x14">
            <control shapeId="7179" r:id="rId6" name="Button 11">
              <controlPr defaultSize="0" print="0" autoFill="0" autoPict="0" macro="[0]!Button3_Click">
                <anchor moveWithCells="1" sizeWithCells="1">
                  <from>
                    <xdr:col>9</xdr:col>
                    <xdr:colOff>0</xdr:colOff>
                    <xdr:row>1</xdr:row>
                    <xdr:rowOff>47625</xdr:rowOff>
                  </from>
                  <to>
                    <xdr:col>10</xdr:col>
                    <xdr:colOff>1443038</xdr:colOff>
                    <xdr:row>3</xdr:row>
                    <xdr:rowOff>47625</xdr:rowOff>
                  </to>
                </anchor>
              </controlPr>
            </control>
          </mc:Choice>
        </mc:AlternateContent>
        <mc:AlternateContent xmlns:mc="http://schemas.openxmlformats.org/markup-compatibility/2006">
          <mc:Choice Requires="x14">
            <control shapeId="7180" r:id="rId7" name="Button 12">
              <controlPr defaultSize="0" print="0" autoFill="0" autoPict="0" macro="[0]!Button4_Click">
                <anchor moveWithCells="1" sizeWithCells="1">
                  <from>
                    <xdr:col>11</xdr:col>
                    <xdr:colOff>157163</xdr:colOff>
                    <xdr:row>1</xdr:row>
                    <xdr:rowOff>47625</xdr:rowOff>
                  </from>
                  <to>
                    <xdr:col>13</xdr:col>
                    <xdr:colOff>142875</xdr:colOff>
                    <xdr:row>3</xdr:row>
                    <xdr:rowOff>47625</xdr:rowOff>
                  </to>
                </anchor>
              </controlPr>
            </control>
          </mc:Choice>
        </mc:AlternateContent>
        <mc:AlternateContent xmlns:mc="http://schemas.openxmlformats.org/markup-compatibility/2006">
          <mc:Choice Requires="x14">
            <control shapeId="7181" r:id="rId8" name="Button 13">
              <controlPr defaultSize="0" print="0" autoFill="0" autoPict="0" macro="[0]!Button5_Click">
                <anchor moveWithCells="1" sizeWithCells="1">
                  <from>
                    <xdr:col>19</xdr:col>
                    <xdr:colOff>9525</xdr:colOff>
                    <xdr:row>1</xdr:row>
                    <xdr:rowOff>57150</xdr:rowOff>
                  </from>
                  <to>
                    <xdr:col>20</xdr:col>
                    <xdr:colOff>1457325</xdr:colOff>
                    <xdr:row>3</xdr:row>
                    <xdr:rowOff>57150</xdr:rowOff>
                  </to>
                </anchor>
              </controlPr>
            </control>
          </mc:Choice>
        </mc:AlternateContent>
        <mc:AlternateContent xmlns:mc="http://schemas.openxmlformats.org/markup-compatibility/2006">
          <mc:Choice Requires="x14">
            <control shapeId="7192" r:id="rId9" name="Button 24">
              <controlPr defaultSize="0" print="0" autoFill="0" autoPict="0" macro="[0]!Button6_Click">
                <anchor moveWithCells="1" sizeWithCells="1">
                  <from>
                    <xdr:col>27</xdr:col>
                    <xdr:colOff>600075</xdr:colOff>
                    <xdr:row>1</xdr:row>
                    <xdr:rowOff>66675</xdr:rowOff>
                  </from>
                  <to>
                    <xdr:col>29</xdr:col>
                    <xdr:colOff>1423988</xdr:colOff>
                    <xdr:row>3</xdr:row>
                    <xdr:rowOff>66675</xdr:rowOff>
                  </to>
                </anchor>
              </controlPr>
            </control>
          </mc:Choice>
        </mc:AlternateContent>
        <mc:AlternateContent xmlns:mc="http://schemas.openxmlformats.org/markup-compatibility/2006">
          <mc:Choice Requires="x14">
            <control shapeId="7193" r:id="rId10" name="Button 25">
              <controlPr defaultSize="0" print="0" autoFill="0" autoPict="0" macro="[0]!Button7_Click">
                <anchor moveWithCells="1" sizeWithCells="1">
                  <from>
                    <xdr:col>44</xdr:col>
                    <xdr:colOff>400050</xdr:colOff>
                    <xdr:row>3</xdr:row>
                    <xdr:rowOff>157163</xdr:rowOff>
                  </from>
                  <to>
                    <xdr:col>47</xdr:col>
                    <xdr:colOff>233363</xdr:colOff>
                    <xdr:row>5</xdr:row>
                    <xdr:rowOff>133350</xdr:rowOff>
                  </to>
                </anchor>
              </controlPr>
            </control>
          </mc:Choice>
        </mc:AlternateContent>
        <mc:AlternateContent xmlns:mc="http://schemas.openxmlformats.org/markup-compatibility/2006">
          <mc:Choice Requires="x14">
            <control shapeId="7194" r:id="rId11" name="Button 26">
              <controlPr defaultSize="0" print="0" autoFill="0" autoPict="0" macro="[0]!Button8_Click">
                <anchor moveWithCells="1" sizeWithCells="1">
                  <from>
                    <xdr:col>44</xdr:col>
                    <xdr:colOff>400050</xdr:colOff>
                    <xdr:row>6</xdr:row>
                    <xdr:rowOff>57150</xdr:rowOff>
                  </from>
                  <to>
                    <xdr:col>47</xdr:col>
                    <xdr:colOff>233363</xdr:colOff>
                    <xdr:row>8</xdr:row>
                    <xdr:rowOff>47625</xdr:rowOff>
                  </to>
                </anchor>
              </controlPr>
            </control>
          </mc:Choice>
        </mc:AlternateContent>
        <mc:AlternateContent xmlns:mc="http://schemas.openxmlformats.org/markup-compatibility/2006">
          <mc:Choice Requires="x14">
            <control shapeId="7195" r:id="rId12" name="Button 27">
              <controlPr defaultSize="0" print="0" autoFill="0" autoPict="0" macro="[0]!Button10_Click">
                <anchor moveWithCells="1" sizeWithCells="1">
                  <from>
                    <xdr:col>50</xdr:col>
                    <xdr:colOff>100013</xdr:colOff>
                    <xdr:row>1</xdr:row>
                    <xdr:rowOff>66675</xdr:rowOff>
                  </from>
                  <to>
                    <xdr:col>52</xdr:col>
                    <xdr:colOff>42863</xdr:colOff>
                    <xdr:row>3</xdr:row>
                    <xdr:rowOff>66675</xdr:rowOff>
                  </to>
                </anchor>
              </controlPr>
            </control>
          </mc:Choice>
        </mc:AlternateContent>
        <mc:AlternateContent xmlns:mc="http://schemas.openxmlformats.org/markup-compatibility/2006">
          <mc:Choice Requires="x14">
            <control shapeId="7197" r:id="rId13" name="Button 29">
              <controlPr defaultSize="0" print="0" autoFill="0" autoPict="0" macro="[0]!Button9_Click">
                <anchor moveWithCells="1" sizeWithCells="1">
                  <from>
                    <xdr:col>44</xdr:col>
                    <xdr:colOff>400050</xdr:colOff>
                    <xdr:row>8</xdr:row>
                    <xdr:rowOff>147638</xdr:rowOff>
                  </from>
                  <to>
                    <xdr:col>47</xdr:col>
                    <xdr:colOff>233363</xdr:colOff>
                    <xdr:row>10</xdr:row>
                    <xdr:rowOff>133350</xdr:rowOff>
                  </to>
                </anchor>
              </controlPr>
            </control>
          </mc:Choice>
        </mc:AlternateContent>
        <mc:AlternateContent xmlns:mc="http://schemas.openxmlformats.org/markup-compatibility/2006">
          <mc:Choice Requires="x14">
            <control shapeId="7198" r:id="rId14" name="Button 30">
              <controlPr defaultSize="0" print="0" autoFill="0" autoPict="0" macro="[0]!Button11_Click">
                <anchor moveWithCells="1" sizeWithCells="1">
                  <from>
                    <xdr:col>44</xdr:col>
                    <xdr:colOff>400050</xdr:colOff>
                    <xdr:row>11</xdr:row>
                    <xdr:rowOff>66675</xdr:rowOff>
                  </from>
                  <to>
                    <xdr:col>47</xdr:col>
                    <xdr:colOff>233363</xdr:colOff>
                    <xdr:row>13</xdr:row>
                    <xdr:rowOff>66675</xdr:rowOff>
                  </to>
                </anchor>
              </controlPr>
            </control>
          </mc:Choice>
        </mc:AlternateContent>
        <mc:AlternateContent xmlns:mc="http://schemas.openxmlformats.org/markup-compatibility/2006">
          <mc:Choice Requires="x14">
            <control shapeId="7199" r:id="rId15" name="Button 31">
              <controlPr defaultSize="0" print="0" autoFill="0" autoPict="0" macro="[0]!Button12_Click">
                <anchor moveWithCells="1" sizeWithCells="1">
                  <from>
                    <xdr:col>44</xdr:col>
                    <xdr:colOff>400050</xdr:colOff>
                    <xdr:row>14</xdr:row>
                    <xdr:rowOff>0</xdr:rowOff>
                  </from>
                  <to>
                    <xdr:col>47</xdr:col>
                    <xdr:colOff>233363</xdr:colOff>
                    <xdr:row>16</xdr:row>
                    <xdr:rowOff>0</xdr:rowOff>
                  </to>
                </anchor>
              </controlPr>
            </control>
          </mc:Choice>
        </mc:AlternateContent>
        <mc:AlternateContent xmlns:mc="http://schemas.openxmlformats.org/markup-compatibility/2006">
          <mc:Choice Requires="x14">
            <control shapeId="7211" r:id="rId16" name="Button 43">
              <controlPr defaultSize="0" print="0" autoFill="0" autoPict="0" macro="[0]!Button13_Click">
                <anchor moveWithCells="1" sizeWithCells="1">
                  <from>
                    <xdr:col>55</xdr:col>
                    <xdr:colOff>614363</xdr:colOff>
                    <xdr:row>1</xdr:row>
                    <xdr:rowOff>76200</xdr:rowOff>
                  </from>
                  <to>
                    <xdr:col>58</xdr:col>
                    <xdr:colOff>409575</xdr:colOff>
                    <xdr:row>3</xdr:row>
                    <xdr:rowOff>76200</xdr:rowOff>
                  </to>
                </anchor>
              </controlPr>
            </control>
          </mc:Choice>
        </mc:AlternateContent>
        <mc:AlternateContent xmlns:mc="http://schemas.openxmlformats.org/markup-compatibility/2006">
          <mc:Choice Requires="x14">
            <control shapeId="7212" r:id="rId17" name="Button 44">
              <controlPr defaultSize="0" print="0" autoFill="0" autoPict="0" macro="[0]!Button14_Click">
                <anchor moveWithCells="1" sizeWithCells="1">
                  <from>
                    <xdr:col>69</xdr:col>
                    <xdr:colOff>614363</xdr:colOff>
                    <xdr:row>1</xdr:row>
                    <xdr:rowOff>76200</xdr:rowOff>
                  </from>
                  <to>
                    <xdr:col>72</xdr:col>
                    <xdr:colOff>409575</xdr:colOff>
                    <xdr:row>3</xdr:row>
                    <xdr:rowOff>76200</xdr:rowOff>
                  </to>
                </anchor>
              </controlPr>
            </control>
          </mc:Choice>
        </mc:AlternateContent>
        <mc:AlternateContent xmlns:mc="http://schemas.openxmlformats.org/markup-compatibility/2006">
          <mc:Choice Requires="x14">
            <control shapeId="7214" r:id="rId18" name="Button 46">
              <controlPr defaultSize="0" print="0" autoFill="0" autoPict="0" macro="[0]!Button15_Click">
                <anchor moveWithCells="1" sizeWithCells="1">
                  <from>
                    <xdr:col>83</xdr:col>
                    <xdr:colOff>614363</xdr:colOff>
                    <xdr:row>1</xdr:row>
                    <xdr:rowOff>76200</xdr:rowOff>
                  </from>
                  <to>
                    <xdr:col>87</xdr:col>
                    <xdr:colOff>266700</xdr:colOff>
                    <xdr:row>3</xdr:row>
                    <xdr:rowOff>76200</xdr:rowOff>
                  </to>
                </anchor>
              </controlPr>
            </control>
          </mc:Choice>
        </mc:AlternateContent>
        <mc:AlternateContent xmlns:mc="http://schemas.openxmlformats.org/markup-compatibility/2006">
          <mc:Choice Requires="x14">
            <control shapeId="7216" r:id="rId19" name="Button 48">
              <controlPr defaultSize="0" print="0" autoFill="0" autoPict="0" macro="[0]!Button16_Click">
                <anchor moveWithCells="1" sizeWithCells="1">
                  <from>
                    <xdr:col>99</xdr:col>
                    <xdr:colOff>614363</xdr:colOff>
                    <xdr:row>1</xdr:row>
                    <xdr:rowOff>76200</xdr:rowOff>
                  </from>
                  <to>
                    <xdr:col>102</xdr:col>
                    <xdr:colOff>333375</xdr:colOff>
                    <xdr:row>3</xdr:row>
                    <xdr:rowOff>76200</xdr:rowOff>
                  </to>
                </anchor>
              </controlPr>
            </control>
          </mc:Choice>
        </mc:AlternateContent>
        <mc:AlternateContent xmlns:mc="http://schemas.openxmlformats.org/markup-compatibility/2006">
          <mc:Choice Requires="x14">
            <control shapeId="7219" r:id="rId20" name="Button 51">
              <controlPr defaultSize="0" print="0" autoFill="0" autoPict="0" macro="[0]!Button17_Click">
                <anchor moveWithCells="1" sizeWithCells="1">
                  <from>
                    <xdr:col>127</xdr:col>
                    <xdr:colOff>614363</xdr:colOff>
                    <xdr:row>1</xdr:row>
                    <xdr:rowOff>76200</xdr:rowOff>
                  </from>
                  <to>
                    <xdr:col>130</xdr:col>
                    <xdr:colOff>609600</xdr:colOff>
                    <xdr:row>3</xdr:row>
                    <xdr:rowOff>76200</xdr:rowOff>
                  </to>
                </anchor>
              </controlPr>
            </control>
          </mc:Choice>
        </mc:AlternateContent>
        <mc:AlternateContent xmlns:mc="http://schemas.openxmlformats.org/markup-compatibility/2006">
          <mc:Choice Requires="x14">
            <control shapeId="7220" r:id="rId21" name="Button 52">
              <controlPr defaultSize="0" print="0" autoFill="0" autoPict="0" macro="[0]!Button18_Click">
                <anchor moveWithCells="1" sizeWithCells="1">
                  <from>
                    <xdr:col>132</xdr:col>
                    <xdr:colOff>266700</xdr:colOff>
                    <xdr:row>1</xdr:row>
                    <xdr:rowOff>76200</xdr:rowOff>
                  </from>
                  <to>
                    <xdr:col>136</xdr:col>
                    <xdr:colOff>90488</xdr:colOff>
                    <xdr:row>3</xdr:row>
                    <xdr:rowOff>76200</xdr:rowOff>
                  </to>
                </anchor>
              </controlPr>
            </control>
          </mc:Choice>
        </mc:AlternateContent>
        <mc:AlternateContent xmlns:mc="http://schemas.openxmlformats.org/markup-compatibility/2006">
          <mc:Choice Requires="x14">
            <control shapeId="7222" r:id="rId22" name="Button 54">
              <controlPr defaultSize="0" print="0" autoFill="0" autoPict="0" macro="[0]!Button19_Click">
                <anchor moveWithCells="1" sizeWithCells="1">
                  <from>
                    <xdr:col>139</xdr:col>
                    <xdr:colOff>590550</xdr:colOff>
                    <xdr:row>1</xdr:row>
                    <xdr:rowOff>66675</xdr:rowOff>
                  </from>
                  <to>
                    <xdr:col>142</xdr:col>
                    <xdr:colOff>585788</xdr:colOff>
                    <xdr:row>3</xdr:row>
                    <xdr:rowOff>66675</xdr:rowOff>
                  </to>
                </anchor>
              </controlPr>
            </control>
          </mc:Choice>
        </mc:AlternateContent>
        <mc:AlternateContent xmlns:mc="http://schemas.openxmlformats.org/markup-compatibility/2006">
          <mc:Choice Requires="x14">
            <control shapeId="7225" r:id="rId23" name="Button 57">
              <controlPr defaultSize="0" print="0" autoFill="0" autoPict="0" macro="[0]!Button20_Click">
                <anchor moveWithCells="1" sizeWithCells="1">
                  <from>
                    <xdr:col>151</xdr:col>
                    <xdr:colOff>590550</xdr:colOff>
                    <xdr:row>1</xdr:row>
                    <xdr:rowOff>66675</xdr:rowOff>
                  </from>
                  <to>
                    <xdr:col>154</xdr:col>
                    <xdr:colOff>366713</xdr:colOff>
                    <xdr:row>3</xdr:row>
                    <xdr:rowOff>66675</xdr:rowOff>
                  </to>
                </anchor>
              </controlPr>
            </control>
          </mc:Choice>
        </mc:AlternateContent>
        <mc:AlternateContent xmlns:mc="http://schemas.openxmlformats.org/markup-compatibility/2006">
          <mc:Choice Requires="x14">
            <control shapeId="7226" r:id="rId24" name="Button 58">
              <controlPr defaultSize="0" print="0" autoFill="0" autoPict="0" macro="[0]!Button21_Click">
                <anchor moveWithCells="1" sizeWithCells="1">
                  <from>
                    <xdr:col>156</xdr:col>
                    <xdr:colOff>133350</xdr:colOff>
                    <xdr:row>1</xdr:row>
                    <xdr:rowOff>66675</xdr:rowOff>
                  </from>
                  <to>
                    <xdr:col>160</xdr:col>
                    <xdr:colOff>23813</xdr:colOff>
                    <xdr:row>3</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22"/>
    <pageSetUpPr autoPageBreaks="0"/>
  </sheetPr>
  <dimension ref="C1:K28"/>
  <sheetViews>
    <sheetView showGridLines="0" showRowColHeaders="0" zoomScaleNormal="80" workbookViewId="0"/>
  </sheetViews>
  <sheetFormatPr defaultRowHeight="13.15" x14ac:dyDescent="0.4"/>
  <cols>
    <col min="1" max="1" width="1.35546875" customWidth="1"/>
  </cols>
  <sheetData>
    <row r="1" spans="3:11" ht="6" customHeight="1" x14ac:dyDescent="0.4"/>
    <row r="3" spans="3:11" ht="13.5" thickBot="1" x14ac:dyDescent="0.45"/>
    <row r="4" spans="3:11" ht="13.9" thickTop="1" thickBot="1" x14ac:dyDescent="0.45">
      <c r="C4" s="39" t="s">
        <v>104</v>
      </c>
      <c r="D4" s="47"/>
      <c r="E4" s="2"/>
      <c r="F4" s="2"/>
      <c r="G4" s="2"/>
      <c r="H4" s="2"/>
      <c r="I4" s="2"/>
      <c r="J4" s="47"/>
      <c r="K4" s="3"/>
    </row>
    <row r="5" spans="3:11" ht="13.5" thickTop="1" x14ac:dyDescent="0.4">
      <c r="C5" s="8"/>
      <c r="D5" s="9"/>
      <c r="E5" s="9"/>
      <c r="F5" s="9"/>
      <c r="G5" s="9"/>
      <c r="H5" s="9"/>
      <c r="I5" s="9"/>
      <c r="J5" s="9"/>
      <c r="K5" s="36"/>
    </row>
    <row r="6" spans="3:11" x14ac:dyDescent="0.4">
      <c r="C6" s="8"/>
      <c r="D6" s="9"/>
      <c r="E6" s="9"/>
      <c r="F6" s="9"/>
      <c r="G6" s="9"/>
      <c r="H6" s="9"/>
      <c r="I6" s="9"/>
      <c r="J6" s="9"/>
      <c r="K6" s="36"/>
    </row>
    <row r="7" spans="3:11" x14ac:dyDescent="0.4">
      <c r="C7" s="8"/>
      <c r="D7" s="9"/>
      <c r="E7" s="9"/>
      <c r="F7" s="9"/>
      <c r="G7" s="9"/>
      <c r="H7" s="9"/>
      <c r="I7" s="9"/>
      <c r="J7" s="9"/>
      <c r="K7" s="36"/>
    </row>
    <row r="8" spans="3:11" x14ac:dyDescent="0.4">
      <c r="C8" s="8"/>
      <c r="D8" s="9"/>
      <c r="E8" s="9"/>
      <c r="F8" s="9"/>
      <c r="G8" s="9"/>
      <c r="H8" s="9"/>
      <c r="I8" s="9"/>
      <c r="J8" s="9"/>
      <c r="K8" s="36"/>
    </row>
    <row r="9" spans="3:11" x14ac:dyDescent="0.4">
      <c r="C9" s="8"/>
      <c r="D9" s="9"/>
      <c r="E9" s="9"/>
      <c r="F9" s="9"/>
      <c r="G9" s="9"/>
      <c r="H9" s="9"/>
      <c r="I9" s="9"/>
      <c r="J9" s="9"/>
      <c r="K9" s="36"/>
    </row>
    <row r="10" spans="3:11" x14ac:dyDescent="0.4">
      <c r="C10" s="8"/>
      <c r="D10" s="9"/>
      <c r="E10" s="9"/>
      <c r="F10" s="9"/>
      <c r="G10" s="9"/>
      <c r="H10" s="9"/>
      <c r="I10" s="9"/>
      <c r="J10" s="9"/>
      <c r="K10" s="36"/>
    </row>
    <row r="11" spans="3:11" x14ac:dyDescent="0.4">
      <c r="C11" s="8"/>
      <c r="D11" s="9"/>
      <c r="E11" s="9"/>
      <c r="F11" s="9"/>
      <c r="G11" s="9"/>
      <c r="H11" s="9"/>
      <c r="I11" s="9"/>
      <c r="J11" s="9"/>
      <c r="K11" s="36"/>
    </row>
    <row r="12" spans="3:11" x14ac:dyDescent="0.4">
      <c r="C12" s="8"/>
      <c r="D12" s="9"/>
      <c r="E12" s="9"/>
      <c r="F12" s="9"/>
      <c r="G12" s="9"/>
      <c r="H12" s="9"/>
      <c r="I12" s="9"/>
      <c r="J12" s="9"/>
      <c r="K12" s="36"/>
    </row>
    <row r="13" spans="3:11" x14ac:dyDescent="0.4">
      <c r="C13" s="8"/>
      <c r="D13" s="9"/>
      <c r="E13" s="9"/>
      <c r="F13" s="9"/>
      <c r="G13" s="9"/>
      <c r="H13" s="9"/>
      <c r="I13" s="9"/>
      <c r="J13" s="9"/>
      <c r="K13" s="36"/>
    </row>
    <row r="14" spans="3:11" x14ac:dyDescent="0.4">
      <c r="C14" s="8"/>
      <c r="D14" s="9"/>
      <c r="E14" s="9"/>
      <c r="F14" s="9"/>
      <c r="G14" s="9"/>
      <c r="H14" s="9"/>
      <c r="I14" s="9"/>
      <c r="J14" s="9"/>
      <c r="K14" s="36"/>
    </row>
    <row r="15" spans="3:11" x14ac:dyDescent="0.4">
      <c r="C15" s="8"/>
      <c r="D15" s="9"/>
      <c r="E15" s="9"/>
      <c r="F15" s="9"/>
      <c r="G15" s="9"/>
      <c r="H15" s="9"/>
      <c r="I15" s="9"/>
      <c r="J15" s="9"/>
      <c r="K15" s="36"/>
    </row>
    <row r="16" spans="3:11" x14ac:dyDescent="0.4">
      <c r="C16" s="8"/>
      <c r="D16" s="9"/>
      <c r="E16" s="9"/>
      <c r="F16" s="9"/>
      <c r="G16" s="9"/>
      <c r="H16" s="9"/>
      <c r="I16" s="9"/>
      <c r="J16" s="9"/>
      <c r="K16" s="36"/>
    </row>
    <row r="17" spans="3:11" x14ac:dyDescent="0.4">
      <c r="C17" s="8"/>
      <c r="D17" s="9"/>
      <c r="E17" s="9"/>
      <c r="F17" s="9"/>
      <c r="G17" s="9"/>
      <c r="H17" s="9"/>
      <c r="I17" s="9"/>
      <c r="J17" s="9"/>
      <c r="K17" s="36"/>
    </row>
    <row r="18" spans="3:11" x14ac:dyDescent="0.4">
      <c r="C18" s="8"/>
      <c r="D18" s="9"/>
      <c r="E18" s="9"/>
      <c r="F18" s="9"/>
      <c r="G18" s="9"/>
      <c r="H18" s="9"/>
      <c r="I18" s="9"/>
      <c r="J18" s="9"/>
      <c r="K18" s="36"/>
    </row>
    <row r="19" spans="3:11" x14ac:dyDescent="0.4">
      <c r="C19" s="8"/>
      <c r="D19" s="9"/>
      <c r="E19" s="9"/>
      <c r="F19" s="9"/>
      <c r="G19" s="9"/>
      <c r="H19" s="9"/>
      <c r="I19" s="9"/>
      <c r="J19" s="9"/>
      <c r="K19" s="36"/>
    </row>
    <row r="20" spans="3:11" x14ac:dyDescent="0.4">
      <c r="C20" s="8"/>
      <c r="D20" s="9"/>
      <c r="E20" s="9"/>
      <c r="F20" s="9"/>
      <c r="G20" s="9"/>
      <c r="H20" s="9"/>
      <c r="I20" s="9"/>
      <c r="J20" s="9"/>
      <c r="K20" s="36"/>
    </row>
    <row r="21" spans="3:11" x14ac:dyDescent="0.4">
      <c r="C21" s="8"/>
      <c r="D21" s="9"/>
      <c r="E21" s="9"/>
      <c r="F21" s="9"/>
      <c r="G21" s="9"/>
      <c r="H21" s="9"/>
      <c r="I21" s="9"/>
      <c r="J21" s="9"/>
      <c r="K21" s="36"/>
    </row>
    <row r="22" spans="3:11" x14ac:dyDescent="0.4">
      <c r="C22" s="8"/>
      <c r="D22" s="9"/>
      <c r="E22" s="9"/>
      <c r="F22" s="9"/>
      <c r="G22" s="9"/>
      <c r="H22" s="9"/>
      <c r="I22" s="9"/>
      <c r="J22" s="9"/>
      <c r="K22" s="36"/>
    </row>
    <row r="23" spans="3:11" x14ac:dyDescent="0.4">
      <c r="C23" s="8"/>
      <c r="D23" s="9"/>
      <c r="E23" s="9"/>
      <c r="F23" s="9"/>
      <c r="G23" s="9"/>
      <c r="H23" s="9"/>
      <c r="I23" s="9"/>
      <c r="J23" s="9"/>
      <c r="K23" s="36"/>
    </row>
    <row r="24" spans="3:11" x14ac:dyDescent="0.4">
      <c r="C24" s="8"/>
      <c r="D24" s="9"/>
      <c r="E24" s="9"/>
      <c r="F24" s="9"/>
      <c r="G24" s="9"/>
      <c r="H24" s="9"/>
      <c r="I24" s="9"/>
      <c r="J24" s="9"/>
      <c r="K24" s="36"/>
    </row>
    <row r="25" spans="3:11" x14ac:dyDescent="0.4">
      <c r="C25" s="8"/>
      <c r="D25" s="9"/>
      <c r="E25" s="9"/>
      <c r="F25" s="9"/>
      <c r="G25" s="9"/>
      <c r="H25" s="9"/>
      <c r="I25" s="9"/>
      <c r="J25" s="9"/>
      <c r="K25" s="36"/>
    </row>
    <row r="26" spans="3:11" x14ac:dyDescent="0.4">
      <c r="C26" s="8"/>
      <c r="D26" s="9"/>
      <c r="E26" s="9"/>
      <c r="F26" s="9"/>
      <c r="G26" s="9"/>
      <c r="H26" s="9"/>
      <c r="I26" s="9"/>
      <c r="J26" s="9"/>
      <c r="K26" s="36"/>
    </row>
    <row r="27" spans="3:11" ht="13.5" thickBot="1" x14ac:dyDescent="0.45">
      <c r="C27" s="28"/>
      <c r="D27" s="29"/>
      <c r="E27" s="29"/>
      <c r="F27" s="29"/>
      <c r="G27" s="29"/>
      <c r="H27" s="29"/>
      <c r="I27" s="29"/>
      <c r="J27" s="29"/>
      <c r="K27" s="37"/>
    </row>
    <row r="28" spans="3:11" ht="13.5" thickTop="1" x14ac:dyDescent="0.4"/>
  </sheetData>
  <phoneticPr fontId="2" type="noConversion"/>
  <printOptions horizontalCentered="1"/>
  <pageMargins left="0.75" right="0.75" top="1" bottom="1" header="0.5" footer="0.5"/>
  <pageSetup orientation="portrait" horizontalDpi="4294967293" verticalDpi="300" r:id="rId1"/>
  <headerFooter alignWithMargins="0">
    <oddHeader>&amp;C&amp;"Arial,Bold"&amp;14JaxWorks
Break-Even Analysis 
Chart Presentation</oddHeader>
    <oddFooter>&amp;C&amp;12© Copyright, 2010, Jaxworks, All Rights Reserved.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H31"/>
  <sheetViews>
    <sheetView workbookViewId="0"/>
  </sheetViews>
  <sheetFormatPr defaultRowHeight="13.15" x14ac:dyDescent="0.4"/>
  <sheetData>
    <row r="3" spans="2:8" ht="21" x14ac:dyDescent="0.4">
      <c r="B3" s="58" t="s">
        <v>105</v>
      </c>
      <c r="C3" s="58" t="s">
        <v>106</v>
      </c>
      <c r="D3" s="59" t="s">
        <v>107</v>
      </c>
      <c r="E3" s="59" t="s">
        <v>108</v>
      </c>
      <c r="F3" s="59" t="s">
        <v>109</v>
      </c>
      <c r="G3" s="59" t="s">
        <v>110</v>
      </c>
      <c r="H3" s="59" t="s">
        <v>111</v>
      </c>
    </row>
    <row r="4" spans="2:8" x14ac:dyDescent="0.4">
      <c r="B4" s="61">
        <v>0</v>
      </c>
      <c r="C4" s="62">
        <f>B4*'Break-Even Analysis Data Entry'!$K$11</f>
        <v>0</v>
      </c>
      <c r="D4" s="63">
        <f>'Break-Even Analysis Data Entry'!$K$6</f>
        <v>170124</v>
      </c>
      <c r="E4" s="63">
        <f>'Break-Even Analysis Data Entry'!$K$6*B4</f>
        <v>0</v>
      </c>
      <c r="F4" s="63">
        <f t="shared" ref="F4:F16" si="0">E4+D4</f>
        <v>170124</v>
      </c>
      <c r="G4" s="63">
        <f t="shared" ref="G4:G16" si="1">C4-F4</f>
        <v>-170124</v>
      </c>
      <c r="H4" s="64"/>
    </row>
    <row r="5" spans="2:8" x14ac:dyDescent="0.4">
      <c r="B5" s="61">
        <v>1</v>
      </c>
      <c r="C5" s="62">
        <f>'Break-Even Analysis Data Entry'!K5/$B$16</f>
        <v>80651.5</v>
      </c>
      <c r="D5" s="63">
        <f>'Break-Even Analysis Data Entry'!$K$6</f>
        <v>170124</v>
      </c>
      <c r="E5" s="63">
        <f>C5*'Break-Even Analysis Data Entry'!$K$8</f>
        <v>67183.083333333328</v>
      </c>
      <c r="F5" s="63">
        <f t="shared" si="0"/>
        <v>237307.08333333331</v>
      </c>
      <c r="G5" s="63">
        <f t="shared" si="1"/>
        <v>-156655.58333333331</v>
      </c>
      <c r="H5" s="64" t="s">
        <v>113</v>
      </c>
    </row>
    <row r="6" spans="2:8" x14ac:dyDescent="0.4">
      <c r="B6" s="61">
        <v>2</v>
      </c>
      <c r="C6" s="62">
        <f t="shared" ref="C6:C16" si="2">$C$5*B6</f>
        <v>161303</v>
      </c>
      <c r="D6" s="63">
        <f>'Break-Even Analysis Data Entry'!$K$6</f>
        <v>170124</v>
      </c>
      <c r="E6" s="63">
        <f>C6*'Break-Even Analysis Data Entry'!$K$8</f>
        <v>134366.16666666666</v>
      </c>
      <c r="F6" s="63">
        <f t="shared" si="0"/>
        <v>304490.16666666663</v>
      </c>
      <c r="G6" s="63">
        <f t="shared" si="1"/>
        <v>-143187.16666666663</v>
      </c>
      <c r="H6" s="64" t="s">
        <v>115</v>
      </c>
    </row>
    <row r="7" spans="2:8" x14ac:dyDescent="0.4">
      <c r="B7" s="61">
        <v>3</v>
      </c>
      <c r="C7" s="62">
        <f t="shared" si="2"/>
        <v>241954.5</v>
      </c>
      <c r="D7" s="63">
        <f>'Break-Even Analysis Data Entry'!$K$6</f>
        <v>170124</v>
      </c>
      <c r="E7" s="63">
        <f>C7*'Break-Even Analysis Data Entry'!$K$8</f>
        <v>201549.25</v>
      </c>
      <c r="F7" s="63">
        <f t="shared" si="0"/>
        <v>371673.25</v>
      </c>
      <c r="G7" s="63">
        <f t="shared" si="1"/>
        <v>-129718.75</v>
      </c>
      <c r="H7" s="64" t="s">
        <v>117</v>
      </c>
    </row>
    <row r="8" spans="2:8" x14ac:dyDescent="0.4">
      <c r="B8" s="61">
        <v>4</v>
      </c>
      <c r="C8" s="62">
        <f t="shared" si="2"/>
        <v>322606</v>
      </c>
      <c r="D8" s="63">
        <f>'Break-Even Analysis Data Entry'!$K$6</f>
        <v>170124</v>
      </c>
      <c r="E8" s="63">
        <f>C8*'Break-Even Analysis Data Entry'!$K$8</f>
        <v>268732.33333333331</v>
      </c>
      <c r="F8" s="63">
        <f t="shared" si="0"/>
        <v>438856.33333333331</v>
      </c>
      <c r="G8" s="63">
        <f t="shared" si="1"/>
        <v>-116250.33333333331</v>
      </c>
      <c r="H8" s="64" t="s">
        <v>119</v>
      </c>
    </row>
    <row r="9" spans="2:8" x14ac:dyDescent="0.4">
      <c r="B9" s="61">
        <v>5</v>
      </c>
      <c r="C9" s="62">
        <f t="shared" si="2"/>
        <v>403257.5</v>
      </c>
      <c r="D9" s="63">
        <f>'Break-Even Analysis Data Entry'!$K$6</f>
        <v>170124</v>
      </c>
      <c r="E9" s="63">
        <f>C9*'Break-Even Analysis Data Entry'!$K$8</f>
        <v>335915.41666666669</v>
      </c>
      <c r="F9" s="63">
        <f t="shared" si="0"/>
        <v>506039.41666666669</v>
      </c>
      <c r="G9" s="63">
        <f t="shared" si="1"/>
        <v>-102781.91666666669</v>
      </c>
      <c r="H9" s="64" t="s">
        <v>121</v>
      </c>
    </row>
    <row r="10" spans="2:8" x14ac:dyDescent="0.4">
      <c r="B10" s="61">
        <v>6</v>
      </c>
      <c r="C10" s="62">
        <f t="shared" si="2"/>
        <v>483909</v>
      </c>
      <c r="D10" s="63">
        <f>'Break-Even Analysis Data Entry'!$K$6</f>
        <v>170124</v>
      </c>
      <c r="E10" s="63">
        <f>C10*'Break-Even Analysis Data Entry'!$K$8</f>
        <v>403098.5</v>
      </c>
      <c r="F10" s="63">
        <f t="shared" si="0"/>
        <v>573222.5</v>
      </c>
      <c r="G10" s="63">
        <f t="shared" si="1"/>
        <v>-89313.5</v>
      </c>
      <c r="H10" s="64" t="s">
        <v>123</v>
      </c>
    </row>
    <row r="11" spans="2:8" x14ac:dyDescent="0.4">
      <c r="B11" s="61">
        <v>7</v>
      </c>
      <c r="C11" s="62">
        <f t="shared" si="2"/>
        <v>564560.5</v>
      </c>
      <c r="D11" s="63">
        <f>'Break-Even Analysis Data Entry'!$K$6</f>
        <v>170124</v>
      </c>
      <c r="E11" s="63">
        <f>C11*'Break-Even Analysis Data Entry'!$K$8</f>
        <v>470281.58333333331</v>
      </c>
      <c r="F11" s="63">
        <f t="shared" si="0"/>
        <v>640405.58333333326</v>
      </c>
      <c r="G11" s="63">
        <f t="shared" si="1"/>
        <v>-75845.083333333256</v>
      </c>
      <c r="H11" s="64" t="s">
        <v>125</v>
      </c>
    </row>
    <row r="12" spans="2:8" x14ac:dyDescent="0.4">
      <c r="B12" s="61">
        <v>8</v>
      </c>
      <c r="C12" s="62">
        <f t="shared" si="2"/>
        <v>645212</v>
      </c>
      <c r="D12" s="63">
        <f>'Break-Even Analysis Data Entry'!$K$6</f>
        <v>170124</v>
      </c>
      <c r="E12" s="63">
        <f>C12*'Break-Even Analysis Data Entry'!$K$8</f>
        <v>537464.66666666663</v>
      </c>
      <c r="F12" s="63">
        <f t="shared" si="0"/>
        <v>707588.66666666663</v>
      </c>
      <c r="G12" s="63">
        <f t="shared" si="1"/>
        <v>-62376.666666666628</v>
      </c>
      <c r="H12" s="64" t="s">
        <v>126</v>
      </c>
    </row>
    <row r="13" spans="2:8" x14ac:dyDescent="0.4">
      <c r="B13" s="61">
        <v>9</v>
      </c>
      <c r="C13" s="62">
        <f t="shared" si="2"/>
        <v>725863.5</v>
      </c>
      <c r="D13" s="63">
        <f>'Break-Even Analysis Data Entry'!$K$6</f>
        <v>170124</v>
      </c>
      <c r="E13" s="63">
        <f>C13*'Break-Even Analysis Data Entry'!$K$8</f>
        <v>604647.75</v>
      </c>
      <c r="F13" s="63">
        <f t="shared" si="0"/>
        <v>774771.75</v>
      </c>
      <c r="G13" s="63">
        <f t="shared" si="1"/>
        <v>-48908.25</v>
      </c>
      <c r="H13" s="64" t="s">
        <v>127</v>
      </c>
    </row>
    <row r="14" spans="2:8" x14ac:dyDescent="0.4">
      <c r="B14" s="61">
        <v>10</v>
      </c>
      <c r="C14" s="62">
        <f t="shared" si="2"/>
        <v>806515</v>
      </c>
      <c r="D14" s="63">
        <f>'Break-Even Analysis Data Entry'!$K$6</f>
        <v>170124</v>
      </c>
      <c r="E14" s="63">
        <f>C14*'Break-Even Analysis Data Entry'!$K$8</f>
        <v>671830.83333333337</v>
      </c>
      <c r="F14" s="63">
        <f t="shared" si="0"/>
        <v>841954.83333333337</v>
      </c>
      <c r="G14" s="63">
        <f t="shared" si="1"/>
        <v>-35439.833333333372</v>
      </c>
      <c r="H14" s="64" t="s">
        <v>128</v>
      </c>
    </row>
    <row r="15" spans="2:8" x14ac:dyDescent="0.4">
      <c r="B15" s="61">
        <v>11</v>
      </c>
      <c r="C15" s="62">
        <f t="shared" si="2"/>
        <v>887166.5</v>
      </c>
      <c r="D15" s="63">
        <f>'Break-Even Analysis Data Entry'!$K$6</f>
        <v>170124</v>
      </c>
      <c r="E15" s="63">
        <f>C15*'Break-Even Analysis Data Entry'!$K$8</f>
        <v>739013.91666666663</v>
      </c>
      <c r="F15" s="63">
        <f t="shared" si="0"/>
        <v>909137.91666666663</v>
      </c>
      <c r="G15" s="63">
        <f t="shared" si="1"/>
        <v>-21971.416666666628</v>
      </c>
      <c r="H15" s="64" t="s">
        <v>129</v>
      </c>
    </row>
    <row r="16" spans="2:8" x14ac:dyDescent="0.4">
      <c r="B16" s="61">
        <v>12</v>
      </c>
      <c r="C16" s="62">
        <f t="shared" si="2"/>
        <v>967818</v>
      </c>
      <c r="D16" s="63">
        <f>'Break-Even Analysis Data Entry'!$K$6</f>
        <v>170124</v>
      </c>
      <c r="E16" s="63">
        <f>C16*'Break-Even Analysis Data Entry'!$K$8</f>
        <v>806197</v>
      </c>
      <c r="F16" s="63">
        <f t="shared" si="0"/>
        <v>976321</v>
      </c>
      <c r="G16" s="63">
        <f t="shared" si="1"/>
        <v>-8503</v>
      </c>
      <c r="H16" s="64" t="s">
        <v>130</v>
      </c>
    </row>
    <row r="17" spans="2:8" x14ac:dyDescent="0.4">
      <c r="B17" s="70"/>
      <c r="C17" s="71"/>
      <c r="D17" s="71"/>
      <c r="E17" s="71"/>
      <c r="F17" s="71"/>
      <c r="G17" s="71"/>
      <c r="H17" s="56"/>
    </row>
    <row r="18" spans="2:8" ht="21" x14ac:dyDescent="0.4">
      <c r="B18" s="58" t="s">
        <v>105</v>
      </c>
      <c r="C18" s="58" t="s">
        <v>106</v>
      </c>
      <c r="D18" s="59" t="s">
        <v>107</v>
      </c>
      <c r="E18" s="59" t="s">
        <v>108</v>
      </c>
      <c r="F18" s="59" t="s">
        <v>109</v>
      </c>
      <c r="G18" s="59" t="s">
        <v>110</v>
      </c>
      <c r="H18" s="59" t="s">
        <v>111</v>
      </c>
    </row>
    <row r="19" spans="2:8" x14ac:dyDescent="0.4">
      <c r="B19" s="61">
        <v>0</v>
      </c>
      <c r="C19" s="62">
        <f>B19*'Break-Even Analysis Data Entry'!$L$11</f>
        <v>0</v>
      </c>
      <c r="D19" s="63">
        <f>'Break-Even Analysis Data Entry'!$L$6</f>
        <v>170124</v>
      </c>
      <c r="E19" s="63">
        <f>'Break-Even Analysis Data Entry'!$L$6*B19</f>
        <v>0</v>
      </c>
      <c r="F19" s="63">
        <f t="shared" ref="F19:F31" si="3">E19+D19</f>
        <v>170124</v>
      </c>
      <c r="G19" s="63">
        <f t="shared" ref="G19:G31" si="4">C19-F19</f>
        <v>-170124</v>
      </c>
      <c r="H19" s="64"/>
    </row>
    <row r="20" spans="2:8" x14ac:dyDescent="0.4">
      <c r="B20" s="61">
        <v>1</v>
      </c>
      <c r="C20" s="62">
        <f>'Break-Even Analysis Data Entry'!L5/$B$16</f>
        <v>80651.5</v>
      </c>
      <c r="D20" s="63">
        <f>'Break-Even Analysis Data Entry'!$L$6</f>
        <v>170124</v>
      </c>
      <c r="E20" s="63">
        <f>C20*'Break-Even Analysis Data Entry'!$L$8</f>
        <v>58849.75</v>
      </c>
      <c r="F20" s="63">
        <f t="shared" si="3"/>
        <v>228973.75</v>
      </c>
      <c r="G20" s="63">
        <f t="shared" si="4"/>
        <v>-148322.25</v>
      </c>
      <c r="H20" s="64" t="s">
        <v>113</v>
      </c>
    </row>
    <row r="21" spans="2:8" x14ac:dyDescent="0.4">
      <c r="B21" s="61">
        <v>2</v>
      </c>
      <c r="C21" s="62">
        <f t="shared" ref="C21:C31" si="5">$C$20*B21</f>
        <v>161303</v>
      </c>
      <c r="D21" s="63">
        <f>'Break-Even Analysis Data Entry'!$L$6</f>
        <v>170124</v>
      </c>
      <c r="E21" s="63">
        <f>C21*'Break-Even Analysis Data Entry'!$L$8</f>
        <v>117699.5</v>
      </c>
      <c r="F21" s="63">
        <f t="shared" si="3"/>
        <v>287823.5</v>
      </c>
      <c r="G21" s="63">
        <f t="shared" si="4"/>
        <v>-126520.5</v>
      </c>
      <c r="H21" s="64" t="s">
        <v>115</v>
      </c>
    </row>
    <row r="22" spans="2:8" x14ac:dyDescent="0.4">
      <c r="B22" s="61">
        <v>3</v>
      </c>
      <c r="C22" s="62">
        <f t="shared" si="5"/>
        <v>241954.5</v>
      </c>
      <c r="D22" s="63">
        <f>'Break-Even Analysis Data Entry'!$L$6</f>
        <v>170124</v>
      </c>
      <c r="E22" s="63">
        <f>C22*'Break-Even Analysis Data Entry'!$L$8</f>
        <v>176549.25</v>
      </c>
      <c r="F22" s="63">
        <f t="shared" si="3"/>
        <v>346673.25</v>
      </c>
      <c r="G22" s="63">
        <f t="shared" si="4"/>
        <v>-104718.75</v>
      </c>
      <c r="H22" s="64" t="s">
        <v>117</v>
      </c>
    </row>
    <row r="23" spans="2:8" x14ac:dyDescent="0.4">
      <c r="B23" s="61">
        <v>4</v>
      </c>
      <c r="C23" s="62">
        <f t="shared" si="5"/>
        <v>322606</v>
      </c>
      <c r="D23" s="63">
        <f>'Break-Even Analysis Data Entry'!$L$6</f>
        <v>170124</v>
      </c>
      <c r="E23" s="63">
        <f>C23*'Break-Even Analysis Data Entry'!$L$8</f>
        <v>235399</v>
      </c>
      <c r="F23" s="63">
        <f t="shared" si="3"/>
        <v>405523</v>
      </c>
      <c r="G23" s="63">
        <f t="shared" si="4"/>
        <v>-82917</v>
      </c>
      <c r="H23" s="64" t="s">
        <v>119</v>
      </c>
    </row>
    <row r="24" spans="2:8" x14ac:dyDescent="0.4">
      <c r="B24" s="61">
        <v>5</v>
      </c>
      <c r="C24" s="62">
        <f t="shared" si="5"/>
        <v>403257.5</v>
      </c>
      <c r="D24" s="63">
        <f>'Break-Even Analysis Data Entry'!$L$6</f>
        <v>170124</v>
      </c>
      <c r="E24" s="63">
        <f>C24*'Break-Even Analysis Data Entry'!$L$8</f>
        <v>294248.75</v>
      </c>
      <c r="F24" s="63">
        <f t="shared" si="3"/>
        <v>464372.75</v>
      </c>
      <c r="G24" s="63">
        <f t="shared" si="4"/>
        <v>-61115.25</v>
      </c>
      <c r="H24" s="64" t="s">
        <v>121</v>
      </c>
    </row>
    <row r="25" spans="2:8" x14ac:dyDescent="0.4">
      <c r="B25" s="61">
        <v>6</v>
      </c>
      <c r="C25" s="62">
        <f t="shared" si="5"/>
        <v>483909</v>
      </c>
      <c r="D25" s="63">
        <f>'Break-Even Analysis Data Entry'!$L$6</f>
        <v>170124</v>
      </c>
      <c r="E25" s="63">
        <f>C25*'Break-Even Analysis Data Entry'!$L$8</f>
        <v>353098.5</v>
      </c>
      <c r="F25" s="63">
        <f t="shared" si="3"/>
        <v>523222.5</v>
      </c>
      <c r="G25" s="63">
        <f t="shared" si="4"/>
        <v>-39313.5</v>
      </c>
      <c r="H25" s="64" t="s">
        <v>123</v>
      </c>
    </row>
    <row r="26" spans="2:8" x14ac:dyDescent="0.4">
      <c r="B26" s="61">
        <v>7</v>
      </c>
      <c r="C26" s="62">
        <f t="shared" si="5"/>
        <v>564560.5</v>
      </c>
      <c r="D26" s="63">
        <f>'Break-Even Analysis Data Entry'!$L$6</f>
        <v>170124</v>
      </c>
      <c r="E26" s="63">
        <f>C26*'Break-Even Analysis Data Entry'!$L$8</f>
        <v>411948.25</v>
      </c>
      <c r="F26" s="63">
        <f t="shared" si="3"/>
        <v>582072.25</v>
      </c>
      <c r="G26" s="63">
        <f t="shared" si="4"/>
        <v>-17511.75</v>
      </c>
      <c r="H26" s="64" t="s">
        <v>125</v>
      </c>
    </row>
    <row r="27" spans="2:8" x14ac:dyDescent="0.4">
      <c r="B27" s="61">
        <v>8</v>
      </c>
      <c r="C27" s="62">
        <f t="shared" si="5"/>
        <v>645212</v>
      </c>
      <c r="D27" s="63">
        <f>'Break-Even Analysis Data Entry'!$L$6</f>
        <v>170124</v>
      </c>
      <c r="E27" s="63">
        <f>C27*'Break-Even Analysis Data Entry'!$L$8</f>
        <v>470798</v>
      </c>
      <c r="F27" s="63">
        <f t="shared" si="3"/>
        <v>640922</v>
      </c>
      <c r="G27" s="63">
        <f t="shared" si="4"/>
        <v>4290</v>
      </c>
      <c r="H27" s="64" t="s">
        <v>126</v>
      </c>
    </row>
    <row r="28" spans="2:8" x14ac:dyDescent="0.4">
      <c r="B28" s="61">
        <v>9</v>
      </c>
      <c r="C28" s="62">
        <f t="shared" si="5"/>
        <v>725863.5</v>
      </c>
      <c r="D28" s="63">
        <f>'Break-Even Analysis Data Entry'!$L$6</f>
        <v>170124</v>
      </c>
      <c r="E28" s="63">
        <f>C28*'Break-Even Analysis Data Entry'!$L$8</f>
        <v>529647.75</v>
      </c>
      <c r="F28" s="63">
        <f t="shared" si="3"/>
        <v>699771.75</v>
      </c>
      <c r="G28" s="63">
        <f t="shared" si="4"/>
        <v>26091.75</v>
      </c>
      <c r="H28" s="64" t="s">
        <v>127</v>
      </c>
    </row>
    <row r="29" spans="2:8" x14ac:dyDescent="0.4">
      <c r="B29" s="61">
        <v>10</v>
      </c>
      <c r="C29" s="62">
        <f t="shared" si="5"/>
        <v>806515</v>
      </c>
      <c r="D29" s="63">
        <f>'Break-Even Analysis Data Entry'!$L$6</f>
        <v>170124</v>
      </c>
      <c r="E29" s="63">
        <f>C29*'Break-Even Analysis Data Entry'!$L$8</f>
        <v>588497.5</v>
      </c>
      <c r="F29" s="63">
        <f t="shared" si="3"/>
        <v>758621.5</v>
      </c>
      <c r="G29" s="63">
        <f t="shared" si="4"/>
        <v>47893.5</v>
      </c>
      <c r="H29" s="64" t="s">
        <v>128</v>
      </c>
    </row>
    <row r="30" spans="2:8" x14ac:dyDescent="0.4">
      <c r="B30" s="61">
        <v>11</v>
      </c>
      <c r="C30" s="62">
        <f t="shared" si="5"/>
        <v>887166.5</v>
      </c>
      <c r="D30" s="63">
        <f>'Break-Even Analysis Data Entry'!$L$6</f>
        <v>170124</v>
      </c>
      <c r="E30" s="63">
        <f>C30*'Break-Even Analysis Data Entry'!$L$8</f>
        <v>647347.25</v>
      </c>
      <c r="F30" s="63">
        <f t="shared" si="3"/>
        <v>817471.25</v>
      </c>
      <c r="G30" s="63">
        <f t="shared" si="4"/>
        <v>69695.25</v>
      </c>
      <c r="H30" s="64" t="s">
        <v>129</v>
      </c>
    </row>
    <row r="31" spans="2:8" x14ac:dyDescent="0.4">
      <c r="B31" s="61">
        <v>12</v>
      </c>
      <c r="C31" s="62">
        <f t="shared" si="5"/>
        <v>967818</v>
      </c>
      <c r="D31" s="63">
        <f>'Break-Even Analysis Data Entry'!$L$6</f>
        <v>170124</v>
      </c>
      <c r="E31" s="63">
        <f>C31*'Break-Even Analysis Data Entry'!$L$8</f>
        <v>706197</v>
      </c>
      <c r="F31" s="63">
        <f t="shared" si="3"/>
        <v>876321</v>
      </c>
      <c r="G31" s="63">
        <f t="shared" si="4"/>
        <v>91497</v>
      </c>
      <c r="H31" s="64" t="s">
        <v>130</v>
      </c>
    </row>
  </sheetData>
  <phoneticPr fontId="2"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22"/>
    <pageSetUpPr fitToPage="1"/>
  </sheetPr>
  <dimension ref="A1:T45"/>
  <sheetViews>
    <sheetView showGridLines="0" showRowColHeaders="0" zoomScaleNormal="75" workbookViewId="0"/>
  </sheetViews>
  <sheetFormatPr defaultColWidth="10.640625" defaultRowHeight="13.15" x14ac:dyDescent="0.4"/>
  <cols>
    <col min="1" max="1" width="0.85546875" style="74" customWidth="1"/>
    <col min="2" max="2" width="1.5" style="74" hidden="1" customWidth="1"/>
    <col min="3" max="3" width="9.140625" style="78" hidden="1" customWidth="1"/>
    <col min="4" max="4" width="16.140625" style="73" hidden="1" customWidth="1"/>
    <col min="5" max="5" width="14" style="73" hidden="1" customWidth="1"/>
    <col min="6" max="6" width="10.640625" style="73" hidden="1" customWidth="1"/>
    <col min="7" max="7" width="11.140625" style="73" hidden="1" customWidth="1"/>
    <col min="8" max="8" width="10" style="73" hidden="1" customWidth="1"/>
    <col min="9" max="9" width="10.640625" style="74" hidden="1" customWidth="1"/>
    <col min="10" max="10" width="15.85546875" style="74" customWidth="1"/>
    <col min="11" max="11" width="14.35546875" style="74" bestFit="1" customWidth="1"/>
    <col min="12" max="12" width="13.5" style="74" bestFit="1" customWidth="1"/>
    <col min="13" max="13" width="1.5" customWidth="1"/>
    <col min="14" max="16" width="11.35546875" style="74" customWidth="1"/>
    <col min="17" max="17" width="1" customWidth="1"/>
    <col min="18" max="20" width="11.35546875" style="74" customWidth="1"/>
    <col min="21" max="16384" width="10.640625" style="74"/>
  </cols>
  <sheetData>
    <row r="1" spans="3:20" s="56" customFormat="1" ht="5.25" customHeight="1" x14ac:dyDescent="0.4">
      <c r="C1" s="54"/>
      <c r="D1" s="55"/>
      <c r="E1" s="55"/>
      <c r="F1" s="55"/>
      <c r="G1" s="55"/>
      <c r="H1" s="55"/>
      <c r="M1"/>
      <c r="Q1"/>
    </row>
    <row r="2" spans="3:20" s="56" customFormat="1" ht="46.5" customHeight="1" x14ac:dyDescent="0.4">
      <c r="C2" s="54"/>
      <c r="D2" s="55"/>
      <c r="E2" s="55"/>
      <c r="F2" s="55"/>
      <c r="G2" s="55"/>
      <c r="H2" s="55"/>
      <c r="J2" s="57"/>
      <c r="M2"/>
      <c r="Q2"/>
    </row>
    <row r="3" spans="3:20" s="56" customFormat="1" ht="46.5" customHeight="1" x14ac:dyDescent="0.4">
      <c r="C3" s="54"/>
      <c r="D3" s="55"/>
      <c r="E3" s="55"/>
      <c r="F3" s="55"/>
      <c r="G3" s="55"/>
      <c r="H3" s="55"/>
      <c r="J3" s="57"/>
      <c r="M3"/>
      <c r="Q3"/>
    </row>
    <row r="4" spans="3:20" s="56" customFormat="1" ht="12.75" customHeight="1" x14ac:dyDescent="0.4">
      <c r="C4" s="54"/>
      <c r="D4" s="55"/>
      <c r="E4" s="55"/>
      <c r="F4" s="55"/>
      <c r="G4" s="55"/>
      <c r="H4" s="55"/>
      <c r="J4" s="57"/>
      <c r="K4" s="85" t="s">
        <v>139</v>
      </c>
      <c r="L4" s="85" t="s">
        <v>140</v>
      </c>
      <c r="M4"/>
      <c r="N4" s="88" t="s">
        <v>143</v>
      </c>
      <c r="O4" s="89"/>
      <c r="P4" s="90"/>
      <c r="Q4"/>
      <c r="R4" s="88" t="s">
        <v>144</v>
      </c>
      <c r="S4" s="89"/>
      <c r="T4" s="90"/>
    </row>
    <row r="5" spans="3:20" s="56" customFormat="1" x14ac:dyDescent="0.4">
      <c r="J5" s="91" t="s">
        <v>142</v>
      </c>
      <c r="K5" s="60">
        <v>967818</v>
      </c>
      <c r="L5" s="60">
        <v>967818</v>
      </c>
      <c r="M5"/>
      <c r="N5" s="83"/>
      <c r="O5" s="84" t="s">
        <v>142</v>
      </c>
      <c r="P5" s="96">
        <f>K5</f>
        <v>967818</v>
      </c>
      <c r="Q5"/>
      <c r="R5" s="83"/>
      <c r="S5" s="84" t="s">
        <v>142</v>
      </c>
      <c r="T5" s="96">
        <f>L5</f>
        <v>967818</v>
      </c>
    </row>
    <row r="6" spans="3:20" s="56" customFormat="1" x14ac:dyDescent="0.4">
      <c r="J6" s="65" t="s">
        <v>112</v>
      </c>
      <c r="K6" s="60">
        <v>170124</v>
      </c>
      <c r="L6" s="60">
        <v>170124</v>
      </c>
      <c r="M6"/>
      <c r="N6" s="83"/>
      <c r="O6" s="84" t="s">
        <v>112</v>
      </c>
      <c r="P6" s="96">
        <f>K6</f>
        <v>170124</v>
      </c>
      <c r="Q6"/>
      <c r="R6" s="83"/>
      <c r="S6" s="84" t="s">
        <v>112</v>
      </c>
      <c r="T6" s="96">
        <f>L6</f>
        <v>170124</v>
      </c>
    </row>
    <row r="7" spans="3:20" s="56" customFormat="1" x14ac:dyDescent="0.4">
      <c r="J7" s="65" t="s">
        <v>114</v>
      </c>
      <c r="K7" s="66">
        <v>806197</v>
      </c>
      <c r="L7" s="66">
        <v>706197</v>
      </c>
      <c r="M7"/>
      <c r="N7" s="83"/>
      <c r="O7" s="84" t="s">
        <v>114</v>
      </c>
      <c r="P7" s="97">
        <f>K7</f>
        <v>806197</v>
      </c>
      <c r="Q7"/>
      <c r="R7" s="83"/>
      <c r="S7" s="84" t="s">
        <v>114</v>
      </c>
      <c r="T7" s="97">
        <f>L7</f>
        <v>706197</v>
      </c>
    </row>
    <row r="8" spans="3:20" s="56" customFormat="1" x14ac:dyDescent="0.4">
      <c r="J8" s="65" t="s">
        <v>116</v>
      </c>
      <c r="K8" s="67">
        <f>K7/K5</f>
        <v>0.83300475915926342</v>
      </c>
      <c r="L8" s="67">
        <f>L7/L5</f>
        <v>0.72967954718759109</v>
      </c>
      <c r="M8"/>
      <c r="Q8"/>
    </row>
    <row r="9" spans="3:20" s="56" customFormat="1" x14ac:dyDescent="0.4">
      <c r="J9" s="65" t="s">
        <v>118</v>
      </c>
      <c r="K9" s="86">
        <f>K5-(K6+K7)</f>
        <v>-8503</v>
      </c>
      <c r="L9" s="86">
        <f>L5-(L6+L7)</f>
        <v>91497</v>
      </c>
      <c r="M9"/>
      <c r="Q9"/>
    </row>
    <row r="10" spans="3:20" s="56" customFormat="1" x14ac:dyDescent="0.4">
      <c r="J10" s="65" t="s">
        <v>120</v>
      </c>
      <c r="K10" s="67">
        <f>(K6/(K6+K9))</f>
        <v>1.0526107374660472</v>
      </c>
      <c r="L10" s="67">
        <f>(L6/(L6+L9))</f>
        <v>0.65026890043230479</v>
      </c>
      <c r="M10"/>
      <c r="Q10"/>
    </row>
    <row r="11" spans="3:20" s="56" customFormat="1" x14ac:dyDescent="0.4">
      <c r="J11" s="65" t="s">
        <v>122</v>
      </c>
      <c r="K11" s="68">
        <f>K5*(K6/(K6+K9))</f>
        <v>1018735.6187129149</v>
      </c>
      <c r="L11" s="68">
        <f>L5*(L6/(L6+L9))</f>
        <v>629341.94667859236</v>
      </c>
      <c r="M11"/>
      <c r="Q11"/>
    </row>
    <row r="12" spans="3:20" s="56" customFormat="1" x14ac:dyDescent="0.4">
      <c r="J12" s="65" t="s">
        <v>124</v>
      </c>
      <c r="K12" s="69">
        <f>(K6/(K6+K9)*365)</f>
        <v>384.20291917510724</v>
      </c>
      <c r="L12" s="69">
        <f>(L6/(L6+L9)*365)</f>
        <v>237.34814865779126</v>
      </c>
      <c r="M12"/>
      <c r="Q12"/>
    </row>
    <row r="13" spans="3:20" s="56" customFormat="1" x14ac:dyDescent="0.4">
      <c r="K13" s="87" t="str">
        <f>IF($K$12&gt;365,"THE B/E POINT IS IN NEXT YEAR","")</f>
        <v>THE B/E POINT IS IN NEXT YEAR</v>
      </c>
      <c r="M13"/>
      <c r="Q13"/>
    </row>
    <row r="14" spans="3:20" s="56" customFormat="1" x14ac:dyDescent="0.4">
      <c r="K14" s="87" t="str">
        <f>IF($K$12&gt;365,"BECAUSE PROFIT IS NEGATIVE.","")</f>
        <v>BECAUSE PROFIT IS NEGATIVE.</v>
      </c>
      <c r="M14"/>
      <c r="Q14"/>
    </row>
    <row r="15" spans="3:20" s="56" customFormat="1" x14ac:dyDescent="0.4">
      <c r="M15"/>
      <c r="Q15"/>
    </row>
    <row r="16" spans="3:20" s="56" customFormat="1" x14ac:dyDescent="0.4">
      <c r="M16"/>
      <c r="Q16"/>
    </row>
    <row r="17" spans="1:20" s="56" customFormat="1" x14ac:dyDescent="0.4">
      <c r="M17"/>
      <c r="Q17"/>
    </row>
    <row r="18" spans="1:20" s="56" customFormat="1" x14ac:dyDescent="0.4">
      <c r="M18"/>
      <c r="Q18"/>
    </row>
    <row r="19" spans="1:20" s="56" customFormat="1" x14ac:dyDescent="0.4">
      <c r="M19"/>
      <c r="Q19"/>
    </row>
    <row r="20" spans="1:20" s="56" customFormat="1" x14ac:dyDescent="0.4">
      <c r="M20"/>
      <c r="N20" s="92" t="s">
        <v>145</v>
      </c>
      <c r="O20" s="92"/>
      <c r="P20" s="92"/>
      <c r="Q20"/>
      <c r="R20" s="92" t="s">
        <v>145</v>
      </c>
      <c r="S20" s="92"/>
      <c r="T20" s="92"/>
    </row>
    <row r="21" spans="1:20" s="56" customFormat="1" x14ac:dyDescent="0.4">
      <c r="M21"/>
      <c r="Q21"/>
    </row>
    <row r="22" spans="1:20" s="56" customFormat="1" ht="15.75" customHeight="1" x14ac:dyDescent="0.4">
      <c r="M22"/>
      <c r="N22" s="88" t="s">
        <v>138</v>
      </c>
      <c r="O22" s="89"/>
      <c r="P22" s="90"/>
      <c r="Q22"/>
      <c r="R22" s="88" t="s">
        <v>141</v>
      </c>
      <c r="S22" s="89"/>
      <c r="T22" s="90"/>
    </row>
    <row r="23" spans="1:20" s="56" customFormat="1" ht="15.75" customHeight="1" x14ac:dyDescent="0.4">
      <c r="M23"/>
      <c r="N23" s="83"/>
      <c r="O23" s="84" t="s">
        <v>136</v>
      </c>
      <c r="P23" s="67">
        <f>K6/$K$5</f>
        <v>0.17578098361468789</v>
      </c>
      <c r="Q23"/>
      <c r="R23" s="83"/>
      <c r="S23" s="84" t="s">
        <v>136</v>
      </c>
      <c r="T23" s="67">
        <f>L6/L5</f>
        <v>0.17578098361468789</v>
      </c>
    </row>
    <row r="24" spans="1:20" s="56" customFormat="1" x14ac:dyDescent="0.4">
      <c r="M24"/>
      <c r="N24" s="83"/>
      <c r="O24" s="84" t="s">
        <v>116</v>
      </c>
      <c r="P24" s="67">
        <f>K8</f>
        <v>0.83300475915926342</v>
      </c>
      <c r="Q24"/>
      <c r="R24" s="83"/>
      <c r="S24" s="84" t="s">
        <v>116</v>
      </c>
      <c r="T24" s="67">
        <f>L8</f>
        <v>0.72967954718759109</v>
      </c>
    </row>
    <row r="25" spans="1:20" ht="15" x14ac:dyDescent="0.4">
      <c r="A25" s="72"/>
      <c r="B25" s="72"/>
      <c r="J25" s="72"/>
      <c r="K25" s="72"/>
      <c r="L25" s="72"/>
      <c r="N25" s="83"/>
      <c r="O25" s="84" t="s">
        <v>137</v>
      </c>
      <c r="P25" s="67">
        <f>K9/$K$5</f>
        <v>-8.7857427739513015E-3</v>
      </c>
      <c r="R25" s="83"/>
      <c r="S25" s="84" t="s">
        <v>137</v>
      </c>
      <c r="T25" s="67">
        <f>L9/L5</f>
        <v>9.4539469197721063E-2</v>
      </c>
    </row>
    <row r="38" spans="3:20" x14ac:dyDescent="0.4">
      <c r="N38" s="92" t="s">
        <v>145</v>
      </c>
      <c r="O38" s="92"/>
      <c r="P38" s="92"/>
      <c r="R38" s="92" t="s">
        <v>145</v>
      </c>
      <c r="S38" s="92"/>
      <c r="T38" s="92"/>
    </row>
    <row r="41" spans="3:20" x14ac:dyDescent="0.4">
      <c r="C41" s="75"/>
      <c r="D41" s="76"/>
      <c r="E41" s="76"/>
      <c r="F41" s="76"/>
      <c r="G41" s="76"/>
      <c r="H41" s="76"/>
      <c r="I41" s="77"/>
      <c r="J41" s="77"/>
      <c r="K41" s="77"/>
      <c r="L41" s="77"/>
    </row>
    <row r="45" spans="3:20" x14ac:dyDescent="0.4">
      <c r="D45" s="79"/>
      <c r="E45" s="79"/>
      <c r="F45" s="79"/>
      <c r="G45" s="79"/>
      <c r="H45" s="79"/>
      <c r="I45" s="56"/>
    </row>
  </sheetData>
  <phoneticPr fontId="14" type="noConversion"/>
  <hyperlinks>
    <hyperlink ref="N20:P20" location="'Current BE Chart For Printing'!A1" display="Click Here For Large View"/>
    <hyperlink ref="R20:T20" location="'Projected BE Chart For Printing'!A1" display="Click Here For Large View"/>
    <hyperlink ref="N38:P38" location="'Current Pie Chart'!A1" display="Click Here For Large View"/>
    <hyperlink ref="R38:T38" location="'Projected Pie Chart'!A1" display="Click Here For Large View"/>
  </hyperlinks>
  <pageMargins left="0.75" right="0.75" top="1" bottom="1" header="0.5" footer="0.5"/>
  <pageSetup scale="86" orientation="portrait" horizontalDpi="4294967294" verticalDpi="400" r:id="rId1"/>
  <headerFooter alignWithMargins="0">
    <oddFooter>&amp;C© Copyright, 2010, JaxWorks, All Rights Reserved.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22"/>
    <pageSetUpPr autoPageBreaks="0"/>
  </sheetPr>
  <dimension ref="C1:E23"/>
  <sheetViews>
    <sheetView showGridLines="0" showRowColHeaders="0" zoomScaleNormal="100" workbookViewId="0"/>
  </sheetViews>
  <sheetFormatPr defaultColWidth="10.640625" defaultRowHeight="12.75" x14ac:dyDescent="0.35"/>
  <cols>
    <col min="1" max="1" width="1.35546875" style="80" customWidth="1"/>
    <col min="2" max="16384" width="10.640625" style="80"/>
  </cols>
  <sheetData>
    <row r="1" ht="6.75" customHeight="1" x14ac:dyDescent="0.35"/>
    <row r="23" spans="3:5" ht="13.15" x14ac:dyDescent="0.4">
      <c r="C23" s="94" t="s">
        <v>147</v>
      </c>
      <c r="D23" s="95"/>
      <c r="E23" s="95"/>
    </row>
  </sheetData>
  <phoneticPr fontId="14" type="noConversion"/>
  <hyperlinks>
    <hyperlink ref="C23" location="'Break-Even Analysis Data Entry'!A1" display="Return To Data Entry"/>
  </hyperlinks>
  <pageMargins left="0.75" right="0.75" top="1" bottom="1" header="0.5" footer="0.5"/>
  <pageSetup scale="77" orientation="portrait" horizontalDpi="4294967294"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22"/>
    <pageSetUpPr autoPageBreaks="0"/>
  </sheetPr>
  <dimension ref="B1:M23"/>
  <sheetViews>
    <sheetView showGridLines="0" showRowColHeaders="0" zoomScaleNormal="100" workbookViewId="0"/>
  </sheetViews>
  <sheetFormatPr defaultRowHeight="13.15" x14ac:dyDescent="0.4"/>
  <cols>
    <col min="1" max="1" width="1.35546875" customWidth="1"/>
    <col min="2" max="13" width="10.640625" style="80" customWidth="1"/>
  </cols>
  <sheetData>
    <row r="1" ht="6.75" customHeight="1" x14ac:dyDescent="0.4"/>
    <row r="23" spans="3:5" x14ac:dyDescent="0.4">
      <c r="C23" s="94" t="s">
        <v>147</v>
      </c>
      <c r="D23" s="95"/>
      <c r="E23" s="95"/>
    </row>
  </sheetData>
  <phoneticPr fontId="2" type="noConversion"/>
  <hyperlinks>
    <hyperlink ref="C23" location="'Break-Even Analysis Data Entry'!A1" display="Return To Data Entry"/>
  </hyperlinks>
  <pageMargins left="0.75" right="0.75" top="1" bottom="1" header="0.5" footer="0.5"/>
  <pageSetup scale="77" orientation="portrait" horizontalDpi="4294967294"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22"/>
    <pageSetUpPr autoPageBreaks="0"/>
  </sheetPr>
  <dimension ref="C1:E2"/>
  <sheetViews>
    <sheetView showGridLines="0" showRowColHeaders="0" zoomScaleNormal="100" zoomScaleSheetLayoutView="100" workbookViewId="0"/>
  </sheetViews>
  <sheetFormatPr defaultColWidth="10.640625" defaultRowHeight="12.75" x14ac:dyDescent="0.35"/>
  <cols>
    <col min="1" max="1" width="1.35546875" style="80" customWidth="1"/>
    <col min="2" max="16384" width="10.640625" style="80"/>
  </cols>
  <sheetData>
    <row r="1" spans="3:5" ht="6.75" customHeight="1" x14ac:dyDescent="0.35"/>
    <row r="2" spans="3:5" ht="13.15" x14ac:dyDescent="0.4">
      <c r="C2" s="94" t="s">
        <v>147</v>
      </c>
      <c r="D2" s="95"/>
      <c r="E2" s="95"/>
    </row>
  </sheetData>
  <phoneticPr fontId="14" type="noConversion"/>
  <hyperlinks>
    <hyperlink ref="C2" location="'Break-Even Analysis Data Entry'!A1" display="Return To Data Entry"/>
  </hyperlinks>
  <printOptions horizontalCentered="1"/>
  <pageMargins left="0.75" right="0.75" top="1" bottom="1" header="0.5" footer="0.5"/>
  <pageSetup scale="77" orientation="portrait" horizontalDpi="4294967294" verticalDpi="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22"/>
    <pageSetUpPr autoPageBreaks="0"/>
  </sheetPr>
  <dimension ref="D1:P26"/>
  <sheetViews>
    <sheetView showGridLines="0" showRowColHeaders="0" zoomScale="90" workbookViewId="0"/>
  </sheetViews>
  <sheetFormatPr defaultRowHeight="13.15" x14ac:dyDescent="0.4"/>
  <cols>
    <col min="1" max="1" width="1.35546875" customWidth="1"/>
  </cols>
  <sheetData>
    <row r="1" spans="14:16" ht="6.75" customHeight="1" x14ac:dyDescent="0.4"/>
    <row r="3" spans="14:16" x14ac:dyDescent="0.4">
      <c r="N3" s="94" t="s">
        <v>147</v>
      </c>
      <c r="O3" s="95"/>
      <c r="P3" s="95"/>
    </row>
    <row r="26" spans="4:11" ht="17.649999999999999" x14ac:dyDescent="0.5">
      <c r="D26" s="93" t="s">
        <v>146</v>
      </c>
      <c r="E26" s="93"/>
      <c r="F26" s="93"/>
      <c r="G26" s="93"/>
      <c r="H26" s="93"/>
      <c r="I26" s="93"/>
      <c r="J26" s="93"/>
      <c r="K26" s="93"/>
    </row>
  </sheetData>
  <phoneticPr fontId="2" type="noConversion"/>
  <hyperlinks>
    <hyperlink ref="N3" location="'Break-Even Analysis Data Entry'!A1" display="Return To Data Entry"/>
  </hyperlinks>
  <printOptions horizontalCentered="1"/>
  <pageMargins left="0.75" right="0.75" top="1" bottom="1" header="0.5" footer="0.5"/>
  <pageSetup orientation="portrait" horizontalDpi="4294967294" verticalDpi="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22"/>
    <pageSetUpPr autoPageBreaks="0"/>
  </sheetPr>
  <dimension ref="D1:P26"/>
  <sheetViews>
    <sheetView showGridLines="0" showRowColHeaders="0" zoomScale="90" workbookViewId="0"/>
  </sheetViews>
  <sheetFormatPr defaultRowHeight="13.15" x14ac:dyDescent="0.4"/>
  <cols>
    <col min="1" max="1" width="1.35546875" customWidth="1"/>
  </cols>
  <sheetData>
    <row r="1" spans="14:16" ht="6.75" customHeight="1" x14ac:dyDescent="0.4"/>
    <row r="3" spans="14:16" x14ac:dyDescent="0.4">
      <c r="N3" s="94" t="s">
        <v>147</v>
      </c>
      <c r="O3" s="95"/>
      <c r="P3" s="95"/>
    </row>
    <row r="26" spans="4:11" ht="17.649999999999999" x14ac:dyDescent="0.5">
      <c r="D26" s="93" t="s">
        <v>141</v>
      </c>
      <c r="E26" s="93"/>
      <c r="F26" s="93"/>
      <c r="G26" s="93"/>
      <c r="H26" s="93"/>
      <c r="I26" s="93"/>
      <c r="J26" s="93"/>
      <c r="K26" s="93"/>
    </row>
  </sheetData>
  <phoneticPr fontId="2" type="noConversion"/>
  <hyperlinks>
    <hyperlink ref="N3" location="'Break-Even Analysis Data Entry'!A1" display="Return To Data Entry"/>
  </hyperlinks>
  <printOptions horizontalCentered="1"/>
  <pageMargins left="0.75" right="0.75" top="1" bottom="1" header="0.5" footer="0.5"/>
  <pageSetup orientation="portrait" horizontalDpi="4294967294" verticalDpi="3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22"/>
    <pageSetUpPr autoPageBreaks="0"/>
  </sheetPr>
  <dimension ref="C1:N424"/>
  <sheetViews>
    <sheetView showGridLines="0" showRowColHeaders="0" zoomScale="90" zoomScaleNormal="90" workbookViewId="0"/>
  </sheetViews>
  <sheetFormatPr defaultColWidth="10.640625" defaultRowHeight="15" x14ac:dyDescent="0.4"/>
  <cols>
    <col min="1" max="1" width="0.85546875" style="98" customWidth="1"/>
    <col min="2" max="2" width="5.85546875" style="98" customWidth="1"/>
    <col min="3" max="3" width="21" style="98" bestFit="1" customWidth="1"/>
    <col min="4" max="4" width="10.85546875" style="98" customWidth="1"/>
    <col min="5" max="5" width="16.85546875" style="98" bestFit="1" customWidth="1"/>
    <col min="6" max="7" width="13.85546875" style="98" bestFit="1" customWidth="1"/>
    <col min="8" max="8" width="9" style="98" customWidth="1"/>
    <col min="9" max="9" width="10.640625" style="98" customWidth="1"/>
    <col min="10" max="10" width="9.640625" style="98" customWidth="1"/>
    <col min="11" max="11" width="9.85546875" style="98" customWidth="1"/>
    <col min="12" max="13" width="2.5" style="98" customWidth="1"/>
    <col min="14" max="14" width="5" style="98" customWidth="1"/>
    <col min="15" max="16384" width="10.640625" style="98"/>
  </cols>
  <sheetData>
    <row r="1" spans="3:14" ht="4.5" customHeight="1" x14ac:dyDescent="0.4"/>
    <row r="2" spans="3:14" ht="18.75" customHeight="1" x14ac:dyDescent="0.4"/>
    <row r="3" spans="3:14" ht="22.5" x14ac:dyDescent="0.4">
      <c r="C3" s="164" t="s">
        <v>148</v>
      </c>
      <c r="D3" s="165"/>
      <c r="E3" s="165"/>
      <c r="F3" s="165"/>
      <c r="G3" s="165"/>
      <c r="H3" s="165"/>
      <c r="I3" s="165"/>
      <c r="J3" s="165"/>
      <c r="K3" s="165"/>
      <c r="L3" s="165"/>
      <c r="M3" s="165"/>
      <c r="N3" s="165"/>
    </row>
    <row r="4" spans="3:14" ht="17.649999999999999" x14ac:dyDescent="0.4">
      <c r="C4" s="152" t="s">
        <v>149</v>
      </c>
      <c r="D4" s="153"/>
      <c r="E4" s="153"/>
      <c r="F4" s="153"/>
      <c r="G4" s="153"/>
      <c r="H4" s="153"/>
      <c r="I4" s="153"/>
      <c r="J4" s="153"/>
      <c r="K4" s="153"/>
      <c r="L4" s="153"/>
      <c r="M4" s="153"/>
      <c r="N4" s="153"/>
    </row>
    <row r="5" spans="3:14" x14ac:dyDescent="0.4">
      <c r="C5" s="99"/>
      <c r="D5" s="99"/>
      <c r="E5" s="99"/>
      <c r="F5" s="99"/>
      <c r="G5" s="99"/>
      <c r="H5" s="99"/>
      <c r="I5" s="99"/>
      <c r="J5" s="99"/>
      <c r="K5" s="99"/>
      <c r="L5" s="99"/>
      <c r="M5" s="99"/>
      <c r="N5" s="99"/>
    </row>
    <row r="6" spans="3:14" ht="81" customHeight="1" x14ac:dyDescent="0.4">
      <c r="C6" s="154" t="s">
        <v>2</v>
      </c>
      <c r="D6" s="155"/>
      <c r="E6" s="155"/>
      <c r="F6" s="155"/>
      <c r="G6" s="155"/>
      <c r="H6" s="155"/>
      <c r="I6" s="155"/>
      <c r="J6" s="155"/>
      <c r="K6" s="155"/>
      <c r="L6" s="155"/>
      <c r="M6" s="155"/>
      <c r="N6" s="155"/>
    </row>
    <row r="7" spans="3:14" x14ac:dyDescent="0.4">
      <c r="C7" s="99"/>
      <c r="D7" s="99"/>
      <c r="E7" s="99"/>
      <c r="F7" s="99"/>
      <c r="G7" s="99"/>
      <c r="H7" s="99"/>
      <c r="I7" s="99"/>
      <c r="J7" s="99"/>
      <c r="K7" s="99"/>
      <c r="L7" s="99"/>
      <c r="M7" s="99"/>
      <c r="N7" s="99"/>
    </row>
    <row r="8" spans="3:14" ht="81.75" customHeight="1" x14ac:dyDescent="0.4">
      <c r="C8" s="154" t="s">
        <v>150</v>
      </c>
      <c r="D8" s="155"/>
      <c r="E8" s="155"/>
      <c r="F8" s="155"/>
      <c r="G8" s="155"/>
      <c r="H8" s="155"/>
      <c r="I8" s="155"/>
      <c r="J8" s="155"/>
      <c r="K8" s="155"/>
      <c r="L8" s="155"/>
      <c r="M8" s="155"/>
      <c r="N8" s="155"/>
    </row>
    <row r="9" spans="3:14" x14ac:dyDescent="0.4">
      <c r="C9" s="99"/>
      <c r="D9" s="99"/>
      <c r="E9" s="99"/>
      <c r="F9" s="99"/>
      <c r="G9" s="99"/>
      <c r="H9" s="99"/>
      <c r="I9" s="99"/>
      <c r="J9" s="99"/>
      <c r="K9" s="99"/>
      <c r="L9" s="99"/>
      <c r="M9" s="99"/>
      <c r="N9" s="99"/>
    </row>
    <row r="10" spans="3:14" ht="49.5" customHeight="1" x14ac:dyDescent="0.4">
      <c r="C10" s="156" t="s">
        <v>3</v>
      </c>
      <c r="D10" s="155"/>
      <c r="E10" s="155"/>
      <c r="F10" s="155"/>
      <c r="G10" s="155"/>
      <c r="H10" s="155"/>
      <c r="I10" s="155"/>
      <c r="J10" s="155"/>
      <c r="K10" s="155"/>
      <c r="L10" s="155"/>
      <c r="M10" s="155"/>
      <c r="N10" s="155"/>
    </row>
    <row r="11" spans="3:14" x14ac:dyDescent="0.4">
      <c r="C11" s="99"/>
      <c r="D11" s="99"/>
      <c r="E11" s="99"/>
      <c r="F11" s="99"/>
      <c r="G11" s="99"/>
      <c r="H11" s="99"/>
      <c r="I11" s="99"/>
      <c r="J11" s="99"/>
      <c r="K11" s="99"/>
      <c r="L11" s="99"/>
      <c r="M11" s="99"/>
      <c r="N11" s="99"/>
    </row>
    <row r="12" spans="3:14" ht="69.75" customHeight="1" x14ac:dyDescent="0.4">
      <c r="C12" s="154" t="s">
        <v>151</v>
      </c>
      <c r="D12" s="155"/>
      <c r="E12" s="155"/>
      <c r="F12" s="155"/>
      <c r="G12" s="155"/>
      <c r="H12" s="155"/>
      <c r="I12" s="155"/>
      <c r="J12" s="155"/>
      <c r="K12" s="155"/>
      <c r="L12" s="155"/>
      <c r="M12" s="155"/>
      <c r="N12" s="155"/>
    </row>
    <row r="13" spans="3:14" x14ac:dyDescent="0.4">
      <c r="C13" s="99"/>
      <c r="D13" s="99"/>
      <c r="E13" s="99"/>
      <c r="F13" s="99"/>
      <c r="G13" s="99"/>
      <c r="H13" s="99"/>
      <c r="I13" s="99"/>
      <c r="J13" s="99"/>
      <c r="K13" s="99"/>
      <c r="L13" s="99"/>
      <c r="M13" s="99"/>
      <c r="N13" s="99"/>
    </row>
    <row r="14" spans="3:14" ht="87.75" customHeight="1" x14ac:dyDescent="0.4">
      <c r="C14" s="154" t="s">
        <v>152</v>
      </c>
      <c r="D14" s="155"/>
      <c r="E14" s="155"/>
      <c r="F14" s="155"/>
      <c r="G14" s="155"/>
      <c r="H14" s="155"/>
      <c r="I14" s="155"/>
      <c r="J14" s="155"/>
      <c r="K14" s="155"/>
      <c r="L14" s="155"/>
      <c r="M14" s="155"/>
      <c r="N14" s="155"/>
    </row>
    <row r="15" spans="3:14" x14ac:dyDescent="0.4">
      <c r="C15" s="99"/>
      <c r="D15" s="99"/>
      <c r="E15" s="99"/>
      <c r="F15" s="99"/>
      <c r="G15" s="99"/>
      <c r="H15" s="99"/>
      <c r="I15" s="99"/>
      <c r="J15" s="99"/>
      <c r="K15" s="99"/>
      <c r="L15" s="99"/>
      <c r="M15" s="99"/>
      <c r="N15" s="99"/>
    </row>
    <row r="16" spans="3:14" ht="53.25" customHeight="1" x14ac:dyDescent="0.4">
      <c r="C16" s="154" t="s">
        <v>153</v>
      </c>
      <c r="D16" s="155"/>
      <c r="E16" s="155"/>
      <c r="F16" s="155"/>
      <c r="G16" s="155"/>
      <c r="H16" s="155"/>
      <c r="I16" s="155"/>
      <c r="J16" s="155"/>
      <c r="K16" s="155"/>
      <c r="L16" s="155"/>
      <c r="M16" s="155"/>
      <c r="N16" s="155"/>
    </row>
    <row r="17" spans="3:14" x14ac:dyDescent="0.4">
      <c r="C17" s="99"/>
      <c r="D17" s="99"/>
      <c r="E17" s="99"/>
      <c r="F17" s="99"/>
      <c r="G17" s="99"/>
      <c r="H17" s="99"/>
      <c r="I17" s="99"/>
      <c r="J17" s="99"/>
      <c r="K17" s="99"/>
      <c r="L17" s="99"/>
      <c r="M17" s="99"/>
      <c r="N17" s="99"/>
    </row>
    <row r="18" spans="3:14" ht="117.75" customHeight="1" x14ac:dyDescent="0.4">
      <c r="C18" s="154" t="s">
        <v>154</v>
      </c>
      <c r="D18" s="155"/>
      <c r="E18" s="155"/>
      <c r="F18" s="155"/>
      <c r="G18" s="155"/>
      <c r="H18" s="155"/>
      <c r="I18" s="155"/>
      <c r="J18" s="155"/>
      <c r="K18" s="155"/>
      <c r="L18" s="155"/>
      <c r="M18" s="155"/>
      <c r="N18" s="155"/>
    </row>
    <row r="19" spans="3:14" x14ac:dyDescent="0.4">
      <c r="C19" s="99"/>
      <c r="D19" s="99"/>
      <c r="E19" s="99"/>
      <c r="F19" s="99"/>
      <c r="G19" s="99"/>
      <c r="H19" s="99"/>
      <c r="I19" s="99"/>
      <c r="J19" s="99"/>
      <c r="K19" s="99"/>
      <c r="L19" s="99"/>
      <c r="M19" s="99"/>
      <c r="N19" s="99"/>
    </row>
    <row r="20" spans="3:14" x14ac:dyDescent="0.4">
      <c r="C20" s="158" t="s">
        <v>155</v>
      </c>
      <c r="D20" s="155"/>
      <c r="E20" s="155"/>
      <c r="F20" s="155"/>
      <c r="G20" s="155"/>
      <c r="H20" s="155"/>
      <c r="I20" s="155"/>
      <c r="J20" s="155"/>
      <c r="K20" s="155"/>
      <c r="L20" s="155"/>
      <c r="M20" s="155"/>
      <c r="N20" s="155"/>
    </row>
    <row r="21" spans="3:14" ht="108.75" customHeight="1" x14ac:dyDescent="0.4">
      <c r="C21" s="154" t="s">
        <v>156</v>
      </c>
      <c r="D21" s="155"/>
      <c r="E21" s="155"/>
      <c r="F21" s="155"/>
      <c r="G21" s="155"/>
      <c r="H21" s="155"/>
      <c r="I21" s="155"/>
      <c r="J21" s="155"/>
      <c r="K21" s="155"/>
      <c r="L21" s="155"/>
      <c r="M21" s="155"/>
      <c r="N21" s="155"/>
    </row>
    <row r="22" spans="3:14" x14ac:dyDescent="0.4">
      <c r="C22" s="99"/>
      <c r="D22" s="99"/>
      <c r="E22" s="99"/>
      <c r="F22" s="99"/>
      <c r="G22" s="99"/>
      <c r="H22" s="99"/>
      <c r="I22" s="99"/>
      <c r="J22" s="99"/>
      <c r="K22" s="99"/>
      <c r="L22" s="99"/>
      <c r="M22" s="99"/>
      <c r="N22" s="99"/>
    </row>
    <row r="23" spans="3:14" x14ac:dyDescent="0.4">
      <c r="C23" s="158" t="s">
        <v>157</v>
      </c>
      <c r="D23" s="155"/>
      <c r="E23" s="155"/>
      <c r="F23" s="155"/>
      <c r="G23" s="155"/>
      <c r="H23" s="155"/>
      <c r="I23" s="155"/>
      <c r="J23" s="155"/>
      <c r="K23" s="155"/>
      <c r="L23" s="155"/>
      <c r="M23" s="155"/>
      <c r="N23" s="155"/>
    </row>
    <row r="24" spans="3:14" ht="37.5" customHeight="1" x14ac:dyDescent="0.4">
      <c r="C24" s="154" t="s">
        <v>158</v>
      </c>
      <c r="D24" s="155"/>
      <c r="E24" s="155"/>
      <c r="F24" s="155"/>
      <c r="G24" s="155"/>
      <c r="H24" s="155"/>
      <c r="I24" s="155"/>
      <c r="J24" s="155"/>
      <c r="K24" s="155"/>
      <c r="L24" s="155"/>
      <c r="M24" s="155"/>
      <c r="N24" s="155"/>
    </row>
    <row r="25" spans="3:14" x14ac:dyDescent="0.4">
      <c r="C25" s="99"/>
      <c r="D25" s="99"/>
      <c r="E25" s="99"/>
      <c r="F25" s="99"/>
      <c r="G25" s="99"/>
      <c r="H25" s="99"/>
      <c r="I25" s="99"/>
      <c r="J25" s="99"/>
      <c r="K25" s="99"/>
      <c r="L25" s="99"/>
      <c r="M25" s="99"/>
      <c r="N25" s="99"/>
    </row>
    <row r="26" spans="3:14" ht="63" customHeight="1" x14ac:dyDescent="0.4">
      <c r="C26" s="154" t="s">
        <v>159</v>
      </c>
      <c r="D26" s="155"/>
      <c r="E26" s="155"/>
      <c r="F26" s="155"/>
      <c r="G26" s="155"/>
      <c r="H26" s="155"/>
      <c r="I26" s="155"/>
      <c r="J26" s="155"/>
      <c r="K26" s="155"/>
      <c r="L26" s="155"/>
      <c r="M26" s="155"/>
      <c r="N26" s="155"/>
    </row>
    <row r="27" spans="3:14" x14ac:dyDescent="0.4">
      <c r="C27" s="99"/>
      <c r="D27" s="99"/>
      <c r="E27" s="99"/>
      <c r="F27" s="99"/>
      <c r="G27" s="99"/>
      <c r="H27" s="99"/>
      <c r="I27" s="99"/>
      <c r="J27" s="99"/>
      <c r="K27" s="99"/>
      <c r="L27" s="99"/>
      <c r="M27" s="99"/>
      <c r="N27" s="99"/>
    </row>
    <row r="28" spans="3:14" ht="35.25" customHeight="1" x14ac:dyDescent="0.4">
      <c r="C28" s="154" t="s">
        <v>160</v>
      </c>
      <c r="D28" s="155"/>
      <c r="E28" s="155"/>
      <c r="F28" s="155"/>
      <c r="G28" s="155"/>
      <c r="H28" s="155"/>
      <c r="I28" s="155"/>
      <c r="J28" s="155"/>
      <c r="K28" s="155"/>
      <c r="L28" s="155"/>
      <c r="M28" s="155"/>
      <c r="N28" s="155"/>
    </row>
    <row r="29" spans="3:14" x14ac:dyDescent="0.4">
      <c r="C29" s="99"/>
      <c r="D29" s="99"/>
      <c r="E29" s="99"/>
      <c r="F29" s="99"/>
      <c r="G29" s="99"/>
      <c r="H29" s="99"/>
      <c r="I29" s="99"/>
      <c r="J29" s="99"/>
      <c r="K29" s="99"/>
      <c r="L29" s="99"/>
      <c r="M29" s="99"/>
      <c r="N29" s="99"/>
    </row>
    <row r="30" spans="3:14" x14ac:dyDescent="0.4">
      <c r="C30" s="154" t="s">
        <v>161</v>
      </c>
      <c r="D30" s="155"/>
      <c r="E30" s="155"/>
      <c r="F30" s="155"/>
      <c r="G30" s="155"/>
      <c r="H30" s="155"/>
      <c r="I30" s="155"/>
      <c r="J30" s="155"/>
      <c r="K30" s="155"/>
      <c r="L30" s="155"/>
      <c r="M30" s="155"/>
      <c r="N30" s="155"/>
    </row>
    <row r="31" spans="3:14" x14ac:dyDescent="0.4">
      <c r="C31" s="154" t="s">
        <v>162</v>
      </c>
      <c r="D31" s="155"/>
      <c r="E31" s="155"/>
      <c r="F31" s="155"/>
      <c r="G31" s="155"/>
      <c r="H31" s="155"/>
      <c r="I31" s="155"/>
      <c r="J31" s="155"/>
      <c r="K31" s="155"/>
      <c r="L31" s="155"/>
      <c r="M31" s="155"/>
      <c r="N31" s="155"/>
    </row>
    <row r="32" spans="3:14" x14ac:dyDescent="0.4">
      <c r="C32" s="154" t="s">
        <v>163</v>
      </c>
      <c r="D32" s="155"/>
      <c r="E32" s="155"/>
      <c r="F32" s="155"/>
      <c r="G32" s="155"/>
      <c r="H32" s="155"/>
      <c r="I32" s="155"/>
      <c r="J32" s="155"/>
      <c r="K32" s="155"/>
      <c r="L32" s="155"/>
      <c r="M32" s="155"/>
      <c r="N32" s="155"/>
    </row>
    <row r="33" spans="3:14" x14ac:dyDescent="0.4">
      <c r="C33" s="154" t="s">
        <v>164</v>
      </c>
      <c r="D33" s="155"/>
      <c r="E33" s="155"/>
      <c r="F33" s="155"/>
      <c r="G33" s="155"/>
      <c r="H33" s="155"/>
      <c r="I33" s="155"/>
      <c r="J33" s="155"/>
      <c r="K33" s="155"/>
      <c r="L33" s="155"/>
      <c r="M33" s="155"/>
      <c r="N33" s="155"/>
    </row>
    <row r="34" spans="3:14" x14ac:dyDescent="0.4">
      <c r="C34" s="99"/>
      <c r="D34" s="99"/>
      <c r="E34" s="99"/>
      <c r="F34" s="99"/>
      <c r="G34" s="99"/>
      <c r="H34" s="99"/>
      <c r="I34" s="99"/>
      <c r="J34" s="99"/>
      <c r="K34" s="99"/>
      <c r="L34" s="99"/>
      <c r="M34" s="99"/>
      <c r="N34" s="99"/>
    </row>
    <row r="35" spans="3:14" ht="36.75" customHeight="1" x14ac:dyDescent="0.4">
      <c r="C35" s="154" t="s">
        <v>165</v>
      </c>
      <c r="D35" s="155"/>
      <c r="E35" s="155"/>
      <c r="F35" s="155"/>
      <c r="G35" s="155"/>
      <c r="H35" s="155"/>
      <c r="I35" s="155"/>
      <c r="J35" s="155"/>
      <c r="K35" s="155"/>
      <c r="L35" s="155"/>
      <c r="M35" s="155"/>
      <c r="N35" s="155"/>
    </row>
    <row r="36" spans="3:14" x14ac:dyDescent="0.4">
      <c r="C36" s="99"/>
      <c r="D36" s="99"/>
      <c r="E36" s="99"/>
      <c r="F36" s="99"/>
      <c r="G36" s="99"/>
      <c r="H36" s="99"/>
      <c r="I36" s="99"/>
      <c r="J36" s="99"/>
      <c r="K36" s="99"/>
      <c r="L36" s="99"/>
      <c r="M36" s="99"/>
      <c r="N36" s="99"/>
    </row>
    <row r="37" spans="3:14" ht="51.75" customHeight="1" x14ac:dyDescent="0.4">
      <c r="C37" s="154" t="s">
        <v>166</v>
      </c>
      <c r="D37" s="155"/>
      <c r="E37" s="155"/>
      <c r="F37" s="155"/>
      <c r="G37" s="155"/>
      <c r="H37" s="155"/>
      <c r="I37" s="155"/>
      <c r="J37" s="155"/>
      <c r="K37" s="155"/>
      <c r="L37" s="155"/>
      <c r="M37" s="155"/>
      <c r="N37" s="155"/>
    </row>
    <row r="38" spans="3:14" x14ac:dyDescent="0.4">
      <c r="C38" s="99"/>
      <c r="D38" s="99"/>
      <c r="E38" s="99"/>
      <c r="F38" s="99"/>
      <c r="G38" s="99"/>
      <c r="H38" s="99"/>
      <c r="I38" s="99"/>
      <c r="J38" s="99"/>
      <c r="K38" s="99"/>
      <c r="L38" s="99"/>
      <c r="M38" s="99"/>
      <c r="N38" s="99"/>
    </row>
    <row r="39" spans="3:14" ht="68.25" customHeight="1" x14ac:dyDescent="0.4">
      <c r="C39" s="154" t="s">
        <v>167</v>
      </c>
      <c r="D39" s="155"/>
      <c r="E39" s="155"/>
      <c r="F39" s="155"/>
      <c r="G39" s="155"/>
      <c r="H39" s="155"/>
      <c r="I39" s="155"/>
      <c r="J39" s="155"/>
      <c r="K39" s="155"/>
      <c r="L39" s="155"/>
      <c r="M39" s="155"/>
      <c r="N39" s="155"/>
    </row>
    <row r="40" spans="3:14" x14ac:dyDescent="0.4">
      <c r="C40" s="99"/>
      <c r="D40" s="99"/>
      <c r="E40" s="99"/>
      <c r="F40" s="99"/>
      <c r="G40" s="99"/>
      <c r="H40" s="99"/>
      <c r="I40" s="99"/>
      <c r="J40" s="99"/>
      <c r="K40" s="99"/>
      <c r="L40" s="99"/>
      <c r="M40" s="99"/>
      <c r="N40" s="99"/>
    </row>
    <row r="41" spans="3:14" ht="62.25" customHeight="1" x14ac:dyDescent="0.4">
      <c r="C41" s="154" t="s">
        <v>168</v>
      </c>
      <c r="D41" s="155"/>
      <c r="E41" s="155"/>
      <c r="F41" s="155"/>
      <c r="G41" s="155"/>
      <c r="H41" s="155"/>
      <c r="I41" s="155"/>
      <c r="J41" s="155"/>
      <c r="K41" s="155"/>
      <c r="L41" s="155"/>
      <c r="M41" s="155"/>
      <c r="N41" s="155"/>
    </row>
    <row r="42" spans="3:14" x14ac:dyDescent="0.4">
      <c r="C42" s="99"/>
      <c r="D42" s="99"/>
      <c r="E42" s="99"/>
      <c r="F42" s="99"/>
      <c r="G42" s="99"/>
      <c r="H42" s="99"/>
      <c r="I42" s="99"/>
      <c r="J42" s="99"/>
      <c r="K42" s="99"/>
      <c r="L42" s="99"/>
      <c r="M42" s="99"/>
      <c r="N42" s="99"/>
    </row>
    <row r="43" spans="3:14" ht="66.75" customHeight="1" x14ac:dyDescent="0.4">
      <c r="C43" s="154" t="s">
        <v>169</v>
      </c>
      <c r="D43" s="155"/>
      <c r="E43" s="155"/>
      <c r="F43" s="155"/>
      <c r="G43" s="155"/>
      <c r="H43" s="155"/>
      <c r="I43" s="155"/>
      <c r="J43" s="155"/>
      <c r="K43" s="155"/>
      <c r="L43" s="155"/>
      <c r="M43" s="155"/>
      <c r="N43" s="155"/>
    </row>
    <row r="44" spans="3:14" x14ac:dyDescent="0.4">
      <c r="C44" s="99"/>
      <c r="D44" s="99"/>
      <c r="E44" s="99"/>
      <c r="F44" s="99"/>
      <c r="G44" s="99"/>
      <c r="H44" s="99"/>
      <c r="I44" s="99"/>
      <c r="J44" s="99"/>
      <c r="K44" s="99"/>
      <c r="L44" s="99"/>
      <c r="M44" s="99"/>
      <c r="N44" s="99"/>
    </row>
    <row r="45" spans="3:14" ht="69" customHeight="1" x14ac:dyDescent="0.4">
      <c r="C45" s="154" t="s">
        <v>170</v>
      </c>
      <c r="D45" s="155"/>
      <c r="E45" s="155"/>
      <c r="F45" s="155"/>
      <c r="G45" s="155"/>
      <c r="H45" s="155"/>
      <c r="I45" s="155"/>
      <c r="J45" s="155"/>
      <c r="K45" s="155"/>
      <c r="L45" s="155"/>
      <c r="M45" s="155"/>
      <c r="N45" s="155"/>
    </row>
    <row r="46" spans="3:14" x14ac:dyDescent="0.4">
      <c r="C46" s="99"/>
      <c r="D46" s="99"/>
      <c r="E46" s="99"/>
      <c r="F46" s="99"/>
      <c r="G46" s="99"/>
      <c r="H46" s="99"/>
      <c r="I46" s="99"/>
      <c r="J46" s="99"/>
      <c r="K46" s="99"/>
      <c r="L46" s="99"/>
      <c r="M46" s="99"/>
      <c r="N46" s="99"/>
    </row>
    <row r="47" spans="3:14" ht="55.5" customHeight="1" x14ac:dyDescent="0.4">
      <c r="C47" s="154" t="s">
        <v>171</v>
      </c>
      <c r="D47" s="155"/>
      <c r="E47" s="155"/>
      <c r="F47" s="155"/>
      <c r="G47" s="155"/>
      <c r="H47" s="155"/>
      <c r="I47" s="155"/>
      <c r="J47" s="155"/>
      <c r="K47" s="155"/>
      <c r="L47" s="155"/>
      <c r="M47" s="155"/>
      <c r="N47" s="155"/>
    </row>
    <row r="48" spans="3:14" x14ac:dyDescent="0.4">
      <c r="C48" s="99"/>
      <c r="D48" s="99"/>
      <c r="E48" s="99"/>
      <c r="F48" s="99"/>
      <c r="G48" s="99"/>
      <c r="H48" s="99"/>
      <c r="I48" s="99"/>
      <c r="J48" s="99"/>
      <c r="K48" s="99"/>
      <c r="L48" s="99"/>
      <c r="M48" s="99"/>
      <c r="N48" s="99"/>
    </row>
    <row r="49" spans="3:14" x14ac:dyDescent="0.4">
      <c r="C49" s="158" t="s">
        <v>172</v>
      </c>
      <c r="D49" s="155"/>
      <c r="E49" s="155"/>
      <c r="F49" s="155"/>
      <c r="G49" s="155"/>
      <c r="H49" s="155"/>
      <c r="I49" s="155"/>
      <c r="J49" s="155"/>
      <c r="K49" s="155"/>
      <c r="L49" s="155"/>
      <c r="M49" s="155"/>
      <c r="N49" s="155"/>
    </row>
    <row r="50" spans="3:14" ht="37.5" customHeight="1" x14ac:dyDescent="0.4">
      <c r="C50" s="154" t="s">
        <v>173</v>
      </c>
      <c r="D50" s="155"/>
      <c r="E50" s="155"/>
      <c r="F50" s="155"/>
      <c r="G50" s="155"/>
      <c r="H50" s="155"/>
      <c r="I50" s="155"/>
      <c r="J50" s="155"/>
      <c r="K50" s="155"/>
      <c r="L50" s="155"/>
      <c r="M50" s="155"/>
      <c r="N50" s="155"/>
    </row>
    <row r="51" spans="3:14" ht="9.75" customHeight="1" x14ac:dyDescent="0.4">
      <c r="C51" s="100"/>
      <c r="D51" s="99"/>
      <c r="E51" s="99"/>
      <c r="F51" s="99"/>
      <c r="G51" s="99"/>
      <c r="H51" s="99"/>
      <c r="I51" s="99"/>
      <c r="J51" s="99"/>
      <c r="K51" s="99"/>
      <c r="L51" s="99"/>
      <c r="M51" s="99"/>
      <c r="N51" s="99"/>
    </row>
    <row r="52" spans="3:14" ht="51.75" customHeight="1" x14ac:dyDescent="0.4">
      <c r="C52" s="154" t="s">
        <v>174</v>
      </c>
      <c r="D52" s="155"/>
      <c r="E52" s="155"/>
      <c r="F52" s="155"/>
      <c r="G52" s="155"/>
      <c r="H52" s="155"/>
      <c r="I52" s="155"/>
      <c r="J52" s="155"/>
      <c r="K52" s="155"/>
      <c r="L52" s="155"/>
      <c r="M52" s="155"/>
      <c r="N52" s="155"/>
    </row>
    <row r="53" spans="3:14" ht="12" customHeight="1" x14ac:dyDescent="0.4">
      <c r="C53" s="100"/>
      <c r="D53" s="99"/>
      <c r="E53" s="99"/>
      <c r="F53" s="99"/>
      <c r="G53" s="99"/>
      <c r="H53" s="99"/>
      <c r="I53" s="99"/>
      <c r="J53" s="99"/>
      <c r="K53" s="99"/>
      <c r="L53" s="99"/>
      <c r="M53" s="99"/>
      <c r="N53" s="99"/>
    </row>
    <row r="54" spans="3:14" ht="19.5" customHeight="1" x14ac:dyDescent="0.4">
      <c r="C54" s="101" t="s">
        <v>175</v>
      </c>
      <c r="D54" s="102"/>
      <c r="E54" s="102"/>
      <c r="F54" s="102"/>
      <c r="G54" s="102"/>
      <c r="H54" s="102"/>
      <c r="I54" s="99"/>
      <c r="J54" s="99"/>
      <c r="K54" s="99"/>
      <c r="L54" s="99"/>
      <c r="M54" s="99"/>
      <c r="N54" s="99"/>
    </row>
    <row r="55" spans="3:14" ht="12.75" customHeight="1" thickBot="1" x14ac:dyDescent="0.45">
      <c r="C55" s="103" t="s">
        <v>176</v>
      </c>
      <c r="D55" s="104">
        <v>20000</v>
      </c>
      <c r="E55" s="103" t="s">
        <v>177</v>
      </c>
      <c r="F55" s="104">
        <v>1.5</v>
      </c>
      <c r="G55" s="103" t="s">
        <v>178</v>
      </c>
      <c r="H55" s="104">
        <v>2</v>
      </c>
      <c r="I55" s="99"/>
      <c r="J55" s="99"/>
      <c r="K55" s="99"/>
      <c r="L55" s="99"/>
      <c r="M55" s="99"/>
      <c r="N55" s="99"/>
    </row>
    <row r="56" spans="3:14" ht="12.75" customHeight="1" x14ac:dyDescent="0.4">
      <c r="C56" s="105" t="s">
        <v>179</v>
      </c>
      <c r="D56" s="105" t="s">
        <v>36</v>
      </c>
      <c r="E56" s="105" t="s">
        <v>42</v>
      </c>
      <c r="F56" s="105" t="s">
        <v>48</v>
      </c>
      <c r="G56" s="105" t="s">
        <v>180</v>
      </c>
      <c r="H56" s="105" t="s">
        <v>181</v>
      </c>
      <c r="I56" s="99"/>
      <c r="J56" s="99"/>
      <c r="K56" s="99"/>
      <c r="L56" s="99"/>
      <c r="M56" s="99"/>
      <c r="N56" s="99"/>
    </row>
    <row r="57" spans="3:14" ht="12.75" customHeight="1" x14ac:dyDescent="0.4">
      <c r="C57" s="106">
        <v>20000</v>
      </c>
      <c r="D57" s="107">
        <f t="shared" ref="D57:D63" si="0">C57*Sales</f>
        <v>40000</v>
      </c>
      <c r="E57" s="107">
        <f t="shared" ref="E57:E63" si="1">Fixed_costs</f>
        <v>20000</v>
      </c>
      <c r="F57" s="107">
        <f t="shared" ref="F57:F63" si="2">C57*Variable_costs</f>
        <v>30000</v>
      </c>
      <c r="G57" s="107">
        <f t="shared" ref="G57:G63" si="3">E57+F57</f>
        <v>50000</v>
      </c>
      <c r="H57" s="107">
        <f t="shared" ref="H57:H63" si="4">D57-G57</f>
        <v>-10000</v>
      </c>
      <c r="I57" s="99"/>
      <c r="J57" s="99"/>
      <c r="K57" s="99"/>
      <c r="L57" s="99"/>
      <c r="M57" s="99"/>
      <c r="N57" s="99"/>
    </row>
    <row r="58" spans="3:14" ht="12.75" customHeight="1" x14ac:dyDescent="0.4">
      <c r="C58" s="106">
        <v>50000</v>
      </c>
      <c r="D58" s="107">
        <f t="shared" si="0"/>
        <v>100000</v>
      </c>
      <c r="E58" s="107">
        <f t="shared" si="1"/>
        <v>20000</v>
      </c>
      <c r="F58" s="107">
        <f t="shared" si="2"/>
        <v>75000</v>
      </c>
      <c r="G58" s="107">
        <f t="shared" si="3"/>
        <v>95000</v>
      </c>
      <c r="H58" s="107">
        <f t="shared" si="4"/>
        <v>5000</v>
      </c>
      <c r="I58" s="99"/>
      <c r="J58" s="99"/>
      <c r="K58" s="99"/>
      <c r="L58" s="99"/>
      <c r="M58" s="99"/>
      <c r="N58" s="99"/>
    </row>
    <row r="59" spans="3:14" ht="12.75" customHeight="1" x14ac:dyDescent="0.4">
      <c r="C59" s="106">
        <v>80000</v>
      </c>
      <c r="D59" s="107">
        <f t="shared" si="0"/>
        <v>160000</v>
      </c>
      <c r="E59" s="107">
        <f t="shared" si="1"/>
        <v>20000</v>
      </c>
      <c r="F59" s="107">
        <f t="shared" si="2"/>
        <v>120000</v>
      </c>
      <c r="G59" s="107">
        <f t="shared" si="3"/>
        <v>140000</v>
      </c>
      <c r="H59" s="107">
        <f t="shared" si="4"/>
        <v>20000</v>
      </c>
      <c r="I59" s="99"/>
      <c r="J59" s="99"/>
      <c r="K59" s="99"/>
      <c r="L59" s="99"/>
      <c r="M59" s="99"/>
      <c r="N59" s="99"/>
    </row>
    <row r="60" spans="3:14" ht="12.75" customHeight="1" x14ac:dyDescent="0.4">
      <c r="C60" s="106">
        <v>110000</v>
      </c>
      <c r="D60" s="107">
        <f t="shared" si="0"/>
        <v>220000</v>
      </c>
      <c r="E60" s="107">
        <f t="shared" si="1"/>
        <v>20000</v>
      </c>
      <c r="F60" s="107">
        <f t="shared" si="2"/>
        <v>165000</v>
      </c>
      <c r="G60" s="107">
        <f t="shared" si="3"/>
        <v>185000</v>
      </c>
      <c r="H60" s="107">
        <f t="shared" si="4"/>
        <v>35000</v>
      </c>
      <c r="I60" s="99"/>
      <c r="J60" s="99"/>
      <c r="K60" s="99"/>
      <c r="L60" s="99"/>
      <c r="M60" s="99"/>
      <c r="N60" s="99"/>
    </row>
    <row r="61" spans="3:14" ht="12.75" customHeight="1" x14ac:dyDescent="0.4">
      <c r="C61" s="106">
        <v>140000</v>
      </c>
      <c r="D61" s="107">
        <f t="shared" si="0"/>
        <v>280000</v>
      </c>
      <c r="E61" s="107">
        <f t="shared" si="1"/>
        <v>20000</v>
      </c>
      <c r="F61" s="107">
        <f t="shared" si="2"/>
        <v>210000</v>
      </c>
      <c r="G61" s="107">
        <f t="shared" si="3"/>
        <v>230000</v>
      </c>
      <c r="H61" s="107">
        <f t="shared" si="4"/>
        <v>50000</v>
      </c>
      <c r="I61" s="99"/>
      <c r="J61" s="99"/>
      <c r="K61" s="99"/>
      <c r="L61" s="99"/>
      <c r="M61" s="99"/>
      <c r="N61" s="99"/>
    </row>
    <row r="62" spans="3:14" ht="12.75" customHeight="1" x14ac:dyDescent="0.4">
      <c r="C62" s="106">
        <v>170000</v>
      </c>
      <c r="D62" s="107">
        <f t="shared" si="0"/>
        <v>340000</v>
      </c>
      <c r="E62" s="107">
        <f t="shared" si="1"/>
        <v>20000</v>
      </c>
      <c r="F62" s="107">
        <f t="shared" si="2"/>
        <v>255000</v>
      </c>
      <c r="G62" s="107">
        <f t="shared" si="3"/>
        <v>275000</v>
      </c>
      <c r="H62" s="107">
        <f t="shared" si="4"/>
        <v>65000</v>
      </c>
      <c r="I62" s="99"/>
      <c r="J62" s="99"/>
      <c r="K62" s="99"/>
      <c r="L62" s="99"/>
      <c r="M62" s="99"/>
      <c r="N62" s="99"/>
    </row>
    <row r="63" spans="3:14" ht="12.75" customHeight="1" x14ac:dyDescent="0.4">
      <c r="C63" s="106">
        <v>200000</v>
      </c>
      <c r="D63" s="107">
        <f t="shared" si="0"/>
        <v>400000</v>
      </c>
      <c r="E63" s="107">
        <f t="shared" si="1"/>
        <v>20000</v>
      </c>
      <c r="F63" s="107">
        <f t="shared" si="2"/>
        <v>300000</v>
      </c>
      <c r="G63" s="107">
        <f t="shared" si="3"/>
        <v>320000</v>
      </c>
      <c r="H63" s="107">
        <f t="shared" si="4"/>
        <v>80000</v>
      </c>
      <c r="I63" s="99"/>
      <c r="J63" s="99"/>
      <c r="K63" s="99"/>
      <c r="L63" s="99"/>
      <c r="M63" s="99"/>
      <c r="N63" s="99"/>
    </row>
    <row r="64" spans="3:14" ht="12.75" customHeight="1" x14ac:dyDescent="0.4">
      <c r="C64" s="108"/>
      <c r="D64" s="108"/>
      <c r="E64" s="108"/>
      <c r="F64" s="108"/>
      <c r="G64" s="108"/>
      <c r="H64" s="108"/>
      <c r="I64" s="99"/>
      <c r="J64" s="99"/>
      <c r="K64" s="99"/>
      <c r="L64" s="99"/>
      <c r="M64" s="99"/>
      <c r="N64" s="99"/>
    </row>
    <row r="65" spans="3:14" ht="12.75" customHeight="1" x14ac:dyDescent="0.4">
      <c r="C65" s="108"/>
      <c r="D65" s="108"/>
      <c r="E65" s="108"/>
      <c r="F65" s="108"/>
      <c r="G65" s="108"/>
      <c r="H65" s="108"/>
      <c r="I65" s="99"/>
      <c r="J65" s="99"/>
      <c r="K65" s="99"/>
      <c r="L65" s="99"/>
      <c r="M65" s="99"/>
      <c r="N65" s="99"/>
    </row>
    <row r="66" spans="3:14" ht="12.75" customHeight="1" x14ac:dyDescent="0.4">
      <c r="C66" s="108"/>
      <c r="D66" s="108"/>
      <c r="E66" s="108"/>
      <c r="F66" s="108"/>
      <c r="G66" s="108"/>
      <c r="H66" s="108"/>
      <c r="I66" s="99"/>
      <c r="J66" s="99"/>
      <c r="K66" s="99"/>
      <c r="L66" s="99"/>
      <c r="M66" s="99"/>
      <c r="N66" s="99"/>
    </row>
    <row r="67" spans="3:14" ht="12.75" customHeight="1" x14ac:dyDescent="0.4">
      <c r="C67" s="108"/>
      <c r="D67" s="108"/>
      <c r="E67" s="108"/>
      <c r="F67" s="108"/>
      <c r="G67" s="108"/>
      <c r="H67" s="108"/>
      <c r="I67" s="99"/>
      <c r="J67" s="99"/>
      <c r="K67" s="99"/>
      <c r="L67" s="99"/>
      <c r="M67" s="99"/>
      <c r="N67" s="99"/>
    </row>
    <row r="68" spans="3:14" ht="12.75" customHeight="1" x14ac:dyDescent="0.4">
      <c r="C68" s="108"/>
      <c r="D68" s="108"/>
      <c r="E68" s="108"/>
      <c r="F68" s="108"/>
      <c r="G68" s="108"/>
      <c r="H68" s="108"/>
      <c r="I68" s="99"/>
      <c r="J68" s="99"/>
      <c r="K68" s="99"/>
      <c r="L68" s="99"/>
      <c r="M68" s="99"/>
      <c r="N68" s="99"/>
    </row>
    <row r="69" spans="3:14" ht="12.75" customHeight="1" x14ac:dyDescent="0.4">
      <c r="C69" s="108"/>
      <c r="D69" s="108"/>
      <c r="E69" s="108"/>
      <c r="F69" s="108"/>
      <c r="G69" s="108"/>
      <c r="H69" s="108"/>
      <c r="I69" s="99"/>
      <c r="J69" s="99"/>
      <c r="K69" s="99"/>
      <c r="L69" s="99"/>
      <c r="M69" s="99"/>
      <c r="N69" s="99"/>
    </row>
    <row r="70" spans="3:14" ht="12.75" customHeight="1" x14ac:dyDescent="0.4">
      <c r="C70" s="108"/>
      <c r="D70" s="108"/>
      <c r="E70" s="108"/>
      <c r="F70" s="108"/>
      <c r="G70" s="108"/>
      <c r="H70" s="108"/>
      <c r="I70" s="99"/>
      <c r="J70" s="99"/>
      <c r="K70" s="99"/>
      <c r="L70" s="99"/>
      <c r="M70" s="99"/>
      <c r="N70" s="99"/>
    </row>
    <row r="71" spans="3:14" ht="12.75" customHeight="1" x14ac:dyDescent="0.4">
      <c r="C71" s="108"/>
      <c r="D71" s="108"/>
      <c r="E71" s="108"/>
      <c r="F71" s="108"/>
      <c r="G71" s="108"/>
      <c r="H71" s="108"/>
      <c r="I71" s="99"/>
      <c r="J71" s="99"/>
      <c r="K71" s="99"/>
      <c r="L71" s="99"/>
      <c r="M71" s="99"/>
      <c r="N71" s="99"/>
    </row>
    <row r="72" spans="3:14" ht="12.75" customHeight="1" x14ac:dyDescent="0.4">
      <c r="C72" s="108"/>
      <c r="D72" s="108"/>
      <c r="E72" s="108"/>
      <c r="F72" s="108"/>
      <c r="G72" s="108"/>
      <c r="H72" s="108"/>
      <c r="I72" s="99"/>
      <c r="J72" s="99"/>
      <c r="K72" s="99"/>
      <c r="L72" s="99"/>
      <c r="M72" s="99"/>
      <c r="N72" s="99"/>
    </row>
    <row r="73" spans="3:14" ht="12.75" customHeight="1" x14ac:dyDescent="0.4">
      <c r="C73" s="108"/>
      <c r="D73" s="108"/>
      <c r="E73" s="108"/>
      <c r="F73" s="108"/>
      <c r="G73" s="108"/>
      <c r="H73" s="108"/>
      <c r="I73" s="99"/>
      <c r="J73" s="99"/>
      <c r="K73" s="99"/>
      <c r="L73" s="99"/>
      <c r="M73" s="99"/>
      <c r="N73" s="99"/>
    </row>
    <row r="74" spans="3:14" ht="12.75" customHeight="1" x14ac:dyDescent="0.4">
      <c r="C74" s="108"/>
      <c r="D74" s="108"/>
      <c r="E74" s="108"/>
      <c r="F74" s="108"/>
      <c r="G74" s="108"/>
      <c r="H74" s="108"/>
      <c r="I74" s="99"/>
      <c r="J74" s="99"/>
      <c r="K74" s="99"/>
      <c r="L74" s="99"/>
      <c r="M74" s="99"/>
      <c r="N74" s="99"/>
    </row>
    <row r="75" spans="3:14" ht="12.75" customHeight="1" x14ac:dyDescent="0.4">
      <c r="C75" s="108"/>
      <c r="D75" s="108"/>
      <c r="E75" s="108"/>
      <c r="F75" s="108"/>
      <c r="G75" s="108"/>
      <c r="H75" s="108"/>
      <c r="I75" s="99"/>
      <c r="J75" s="99"/>
      <c r="K75" s="99"/>
      <c r="L75" s="99"/>
      <c r="M75" s="99"/>
      <c r="N75" s="99"/>
    </row>
    <row r="76" spans="3:14" ht="12.75" customHeight="1" x14ac:dyDescent="0.4">
      <c r="C76" s="108"/>
      <c r="D76" s="108"/>
      <c r="E76" s="108"/>
      <c r="F76" s="108"/>
      <c r="G76" s="108"/>
      <c r="H76" s="108"/>
      <c r="I76" s="99"/>
      <c r="J76" s="99"/>
      <c r="K76" s="99"/>
      <c r="L76" s="99"/>
      <c r="M76" s="99"/>
      <c r="N76" s="99"/>
    </row>
    <row r="77" spans="3:14" ht="12.75" customHeight="1" x14ac:dyDescent="0.4">
      <c r="C77" s="108"/>
      <c r="D77" s="108"/>
      <c r="E77" s="108"/>
      <c r="F77" s="108"/>
      <c r="G77" s="108"/>
      <c r="H77" s="108"/>
      <c r="I77" s="99"/>
      <c r="J77" s="99"/>
      <c r="K77" s="99"/>
      <c r="L77" s="99"/>
      <c r="M77" s="99"/>
      <c r="N77" s="99"/>
    </row>
    <row r="78" spans="3:14" ht="12.75" customHeight="1" x14ac:dyDescent="0.4">
      <c r="C78" s="108"/>
      <c r="D78" s="108"/>
      <c r="E78" s="108"/>
      <c r="F78" s="108"/>
      <c r="G78" s="108"/>
      <c r="H78" s="108"/>
      <c r="I78" s="99"/>
      <c r="J78" s="99"/>
      <c r="K78" s="99"/>
      <c r="L78" s="99"/>
      <c r="M78" s="99"/>
      <c r="N78" s="99"/>
    </row>
    <row r="79" spans="3:14" ht="84" customHeight="1" x14ac:dyDescent="0.4">
      <c r="C79" s="154" t="s">
        <v>182</v>
      </c>
      <c r="D79" s="155"/>
      <c r="E79" s="155"/>
      <c r="F79" s="155"/>
      <c r="G79" s="155"/>
      <c r="H79" s="155"/>
      <c r="I79" s="155"/>
      <c r="J79" s="155"/>
      <c r="K79" s="155"/>
      <c r="L79" s="155"/>
      <c r="M79" s="155"/>
      <c r="N79" s="155"/>
    </row>
    <row r="80" spans="3:14" ht="12.75" customHeight="1" x14ac:dyDescent="0.4">
      <c r="C80" s="108"/>
      <c r="D80" s="108"/>
      <c r="E80" s="108"/>
      <c r="F80" s="108"/>
      <c r="G80" s="108"/>
      <c r="H80" s="108"/>
      <c r="I80" s="99"/>
      <c r="J80" s="99"/>
      <c r="K80" s="99"/>
      <c r="L80" s="99"/>
      <c r="M80" s="99"/>
      <c r="N80" s="99"/>
    </row>
    <row r="81" spans="3:14" ht="12.75" customHeight="1" x14ac:dyDescent="0.4">
      <c r="C81" s="101" t="s">
        <v>183</v>
      </c>
      <c r="D81" s="102"/>
      <c r="E81" s="102"/>
      <c r="F81" s="102"/>
      <c r="G81" s="102"/>
      <c r="H81" s="102"/>
      <c r="I81" s="99"/>
      <c r="J81" s="99"/>
      <c r="K81" s="99"/>
      <c r="L81" s="99"/>
      <c r="M81" s="99"/>
      <c r="N81" s="99"/>
    </row>
    <row r="82" spans="3:14" ht="12.75" customHeight="1" thickBot="1" x14ac:dyDescent="0.45">
      <c r="C82" s="103" t="s">
        <v>176</v>
      </c>
      <c r="D82" s="104">
        <v>40000</v>
      </c>
      <c r="E82" s="103" t="s">
        <v>177</v>
      </c>
      <c r="F82" s="104">
        <v>1.2</v>
      </c>
      <c r="G82" s="103" t="s">
        <v>178</v>
      </c>
      <c r="H82" s="104">
        <v>2</v>
      </c>
      <c r="I82" s="99"/>
      <c r="J82" s="99"/>
      <c r="K82" s="99"/>
      <c r="L82" s="99"/>
      <c r="M82" s="99"/>
      <c r="N82" s="99"/>
    </row>
    <row r="83" spans="3:14" ht="12.75" customHeight="1" x14ac:dyDescent="0.4">
      <c r="C83" s="105" t="s">
        <v>179</v>
      </c>
      <c r="D83" s="105" t="s">
        <v>36</v>
      </c>
      <c r="E83" s="105" t="s">
        <v>42</v>
      </c>
      <c r="F83" s="105" t="s">
        <v>48</v>
      </c>
      <c r="G83" s="105" t="s">
        <v>180</v>
      </c>
      <c r="H83" s="105" t="s">
        <v>181</v>
      </c>
      <c r="I83" s="99"/>
      <c r="J83" s="99"/>
      <c r="K83" s="99"/>
      <c r="L83" s="99"/>
      <c r="M83" s="99"/>
      <c r="N83" s="99"/>
    </row>
    <row r="84" spans="3:14" ht="12.75" customHeight="1" x14ac:dyDescent="0.4">
      <c r="C84" s="106">
        <v>20000</v>
      </c>
      <c r="D84" s="107">
        <f t="shared" ref="D84:D90" si="5">C84*Salesb</f>
        <v>40000</v>
      </c>
      <c r="E84" s="107">
        <f t="shared" ref="E84:E90" si="6">Fixed_costsb</f>
        <v>40000</v>
      </c>
      <c r="F84" s="107">
        <f t="shared" ref="F84:F90" si="7">C84*Variable_costsb</f>
        <v>24000</v>
      </c>
      <c r="G84" s="107">
        <f t="shared" ref="G84:G90" si="8">E84+F84</f>
        <v>64000</v>
      </c>
      <c r="H84" s="107">
        <f t="shared" ref="H84:H90" si="9">D84-G84</f>
        <v>-24000</v>
      </c>
      <c r="I84" s="99"/>
      <c r="J84" s="99"/>
      <c r="K84" s="99"/>
      <c r="L84" s="99"/>
      <c r="M84" s="99"/>
      <c r="N84" s="99"/>
    </row>
    <row r="85" spans="3:14" ht="12.75" customHeight="1" x14ac:dyDescent="0.4">
      <c r="C85" s="106">
        <v>50000</v>
      </c>
      <c r="D85" s="107">
        <f t="shared" si="5"/>
        <v>100000</v>
      </c>
      <c r="E85" s="107">
        <f t="shared" si="6"/>
        <v>40000</v>
      </c>
      <c r="F85" s="107">
        <f t="shared" si="7"/>
        <v>60000</v>
      </c>
      <c r="G85" s="107">
        <f t="shared" si="8"/>
        <v>100000</v>
      </c>
      <c r="H85" s="107">
        <f t="shared" si="9"/>
        <v>0</v>
      </c>
      <c r="I85" s="99"/>
      <c r="J85" s="99"/>
      <c r="K85" s="99"/>
      <c r="L85" s="99"/>
      <c r="M85" s="99"/>
      <c r="N85" s="99"/>
    </row>
    <row r="86" spans="3:14" ht="12.75" customHeight="1" x14ac:dyDescent="0.4">
      <c r="C86" s="106">
        <v>80000</v>
      </c>
      <c r="D86" s="107">
        <f t="shared" si="5"/>
        <v>160000</v>
      </c>
      <c r="E86" s="107">
        <f t="shared" si="6"/>
        <v>40000</v>
      </c>
      <c r="F86" s="107">
        <f t="shared" si="7"/>
        <v>96000</v>
      </c>
      <c r="G86" s="107">
        <f t="shared" si="8"/>
        <v>136000</v>
      </c>
      <c r="H86" s="107">
        <f t="shared" si="9"/>
        <v>24000</v>
      </c>
      <c r="I86" s="99"/>
      <c r="J86" s="99"/>
      <c r="K86" s="99"/>
      <c r="L86" s="99"/>
      <c r="M86" s="99"/>
      <c r="N86" s="99"/>
    </row>
    <row r="87" spans="3:14" ht="12.75" customHeight="1" x14ac:dyDescent="0.4">
      <c r="C87" s="106">
        <v>110000</v>
      </c>
      <c r="D87" s="107">
        <f t="shared" si="5"/>
        <v>220000</v>
      </c>
      <c r="E87" s="107">
        <f t="shared" si="6"/>
        <v>40000</v>
      </c>
      <c r="F87" s="107">
        <f t="shared" si="7"/>
        <v>132000</v>
      </c>
      <c r="G87" s="107">
        <f t="shared" si="8"/>
        <v>172000</v>
      </c>
      <c r="H87" s="107">
        <f t="shared" si="9"/>
        <v>48000</v>
      </c>
      <c r="I87" s="99"/>
      <c r="J87" s="99"/>
      <c r="K87" s="99"/>
      <c r="L87" s="99"/>
      <c r="M87" s="99"/>
      <c r="N87" s="99"/>
    </row>
    <row r="88" spans="3:14" ht="12.75" customHeight="1" x14ac:dyDescent="0.4">
      <c r="C88" s="106">
        <v>140000</v>
      </c>
      <c r="D88" s="107">
        <f t="shared" si="5"/>
        <v>280000</v>
      </c>
      <c r="E88" s="107">
        <f t="shared" si="6"/>
        <v>40000</v>
      </c>
      <c r="F88" s="107">
        <f t="shared" si="7"/>
        <v>168000</v>
      </c>
      <c r="G88" s="107">
        <f t="shared" si="8"/>
        <v>208000</v>
      </c>
      <c r="H88" s="107">
        <f t="shared" si="9"/>
        <v>72000</v>
      </c>
      <c r="I88" s="99"/>
      <c r="J88" s="99"/>
      <c r="K88" s="99"/>
      <c r="L88" s="99"/>
      <c r="M88" s="99"/>
      <c r="N88" s="99"/>
    </row>
    <row r="89" spans="3:14" ht="12.75" customHeight="1" x14ac:dyDescent="0.4">
      <c r="C89" s="106">
        <v>170000</v>
      </c>
      <c r="D89" s="107">
        <f t="shared" si="5"/>
        <v>340000</v>
      </c>
      <c r="E89" s="107">
        <f t="shared" si="6"/>
        <v>40000</v>
      </c>
      <c r="F89" s="107">
        <f t="shared" si="7"/>
        <v>204000</v>
      </c>
      <c r="G89" s="107">
        <f t="shared" si="8"/>
        <v>244000</v>
      </c>
      <c r="H89" s="107">
        <f t="shared" si="9"/>
        <v>96000</v>
      </c>
      <c r="I89" s="99"/>
      <c r="J89" s="99"/>
      <c r="K89" s="99"/>
      <c r="L89" s="99"/>
      <c r="M89" s="99"/>
      <c r="N89" s="99"/>
    </row>
    <row r="90" spans="3:14" ht="12.75" customHeight="1" x14ac:dyDescent="0.4">
      <c r="C90" s="106">
        <v>200000</v>
      </c>
      <c r="D90" s="107">
        <f t="shared" si="5"/>
        <v>400000</v>
      </c>
      <c r="E90" s="107">
        <f t="shared" si="6"/>
        <v>40000</v>
      </c>
      <c r="F90" s="107">
        <f t="shared" si="7"/>
        <v>240000</v>
      </c>
      <c r="G90" s="107">
        <f t="shared" si="8"/>
        <v>280000</v>
      </c>
      <c r="H90" s="107">
        <f t="shared" si="9"/>
        <v>120000</v>
      </c>
      <c r="I90" s="99"/>
      <c r="J90" s="99"/>
      <c r="K90" s="99"/>
      <c r="L90" s="99"/>
      <c r="M90" s="99"/>
      <c r="N90" s="99"/>
    </row>
    <row r="91" spans="3:14" ht="12.75" customHeight="1" x14ac:dyDescent="0.4">
      <c r="C91" s="109"/>
      <c r="D91" s="109"/>
      <c r="E91" s="109"/>
      <c r="F91" s="109"/>
      <c r="G91" s="109"/>
      <c r="H91" s="109"/>
      <c r="I91" s="99"/>
      <c r="J91" s="99"/>
      <c r="K91" s="99"/>
      <c r="L91" s="99"/>
      <c r="M91" s="99"/>
      <c r="N91" s="99"/>
    </row>
    <row r="92" spans="3:14" ht="12.75" customHeight="1" x14ac:dyDescent="0.4">
      <c r="C92" s="109"/>
      <c r="D92" s="109"/>
      <c r="E92" s="109"/>
      <c r="F92" s="109"/>
      <c r="G92" s="109"/>
      <c r="H92" s="109"/>
      <c r="I92" s="99"/>
      <c r="J92" s="99"/>
      <c r="K92" s="99"/>
      <c r="L92" s="99"/>
      <c r="M92" s="99"/>
      <c r="N92" s="99"/>
    </row>
    <row r="93" spans="3:14" ht="12.75" customHeight="1" x14ac:dyDescent="0.4">
      <c r="C93" s="109"/>
      <c r="D93" s="109"/>
      <c r="E93" s="109"/>
      <c r="F93" s="109"/>
      <c r="G93" s="109"/>
      <c r="H93" s="109"/>
      <c r="I93" s="99"/>
      <c r="J93" s="99"/>
      <c r="K93" s="99"/>
      <c r="L93" s="99"/>
      <c r="M93" s="99"/>
      <c r="N93" s="99"/>
    </row>
    <row r="94" spans="3:14" ht="12.75" customHeight="1" x14ac:dyDescent="0.4">
      <c r="C94" s="109"/>
      <c r="D94" s="109"/>
      <c r="E94" s="109"/>
      <c r="F94" s="109"/>
      <c r="G94" s="109"/>
      <c r="H94" s="109"/>
      <c r="I94" s="99"/>
      <c r="J94" s="99"/>
      <c r="K94" s="99"/>
      <c r="L94" s="99"/>
      <c r="M94" s="99"/>
      <c r="N94" s="99"/>
    </row>
    <row r="95" spans="3:14" ht="12.75" customHeight="1" x14ac:dyDescent="0.4">
      <c r="C95" s="109"/>
      <c r="D95" s="109"/>
      <c r="E95" s="109"/>
      <c r="F95" s="109"/>
      <c r="G95" s="109"/>
      <c r="H95" s="109"/>
      <c r="I95" s="99"/>
      <c r="J95" s="99"/>
      <c r="K95" s="99"/>
      <c r="L95" s="99"/>
      <c r="M95" s="99"/>
      <c r="N95" s="99"/>
    </row>
    <row r="96" spans="3:14" ht="12.75" customHeight="1" x14ac:dyDescent="0.4">
      <c r="C96" s="109"/>
      <c r="D96" s="109"/>
      <c r="E96" s="109"/>
      <c r="F96" s="109"/>
      <c r="G96" s="109"/>
      <c r="H96" s="109"/>
      <c r="I96" s="99"/>
      <c r="J96" s="99"/>
      <c r="K96" s="99"/>
      <c r="L96" s="99"/>
      <c r="M96" s="99"/>
      <c r="N96" s="99"/>
    </row>
    <row r="97" spans="3:14" ht="12.75" customHeight="1" x14ac:dyDescent="0.4">
      <c r="C97" s="109"/>
      <c r="D97" s="109"/>
      <c r="E97" s="109"/>
      <c r="F97" s="109"/>
      <c r="G97" s="109"/>
      <c r="H97" s="109"/>
      <c r="I97" s="99"/>
      <c r="J97" s="99"/>
      <c r="K97" s="99"/>
      <c r="L97" s="99"/>
      <c r="M97" s="99"/>
      <c r="N97" s="99"/>
    </row>
    <row r="98" spans="3:14" ht="12.75" customHeight="1" x14ac:dyDescent="0.4">
      <c r="C98" s="109"/>
      <c r="D98" s="109"/>
      <c r="E98" s="109"/>
      <c r="F98" s="109"/>
      <c r="G98" s="109"/>
      <c r="H98" s="109"/>
      <c r="I98" s="99"/>
      <c r="J98" s="99"/>
      <c r="K98" s="99"/>
      <c r="L98" s="99"/>
      <c r="M98" s="99"/>
      <c r="N98" s="99"/>
    </row>
    <row r="99" spans="3:14" ht="12.75" customHeight="1" x14ac:dyDescent="0.4">
      <c r="C99" s="109"/>
      <c r="D99" s="109"/>
      <c r="E99" s="109"/>
      <c r="F99" s="109"/>
      <c r="G99" s="109"/>
      <c r="H99" s="109"/>
      <c r="I99" s="99"/>
      <c r="J99" s="99"/>
      <c r="K99" s="99"/>
      <c r="L99" s="99"/>
      <c r="M99" s="99"/>
      <c r="N99" s="99"/>
    </row>
    <row r="100" spans="3:14" ht="12.75" customHeight="1" x14ac:dyDescent="0.4">
      <c r="C100" s="109"/>
      <c r="D100" s="109"/>
      <c r="E100" s="109"/>
      <c r="F100" s="109"/>
      <c r="G100" s="109"/>
      <c r="H100" s="109"/>
      <c r="I100" s="99"/>
      <c r="J100" s="99"/>
      <c r="K100" s="99"/>
      <c r="L100" s="99"/>
      <c r="M100" s="99"/>
      <c r="N100" s="99"/>
    </row>
    <row r="101" spans="3:14" ht="12.75" customHeight="1" x14ac:dyDescent="0.4">
      <c r="C101" s="109"/>
      <c r="D101" s="109"/>
      <c r="E101" s="109"/>
      <c r="F101" s="109"/>
      <c r="G101" s="109"/>
      <c r="H101" s="109"/>
      <c r="I101" s="99"/>
      <c r="J101" s="99"/>
      <c r="K101" s="99"/>
      <c r="L101" s="99"/>
      <c r="M101" s="99"/>
      <c r="N101" s="99"/>
    </row>
    <row r="102" spans="3:14" ht="12.75" customHeight="1" x14ac:dyDescent="0.4">
      <c r="C102" s="109"/>
      <c r="D102" s="109"/>
      <c r="E102" s="109"/>
      <c r="F102" s="109"/>
      <c r="G102" s="109"/>
      <c r="H102" s="109"/>
      <c r="I102" s="99"/>
      <c r="J102" s="99"/>
      <c r="K102" s="99"/>
      <c r="L102" s="99"/>
      <c r="M102" s="99"/>
      <c r="N102" s="99"/>
    </row>
    <row r="103" spans="3:14" ht="12.75" customHeight="1" x14ac:dyDescent="0.4">
      <c r="C103" s="109"/>
      <c r="D103" s="109"/>
      <c r="E103" s="109"/>
      <c r="F103" s="109"/>
      <c r="G103" s="109"/>
      <c r="H103" s="109"/>
      <c r="I103" s="99"/>
      <c r="J103" s="99"/>
      <c r="K103" s="99"/>
      <c r="L103" s="99"/>
      <c r="M103" s="99"/>
      <c r="N103" s="99"/>
    </row>
    <row r="104" spans="3:14" ht="12.75" customHeight="1" x14ac:dyDescent="0.4">
      <c r="C104" s="109"/>
      <c r="D104" s="109"/>
      <c r="E104" s="109"/>
      <c r="F104" s="109"/>
      <c r="G104" s="109"/>
      <c r="H104" s="109"/>
      <c r="I104" s="99"/>
      <c r="J104" s="99"/>
      <c r="K104" s="99"/>
      <c r="L104" s="99"/>
      <c r="M104" s="99"/>
      <c r="N104" s="99"/>
    </row>
    <row r="105" spans="3:14" ht="12.75" customHeight="1" x14ac:dyDescent="0.4">
      <c r="C105" s="109"/>
      <c r="D105" s="109"/>
      <c r="E105" s="109"/>
      <c r="F105" s="109"/>
      <c r="G105" s="109"/>
      <c r="H105" s="109"/>
      <c r="I105" s="99"/>
      <c r="J105" s="99"/>
      <c r="K105" s="99"/>
      <c r="L105" s="99"/>
      <c r="M105" s="99"/>
      <c r="N105" s="99"/>
    </row>
    <row r="106" spans="3:14" ht="66.75" customHeight="1" x14ac:dyDescent="0.4">
      <c r="C106" s="154" t="s">
        <v>184</v>
      </c>
      <c r="D106" s="155"/>
      <c r="E106" s="155"/>
      <c r="F106" s="155"/>
      <c r="G106" s="155"/>
      <c r="H106" s="155"/>
      <c r="I106" s="155"/>
      <c r="J106" s="155"/>
      <c r="K106" s="155"/>
      <c r="L106" s="155"/>
      <c r="M106" s="155"/>
      <c r="N106" s="155"/>
    </row>
    <row r="107" spans="3:14" ht="12.75" customHeight="1" x14ac:dyDescent="0.4">
      <c r="C107" s="109"/>
      <c r="D107" s="109"/>
      <c r="E107" s="109"/>
      <c r="F107" s="109"/>
      <c r="G107" s="109"/>
      <c r="H107" s="109"/>
      <c r="I107" s="99"/>
      <c r="J107" s="99"/>
      <c r="K107" s="99"/>
      <c r="L107" s="99"/>
      <c r="M107" s="99"/>
      <c r="N107" s="99"/>
    </row>
    <row r="108" spans="3:14" ht="12.75" customHeight="1" x14ac:dyDescent="0.4">
      <c r="C108" s="101" t="s">
        <v>185</v>
      </c>
      <c r="D108" s="102"/>
      <c r="E108" s="102"/>
      <c r="F108" s="102"/>
      <c r="G108" s="102"/>
      <c r="H108" s="102"/>
      <c r="I108" s="99"/>
      <c r="J108" s="99"/>
      <c r="K108" s="99"/>
      <c r="L108" s="99"/>
      <c r="M108" s="99"/>
      <c r="N108" s="99"/>
    </row>
    <row r="109" spans="3:14" ht="12.75" customHeight="1" thickBot="1" x14ac:dyDescent="0.45">
      <c r="C109" s="103" t="s">
        <v>176</v>
      </c>
      <c r="D109" s="104">
        <v>60000</v>
      </c>
      <c r="E109" s="103" t="s">
        <v>177</v>
      </c>
      <c r="F109" s="104">
        <v>1</v>
      </c>
      <c r="G109" s="103" t="s">
        <v>178</v>
      </c>
      <c r="H109" s="104">
        <v>2</v>
      </c>
      <c r="I109" s="99"/>
      <c r="J109" s="99"/>
      <c r="K109" s="99"/>
      <c r="L109" s="99"/>
      <c r="M109" s="99"/>
      <c r="N109" s="99"/>
    </row>
    <row r="110" spans="3:14" ht="12.75" customHeight="1" x14ac:dyDescent="0.4">
      <c r="C110" s="105" t="s">
        <v>179</v>
      </c>
      <c r="D110" s="105" t="s">
        <v>36</v>
      </c>
      <c r="E110" s="105" t="s">
        <v>42</v>
      </c>
      <c r="F110" s="105" t="s">
        <v>48</v>
      </c>
      <c r="G110" s="105" t="s">
        <v>180</v>
      </c>
      <c r="H110" s="105" t="s">
        <v>181</v>
      </c>
      <c r="I110" s="99"/>
      <c r="J110" s="99"/>
      <c r="K110" s="99"/>
      <c r="L110" s="99"/>
      <c r="M110" s="99"/>
      <c r="N110" s="99"/>
    </row>
    <row r="111" spans="3:14" ht="12.75" customHeight="1" x14ac:dyDescent="0.4">
      <c r="C111" s="106">
        <v>20000</v>
      </c>
      <c r="D111" s="107">
        <f t="shared" ref="D111:D117" si="10">C111*Salesc</f>
        <v>40000</v>
      </c>
      <c r="E111" s="107">
        <f t="shared" ref="E111:E117" si="11">Fixed_costsc</f>
        <v>60000</v>
      </c>
      <c r="F111" s="107">
        <f t="shared" ref="F111:F117" si="12">C111*Variable_costsc</f>
        <v>20000</v>
      </c>
      <c r="G111" s="107">
        <f t="shared" ref="G111:G117" si="13">E111+F111</f>
        <v>80000</v>
      </c>
      <c r="H111" s="107">
        <f t="shared" ref="H111:H117" si="14">D111-G111</f>
        <v>-40000</v>
      </c>
      <c r="I111" s="99"/>
      <c r="J111" s="99"/>
      <c r="K111" s="99"/>
      <c r="L111" s="99"/>
      <c r="M111" s="99"/>
      <c r="N111" s="99"/>
    </row>
    <row r="112" spans="3:14" ht="12.75" customHeight="1" x14ac:dyDescent="0.4">
      <c r="C112" s="106">
        <v>50000</v>
      </c>
      <c r="D112" s="107">
        <f t="shared" si="10"/>
        <v>100000</v>
      </c>
      <c r="E112" s="107">
        <f t="shared" si="11"/>
        <v>60000</v>
      </c>
      <c r="F112" s="107">
        <f t="shared" si="12"/>
        <v>50000</v>
      </c>
      <c r="G112" s="107">
        <f t="shared" si="13"/>
        <v>110000</v>
      </c>
      <c r="H112" s="107">
        <f t="shared" si="14"/>
        <v>-10000</v>
      </c>
      <c r="I112" s="99"/>
      <c r="J112" s="99"/>
      <c r="K112" s="99"/>
      <c r="L112" s="99"/>
      <c r="M112" s="99"/>
      <c r="N112" s="99"/>
    </row>
    <row r="113" spans="3:14" ht="12.75" customHeight="1" x14ac:dyDescent="0.4">
      <c r="C113" s="106">
        <v>80000</v>
      </c>
      <c r="D113" s="107">
        <f t="shared" si="10"/>
        <v>160000</v>
      </c>
      <c r="E113" s="107">
        <f t="shared" si="11"/>
        <v>60000</v>
      </c>
      <c r="F113" s="107">
        <f t="shared" si="12"/>
        <v>80000</v>
      </c>
      <c r="G113" s="107">
        <f t="shared" si="13"/>
        <v>140000</v>
      </c>
      <c r="H113" s="107">
        <f t="shared" si="14"/>
        <v>20000</v>
      </c>
      <c r="I113" s="99"/>
      <c r="J113" s="99"/>
      <c r="K113" s="99"/>
      <c r="L113" s="99"/>
      <c r="M113" s="99"/>
      <c r="N113" s="99"/>
    </row>
    <row r="114" spans="3:14" ht="12.75" customHeight="1" x14ac:dyDescent="0.4">
      <c r="C114" s="106">
        <v>110000</v>
      </c>
      <c r="D114" s="107">
        <f t="shared" si="10"/>
        <v>220000</v>
      </c>
      <c r="E114" s="107">
        <f t="shared" si="11"/>
        <v>60000</v>
      </c>
      <c r="F114" s="107">
        <f t="shared" si="12"/>
        <v>110000</v>
      </c>
      <c r="G114" s="107">
        <f t="shared" si="13"/>
        <v>170000</v>
      </c>
      <c r="H114" s="107">
        <f t="shared" si="14"/>
        <v>50000</v>
      </c>
      <c r="I114" s="99"/>
      <c r="J114" s="99"/>
      <c r="K114" s="99"/>
      <c r="L114" s="99"/>
      <c r="M114" s="99"/>
      <c r="N114" s="99"/>
    </row>
    <row r="115" spans="3:14" ht="12.75" customHeight="1" x14ac:dyDescent="0.4">
      <c r="C115" s="106">
        <v>140000</v>
      </c>
      <c r="D115" s="107">
        <f t="shared" si="10"/>
        <v>280000</v>
      </c>
      <c r="E115" s="107">
        <f t="shared" si="11"/>
        <v>60000</v>
      </c>
      <c r="F115" s="107">
        <f t="shared" si="12"/>
        <v>140000</v>
      </c>
      <c r="G115" s="107">
        <f t="shared" si="13"/>
        <v>200000</v>
      </c>
      <c r="H115" s="107">
        <f t="shared" si="14"/>
        <v>80000</v>
      </c>
      <c r="I115" s="99"/>
      <c r="J115" s="99"/>
      <c r="K115" s="99"/>
      <c r="L115" s="99"/>
      <c r="M115" s="99"/>
      <c r="N115" s="99"/>
    </row>
    <row r="116" spans="3:14" ht="12.75" customHeight="1" x14ac:dyDescent="0.4">
      <c r="C116" s="106">
        <v>170000</v>
      </c>
      <c r="D116" s="107">
        <f t="shared" si="10"/>
        <v>340000</v>
      </c>
      <c r="E116" s="107">
        <f t="shared" si="11"/>
        <v>60000</v>
      </c>
      <c r="F116" s="107">
        <f t="shared" si="12"/>
        <v>170000</v>
      </c>
      <c r="G116" s="107">
        <f t="shared" si="13"/>
        <v>230000</v>
      </c>
      <c r="H116" s="107">
        <f t="shared" si="14"/>
        <v>110000</v>
      </c>
      <c r="I116" s="99"/>
      <c r="J116" s="99"/>
      <c r="K116" s="99"/>
      <c r="L116" s="99"/>
      <c r="M116" s="99"/>
      <c r="N116" s="99"/>
    </row>
    <row r="117" spans="3:14" ht="12.75" customHeight="1" x14ac:dyDescent="0.4">
      <c r="C117" s="106">
        <v>200000</v>
      </c>
      <c r="D117" s="107">
        <f t="shared" si="10"/>
        <v>400000</v>
      </c>
      <c r="E117" s="107">
        <f t="shared" si="11"/>
        <v>60000</v>
      </c>
      <c r="F117" s="107">
        <f t="shared" si="12"/>
        <v>200000</v>
      </c>
      <c r="G117" s="107">
        <f t="shared" si="13"/>
        <v>260000</v>
      </c>
      <c r="H117" s="107">
        <f t="shared" si="14"/>
        <v>140000</v>
      </c>
      <c r="I117" s="99"/>
      <c r="J117" s="99"/>
      <c r="K117" s="99"/>
      <c r="L117" s="99"/>
      <c r="M117" s="99"/>
      <c r="N117" s="99"/>
    </row>
    <row r="118" spans="3:14" ht="12.75" customHeight="1" x14ac:dyDescent="0.4">
      <c r="C118" s="109"/>
      <c r="D118" s="109"/>
      <c r="E118" s="109"/>
      <c r="F118" s="109"/>
      <c r="G118" s="109"/>
      <c r="H118" s="109"/>
      <c r="I118" s="99"/>
      <c r="J118" s="99"/>
      <c r="K118" s="99"/>
      <c r="L118" s="99"/>
      <c r="M118" s="99"/>
      <c r="N118" s="99"/>
    </row>
    <row r="119" spans="3:14" ht="12.75" customHeight="1" x14ac:dyDescent="0.4">
      <c r="C119" s="109"/>
      <c r="D119" s="109"/>
      <c r="E119" s="109"/>
      <c r="F119" s="109"/>
      <c r="G119" s="109"/>
      <c r="H119" s="109"/>
      <c r="I119" s="99"/>
      <c r="J119" s="99"/>
      <c r="K119" s="99"/>
      <c r="L119" s="99"/>
      <c r="M119" s="99"/>
      <c r="N119" s="99"/>
    </row>
    <row r="120" spans="3:14" ht="12.75" customHeight="1" x14ac:dyDescent="0.4">
      <c r="C120" s="109"/>
      <c r="D120" s="109"/>
      <c r="E120" s="109"/>
      <c r="F120" s="109"/>
      <c r="G120" s="109"/>
      <c r="H120" s="109"/>
      <c r="I120" s="99"/>
      <c r="J120" s="99"/>
      <c r="K120" s="99"/>
      <c r="L120" s="99"/>
      <c r="M120" s="99"/>
      <c r="N120" s="99"/>
    </row>
    <row r="121" spans="3:14" ht="12.75" customHeight="1" x14ac:dyDescent="0.4">
      <c r="C121" s="109"/>
      <c r="D121" s="109"/>
      <c r="E121" s="109"/>
      <c r="F121" s="109"/>
      <c r="G121" s="109"/>
      <c r="H121" s="109"/>
      <c r="I121" s="99"/>
      <c r="J121" s="99"/>
      <c r="K121" s="99"/>
      <c r="L121" s="99"/>
      <c r="M121" s="99"/>
      <c r="N121" s="99"/>
    </row>
    <row r="122" spans="3:14" ht="12.75" customHeight="1" x14ac:dyDescent="0.4">
      <c r="C122" s="109"/>
      <c r="D122" s="109"/>
      <c r="E122" s="109"/>
      <c r="F122" s="109"/>
      <c r="G122" s="109"/>
      <c r="H122" s="109"/>
      <c r="I122" s="99"/>
      <c r="J122" s="99"/>
      <c r="K122" s="99"/>
      <c r="L122" s="99"/>
      <c r="M122" s="99"/>
      <c r="N122" s="99"/>
    </row>
    <row r="123" spans="3:14" ht="12.75" customHeight="1" x14ac:dyDescent="0.4">
      <c r="C123" s="109"/>
      <c r="D123" s="109"/>
      <c r="E123" s="109"/>
      <c r="F123" s="109"/>
      <c r="G123" s="109"/>
      <c r="H123" s="109"/>
      <c r="I123" s="99"/>
      <c r="J123" s="99"/>
      <c r="K123" s="99"/>
      <c r="L123" s="99"/>
      <c r="M123" s="99"/>
      <c r="N123" s="99"/>
    </row>
    <row r="124" spans="3:14" ht="12.75" customHeight="1" x14ac:dyDescent="0.4">
      <c r="C124" s="109"/>
      <c r="D124" s="109"/>
      <c r="E124" s="109"/>
      <c r="F124" s="109"/>
      <c r="G124" s="109"/>
      <c r="H124" s="109"/>
      <c r="I124" s="99"/>
      <c r="J124" s="99"/>
      <c r="K124" s="99"/>
      <c r="L124" s="99"/>
      <c r="M124" s="99"/>
      <c r="N124" s="99"/>
    </row>
    <row r="125" spans="3:14" ht="12.75" customHeight="1" x14ac:dyDescent="0.4">
      <c r="C125" s="109"/>
      <c r="D125" s="109"/>
      <c r="E125" s="109"/>
      <c r="F125" s="109"/>
      <c r="G125" s="109"/>
      <c r="H125" s="109"/>
      <c r="I125" s="99"/>
      <c r="J125" s="99"/>
      <c r="K125" s="99"/>
      <c r="L125" s="99"/>
      <c r="M125" s="99"/>
      <c r="N125" s="99"/>
    </row>
    <row r="126" spans="3:14" ht="12.75" customHeight="1" x14ac:dyDescent="0.4">
      <c r="C126" s="109"/>
      <c r="D126" s="109"/>
      <c r="E126" s="109"/>
      <c r="F126" s="109"/>
      <c r="G126" s="109"/>
      <c r="H126" s="109"/>
      <c r="I126" s="99"/>
      <c r="J126" s="99"/>
      <c r="K126" s="99"/>
      <c r="L126" s="99"/>
      <c r="M126" s="99"/>
      <c r="N126" s="99"/>
    </row>
    <row r="127" spans="3:14" ht="12.75" customHeight="1" x14ac:dyDescent="0.4">
      <c r="C127" s="109"/>
      <c r="D127" s="109"/>
      <c r="E127" s="109"/>
      <c r="F127" s="109"/>
      <c r="G127" s="109"/>
      <c r="H127" s="109"/>
      <c r="I127" s="99"/>
      <c r="J127" s="99"/>
      <c r="K127" s="99"/>
      <c r="L127" s="99"/>
      <c r="M127" s="99"/>
      <c r="N127" s="99"/>
    </row>
    <row r="128" spans="3:14" ht="12.75" customHeight="1" x14ac:dyDescent="0.4">
      <c r="C128" s="109"/>
      <c r="D128" s="109"/>
      <c r="E128" s="109"/>
      <c r="F128" s="109"/>
      <c r="G128" s="109"/>
      <c r="H128" s="109"/>
      <c r="I128" s="99"/>
      <c r="J128" s="99"/>
      <c r="K128" s="99"/>
      <c r="L128" s="99"/>
      <c r="M128" s="99"/>
      <c r="N128" s="99"/>
    </row>
    <row r="129" spans="3:14" ht="12.75" customHeight="1" x14ac:dyDescent="0.4">
      <c r="C129" s="109"/>
      <c r="D129" s="109"/>
      <c r="E129" s="109"/>
      <c r="F129" s="109"/>
      <c r="G129" s="109"/>
      <c r="H129" s="109"/>
      <c r="I129" s="99"/>
      <c r="J129" s="99"/>
      <c r="K129" s="99"/>
      <c r="L129" s="99"/>
      <c r="M129" s="99"/>
      <c r="N129" s="99"/>
    </row>
    <row r="130" spans="3:14" ht="12.75" customHeight="1" x14ac:dyDescent="0.4">
      <c r="C130" s="109"/>
      <c r="D130" s="109"/>
      <c r="E130" s="109"/>
      <c r="F130" s="109"/>
      <c r="G130" s="109"/>
      <c r="H130" s="109"/>
      <c r="I130" s="99"/>
      <c r="J130" s="99"/>
      <c r="K130" s="99"/>
      <c r="L130" s="99"/>
      <c r="M130" s="99"/>
      <c r="N130" s="99"/>
    </row>
    <row r="131" spans="3:14" ht="12.75" customHeight="1" x14ac:dyDescent="0.4">
      <c r="C131" s="109"/>
      <c r="D131" s="109"/>
      <c r="E131" s="109"/>
      <c r="F131" s="109"/>
      <c r="G131" s="109"/>
      <c r="H131" s="109"/>
      <c r="I131" s="99"/>
      <c r="J131" s="99"/>
      <c r="K131" s="99"/>
      <c r="L131" s="99"/>
      <c r="M131" s="99"/>
      <c r="N131" s="99"/>
    </row>
    <row r="132" spans="3:14" x14ac:dyDescent="0.4">
      <c r="C132" s="99"/>
      <c r="D132" s="99"/>
      <c r="E132" s="99"/>
      <c r="F132" s="99"/>
      <c r="G132" s="99"/>
      <c r="H132" s="99"/>
      <c r="I132" s="99"/>
      <c r="J132" s="99"/>
      <c r="K132" s="99"/>
      <c r="L132" s="99"/>
      <c r="M132" s="99"/>
      <c r="N132" s="99"/>
    </row>
    <row r="133" spans="3:14" ht="31.5" customHeight="1" x14ac:dyDescent="0.4">
      <c r="C133" s="154" t="s">
        <v>186</v>
      </c>
      <c r="D133" s="155"/>
      <c r="E133" s="155"/>
      <c r="F133" s="155"/>
      <c r="G133" s="155"/>
      <c r="H133" s="155"/>
      <c r="I133" s="155"/>
      <c r="J133" s="155"/>
      <c r="K133" s="155"/>
      <c r="L133" s="155"/>
      <c r="M133" s="155"/>
      <c r="N133" s="155"/>
    </row>
    <row r="134" spans="3:14" x14ac:dyDescent="0.4">
      <c r="C134" s="99"/>
      <c r="D134" s="99"/>
      <c r="E134" s="99"/>
      <c r="F134" s="99"/>
      <c r="G134" s="99"/>
      <c r="H134" s="99"/>
      <c r="I134" s="99"/>
      <c r="J134" s="99"/>
      <c r="K134" s="99"/>
      <c r="L134" s="99"/>
      <c r="M134" s="99"/>
      <c r="N134" s="99"/>
    </row>
    <row r="135" spans="3:14" ht="33.75" customHeight="1" x14ac:dyDescent="0.4">
      <c r="C135" s="154" t="s">
        <v>187</v>
      </c>
      <c r="D135" s="155"/>
      <c r="E135" s="155"/>
      <c r="F135" s="155"/>
      <c r="G135" s="155"/>
      <c r="H135" s="155"/>
      <c r="I135" s="155"/>
      <c r="J135" s="155"/>
      <c r="K135" s="155"/>
      <c r="L135" s="155"/>
      <c r="M135" s="155"/>
      <c r="N135" s="155"/>
    </row>
    <row r="136" spans="3:14" x14ac:dyDescent="0.4">
      <c r="C136" s="99"/>
      <c r="D136" s="99"/>
      <c r="E136" s="99"/>
      <c r="F136" s="99"/>
      <c r="G136" s="99"/>
      <c r="H136" s="99"/>
      <c r="I136" s="99"/>
      <c r="J136" s="99"/>
      <c r="K136" s="99"/>
      <c r="L136" s="99"/>
      <c r="M136" s="99"/>
      <c r="N136" s="99"/>
    </row>
    <row r="137" spans="3:14" ht="77.25" customHeight="1" x14ac:dyDescent="0.4">
      <c r="C137" s="154" t="s">
        <v>188</v>
      </c>
      <c r="D137" s="155"/>
      <c r="E137" s="155"/>
      <c r="F137" s="155"/>
      <c r="G137" s="155"/>
      <c r="H137" s="155"/>
      <c r="I137" s="155"/>
      <c r="J137" s="155"/>
      <c r="K137" s="155"/>
      <c r="L137" s="155"/>
      <c r="M137" s="155"/>
      <c r="N137" s="155"/>
    </row>
    <row r="138" spans="3:14" x14ac:dyDescent="0.4">
      <c r="C138" s="99"/>
      <c r="D138" s="99"/>
      <c r="E138" s="99"/>
      <c r="F138" s="99"/>
      <c r="G138" s="99"/>
      <c r="H138" s="99"/>
      <c r="I138" s="99"/>
      <c r="J138" s="99"/>
      <c r="K138" s="99"/>
      <c r="L138" s="99"/>
      <c r="M138" s="99"/>
      <c r="N138" s="99"/>
    </row>
    <row r="139" spans="3:14" ht="73.5" customHeight="1" x14ac:dyDescent="0.4">
      <c r="C139" s="154" t="s">
        <v>189</v>
      </c>
      <c r="D139" s="155"/>
      <c r="E139" s="155"/>
      <c r="F139" s="155"/>
      <c r="G139" s="155"/>
      <c r="H139" s="155"/>
      <c r="I139" s="155"/>
      <c r="J139" s="155"/>
      <c r="K139" s="155"/>
      <c r="L139" s="155"/>
      <c r="M139" s="155"/>
      <c r="N139" s="155"/>
    </row>
    <row r="140" spans="3:14" x14ac:dyDescent="0.4">
      <c r="C140" s="99"/>
      <c r="D140" s="99"/>
      <c r="E140" s="99"/>
      <c r="F140" s="99"/>
      <c r="G140" s="99"/>
      <c r="H140" s="99"/>
      <c r="I140" s="99"/>
      <c r="J140" s="99"/>
      <c r="K140" s="99"/>
      <c r="L140" s="99"/>
      <c r="M140" s="99"/>
      <c r="N140" s="99"/>
    </row>
    <row r="141" spans="3:14" ht="52.5" customHeight="1" x14ac:dyDescent="0.4">
      <c r="C141" s="154" t="s">
        <v>190</v>
      </c>
      <c r="D141" s="155"/>
      <c r="E141" s="155"/>
      <c r="F141" s="155"/>
      <c r="G141" s="155"/>
      <c r="H141" s="155"/>
      <c r="I141" s="155"/>
      <c r="J141" s="155"/>
      <c r="K141" s="155"/>
      <c r="L141" s="155"/>
      <c r="M141" s="155"/>
      <c r="N141" s="155"/>
    </row>
    <row r="142" spans="3:14" ht="12.75" customHeight="1" x14ac:dyDescent="0.4">
      <c r="C142" s="100"/>
      <c r="D142" s="99"/>
      <c r="E142" s="99"/>
      <c r="F142" s="99"/>
      <c r="G142" s="99"/>
      <c r="H142" s="99"/>
      <c r="I142" s="99"/>
      <c r="J142" s="99"/>
      <c r="K142" s="99"/>
      <c r="L142" s="99"/>
      <c r="M142" s="99"/>
      <c r="N142" s="99"/>
    </row>
    <row r="143" spans="3:14" ht="12.75" customHeight="1" x14ac:dyDescent="0.4">
      <c r="C143" s="110"/>
      <c r="D143" s="111" t="s">
        <v>175</v>
      </c>
      <c r="E143" s="111" t="s">
        <v>183</v>
      </c>
      <c r="F143" s="111" t="s">
        <v>185</v>
      </c>
      <c r="G143" s="112"/>
      <c r="H143" s="112"/>
      <c r="I143" s="99"/>
      <c r="J143" s="99"/>
      <c r="K143" s="99"/>
      <c r="L143" s="99"/>
      <c r="M143" s="99"/>
      <c r="N143" s="99"/>
    </row>
    <row r="144" spans="3:14" ht="12.75" customHeight="1" x14ac:dyDescent="0.4">
      <c r="C144" s="110" t="s">
        <v>176</v>
      </c>
      <c r="D144" s="113">
        <v>20000</v>
      </c>
      <c r="E144" s="113">
        <v>40000</v>
      </c>
      <c r="F144" s="113">
        <v>60000</v>
      </c>
      <c r="G144" s="110"/>
      <c r="H144" s="110"/>
      <c r="I144" s="99"/>
      <c r="J144" s="99"/>
      <c r="K144" s="99"/>
      <c r="L144" s="99"/>
      <c r="M144" s="99"/>
      <c r="N144" s="99"/>
    </row>
    <row r="145" spans="3:14" ht="12.75" customHeight="1" x14ac:dyDescent="0.4">
      <c r="C145" s="110" t="s">
        <v>177</v>
      </c>
      <c r="D145" s="114">
        <v>1.5</v>
      </c>
      <c r="E145" s="114">
        <v>1.2</v>
      </c>
      <c r="F145" s="114">
        <v>1</v>
      </c>
      <c r="G145" s="110"/>
      <c r="H145" s="110"/>
      <c r="I145" s="99"/>
      <c r="J145" s="99"/>
      <c r="K145" s="99"/>
      <c r="L145" s="99"/>
      <c r="M145" s="99"/>
      <c r="N145" s="99"/>
    </row>
    <row r="146" spans="3:14" ht="12.75" customHeight="1" x14ac:dyDescent="0.4">
      <c r="C146" s="110" t="s">
        <v>191</v>
      </c>
      <c r="D146" s="114">
        <v>2</v>
      </c>
      <c r="E146" s="114">
        <v>2</v>
      </c>
      <c r="F146" s="114">
        <v>2</v>
      </c>
      <c r="G146" s="110"/>
      <c r="H146" s="110"/>
      <c r="I146" s="99"/>
      <c r="J146" s="99"/>
      <c r="K146" s="99"/>
      <c r="L146" s="99"/>
      <c r="M146" s="99"/>
      <c r="N146" s="99"/>
    </row>
    <row r="147" spans="3:14" ht="12.75" customHeight="1" x14ac:dyDescent="0.4">
      <c r="C147" s="110"/>
      <c r="D147" s="110"/>
      <c r="E147" s="110"/>
      <c r="F147" s="110"/>
      <c r="G147" s="110"/>
      <c r="H147" s="110"/>
      <c r="I147" s="99"/>
      <c r="J147" s="99"/>
      <c r="K147" s="99"/>
      <c r="L147" s="99"/>
      <c r="M147" s="99"/>
      <c r="N147" s="99"/>
    </row>
    <row r="148" spans="3:14" ht="12.75" customHeight="1" x14ac:dyDescent="0.4">
      <c r="C148" s="110"/>
      <c r="D148" s="110"/>
      <c r="E148" s="110" t="s">
        <v>175</v>
      </c>
      <c r="F148" s="110"/>
      <c r="G148" s="110"/>
      <c r="H148" s="110"/>
      <c r="I148" s="99"/>
      <c r="J148" s="99"/>
      <c r="K148" s="99"/>
      <c r="L148" s="99"/>
      <c r="M148" s="99"/>
      <c r="N148" s="99"/>
    </row>
    <row r="149" spans="3:14" ht="12.75" customHeight="1" x14ac:dyDescent="0.4">
      <c r="C149" s="115" t="s">
        <v>179</v>
      </c>
      <c r="D149" s="116" t="s">
        <v>36</v>
      </c>
      <c r="E149" s="116" t="s">
        <v>42</v>
      </c>
      <c r="F149" s="116" t="s">
        <v>48</v>
      </c>
      <c r="G149" s="116" t="s">
        <v>181</v>
      </c>
      <c r="H149" s="110"/>
      <c r="I149" s="99"/>
      <c r="J149" s="99"/>
      <c r="K149" s="99"/>
      <c r="L149" s="99"/>
      <c r="M149" s="99"/>
      <c r="N149" s="99"/>
    </row>
    <row r="150" spans="3:14" ht="12.75" customHeight="1" x14ac:dyDescent="0.4">
      <c r="C150" s="115"/>
      <c r="D150" s="115"/>
      <c r="E150" s="115"/>
      <c r="F150" s="115"/>
      <c r="G150" s="115"/>
      <c r="H150" s="110"/>
      <c r="I150" s="99"/>
      <c r="J150" s="99"/>
      <c r="K150" s="99"/>
      <c r="L150" s="99"/>
      <c r="M150" s="99"/>
      <c r="N150" s="99"/>
    </row>
    <row r="151" spans="3:14" ht="12.75" customHeight="1" x14ac:dyDescent="0.4">
      <c r="C151" s="117">
        <v>20000</v>
      </c>
      <c r="D151" s="113">
        <f>Units_Sold*Store_A Sales_price</f>
        <v>40000</v>
      </c>
      <c r="E151" s="113">
        <f>Store_A Fixed_costsx</f>
        <v>20000</v>
      </c>
      <c r="F151" s="113">
        <f>Units_Sold*Store_A Variable_costsx</f>
        <v>30000</v>
      </c>
      <c r="G151" s="113">
        <f t="shared" ref="G151:G157" si="15">D151-E151-F151</f>
        <v>-10000</v>
      </c>
      <c r="H151" s="110"/>
      <c r="I151" s="99"/>
      <c r="J151" s="99"/>
      <c r="K151" s="99"/>
      <c r="L151" s="99"/>
      <c r="M151" s="99"/>
      <c r="N151" s="99"/>
    </row>
    <row r="152" spans="3:14" ht="12.75" customHeight="1" x14ac:dyDescent="0.4">
      <c r="C152" s="117">
        <v>50000</v>
      </c>
      <c r="D152" s="113">
        <f>Units_Sold*Store_A Sales_price</f>
        <v>100000</v>
      </c>
      <c r="E152" s="113">
        <f>Store_A Fixed_costsx</f>
        <v>20000</v>
      </c>
      <c r="F152" s="113">
        <f>Units_Sold*Store_A Variable_costsx</f>
        <v>75000</v>
      </c>
      <c r="G152" s="113">
        <f t="shared" si="15"/>
        <v>5000</v>
      </c>
      <c r="H152" s="110"/>
      <c r="I152" s="99"/>
      <c r="J152" s="99"/>
      <c r="K152" s="99"/>
      <c r="L152" s="99"/>
      <c r="M152" s="99"/>
      <c r="N152" s="99"/>
    </row>
    <row r="153" spans="3:14" ht="12.75" customHeight="1" x14ac:dyDescent="0.4">
      <c r="C153" s="117">
        <v>80000</v>
      </c>
      <c r="D153" s="113">
        <f>Units_Sold*Store_A Sales_price</f>
        <v>160000</v>
      </c>
      <c r="E153" s="113">
        <f>Store_A Fixed_costsx</f>
        <v>20000</v>
      </c>
      <c r="F153" s="113">
        <f>Units_Sold*Store_A Variable_costsx</f>
        <v>120000</v>
      </c>
      <c r="G153" s="113">
        <f t="shared" si="15"/>
        <v>20000</v>
      </c>
      <c r="H153" s="110"/>
      <c r="I153" s="99"/>
      <c r="J153" s="99"/>
      <c r="K153" s="99"/>
      <c r="L153" s="99"/>
      <c r="M153" s="99"/>
      <c r="N153" s="99"/>
    </row>
    <row r="154" spans="3:14" ht="12.75" customHeight="1" x14ac:dyDescent="0.4">
      <c r="C154" s="117">
        <v>110000</v>
      </c>
      <c r="D154" s="113">
        <f>Units_Sold*Store_A Sales_price</f>
        <v>220000</v>
      </c>
      <c r="E154" s="113">
        <f>Store_A Fixed_costsx</f>
        <v>20000</v>
      </c>
      <c r="F154" s="113">
        <f>Units_Sold*Store_A Variable_costsx</f>
        <v>165000</v>
      </c>
      <c r="G154" s="113">
        <f t="shared" si="15"/>
        <v>35000</v>
      </c>
      <c r="H154" s="110"/>
      <c r="I154" s="99"/>
      <c r="J154" s="99"/>
      <c r="K154" s="99"/>
      <c r="L154" s="99"/>
      <c r="M154" s="99"/>
      <c r="N154" s="99"/>
    </row>
    <row r="155" spans="3:14" ht="12.75" customHeight="1" x14ac:dyDescent="0.4">
      <c r="C155" s="117">
        <v>140000</v>
      </c>
      <c r="D155" s="113">
        <f>Units_Sold*Store_A Sales_price</f>
        <v>280000</v>
      </c>
      <c r="E155" s="113">
        <f>Store_A Fixed_costsx</f>
        <v>20000</v>
      </c>
      <c r="F155" s="113">
        <f>Units_Sold*Store_A Variable_costsx</f>
        <v>210000</v>
      </c>
      <c r="G155" s="113">
        <f t="shared" si="15"/>
        <v>50000</v>
      </c>
      <c r="H155" s="110"/>
      <c r="I155" s="99"/>
      <c r="J155" s="99"/>
      <c r="K155" s="99"/>
      <c r="L155" s="99"/>
      <c r="M155" s="99"/>
      <c r="N155" s="99"/>
    </row>
    <row r="156" spans="3:14" ht="12.75" customHeight="1" x14ac:dyDescent="0.4">
      <c r="C156" s="117">
        <v>170000</v>
      </c>
      <c r="D156" s="113">
        <f>Units_Sold*Store_A Sales_price</f>
        <v>340000</v>
      </c>
      <c r="E156" s="113">
        <f>Store_A Fixed_costsx</f>
        <v>20000</v>
      </c>
      <c r="F156" s="113">
        <f>Units_Sold*Store_A Variable_costsx</f>
        <v>255000</v>
      </c>
      <c r="G156" s="113">
        <f t="shared" si="15"/>
        <v>65000</v>
      </c>
      <c r="H156" s="110"/>
      <c r="I156" s="99"/>
      <c r="J156" s="99"/>
      <c r="K156" s="99"/>
      <c r="L156" s="99"/>
      <c r="M156" s="99"/>
      <c r="N156" s="99"/>
    </row>
    <row r="157" spans="3:14" ht="12.75" customHeight="1" x14ac:dyDescent="0.4">
      <c r="C157" s="117">
        <v>200000</v>
      </c>
      <c r="D157" s="113">
        <f>Units_Sold*Store_A Sales_price</f>
        <v>400000</v>
      </c>
      <c r="E157" s="113">
        <f>Store_A Fixed_costsx</f>
        <v>20000</v>
      </c>
      <c r="F157" s="113">
        <f>Units_Sold*Store_A Variable_costsx</f>
        <v>300000</v>
      </c>
      <c r="G157" s="113">
        <f t="shared" si="15"/>
        <v>80000</v>
      </c>
      <c r="H157" s="110"/>
      <c r="I157" s="99"/>
      <c r="J157" s="99"/>
      <c r="K157" s="99"/>
      <c r="L157" s="99"/>
      <c r="M157" s="99"/>
      <c r="N157" s="99"/>
    </row>
    <row r="158" spans="3:14" ht="12.75" customHeight="1" x14ac:dyDescent="0.4">
      <c r="C158" s="110"/>
      <c r="D158" s="110"/>
      <c r="E158" s="110"/>
      <c r="F158" s="110"/>
      <c r="G158" s="110"/>
      <c r="H158" s="110"/>
      <c r="I158" s="99"/>
      <c r="J158" s="99"/>
      <c r="K158" s="99"/>
      <c r="L158" s="99"/>
      <c r="M158" s="99"/>
      <c r="N158" s="99"/>
    </row>
    <row r="159" spans="3:14" ht="12.75" customHeight="1" x14ac:dyDescent="0.4">
      <c r="C159" s="110"/>
      <c r="D159" s="115"/>
      <c r="E159" s="110" t="s">
        <v>183</v>
      </c>
      <c r="F159" s="110"/>
      <c r="G159" s="110"/>
      <c r="H159" s="110"/>
      <c r="I159" s="99"/>
      <c r="J159" s="99"/>
      <c r="K159" s="99"/>
      <c r="L159" s="99"/>
      <c r="M159" s="99"/>
      <c r="N159" s="99"/>
    </row>
    <row r="160" spans="3:14" ht="12.75" customHeight="1" x14ac:dyDescent="0.4">
      <c r="C160" s="117">
        <v>20000</v>
      </c>
      <c r="D160" s="113">
        <f t="array" ref="D160:D166">Units_Sold*Store_B Sales_price</f>
        <v>40000</v>
      </c>
      <c r="E160" s="113">
        <f>Store_B Fixed_costsx</f>
        <v>40000</v>
      </c>
      <c r="F160" s="113">
        <f t="array" ref="F160:F166">Units_Sold*Store_B Variable_costsx</f>
        <v>24000</v>
      </c>
      <c r="G160" s="113">
        <f t="shared" ref="G160:G166" si="16">D160-E160-F160</f>
        <v>-24000</v>
      </c>
      <c r="H160" s="110"/>
      <c r="I160" s="99"/>
      <c r="J160" s="99"/>
      <c r="K160" s="99"/>
      <c r="L160" s="99"/>
      <c r="M160" s="99"/>
      <c r="N160" s="99"/>
    </row>
    <row r="161" spans="3:14" ht="12.75" customHeight="1" x14ac:dyDescent="0.4">
      <c r="C161" s="117">
        <v>50000</v>
      </c>
      <c r="D161" s="113">
        <v>100000</v>
      </c>
      <c r="E161" s="113">
        <f>Store_B Fixed_costsx</f>
        <v>40000</v>
      </c>
      <c r="F161" s="113">
        <v>60000</v>
      </c>
      <c r="G161" s="113">
        <f t="shared" si="16"/>
        <v>0</v>
      </c>
      <c r="H161" s="110"/>
      <c r="I161" s="99"/>
      <c r="J161" s="99"/>
      <c r="K161" s="99"/>
      <c r="L161" s="99"/>
      <c r="M161" s="99"/>
      <c r="N161" s="99"/>
    </row>
    <row r="162" spans="3:14" ht="12.75" customHeight="1" x14ac:dyDescent="0.4">
      <c r="C162" s="117">
        <v>80000</v>
      </c>
      <c r="D162" s="113">
        <v>160000</v>
      </c>
      <c r="E162" s="113">
        <f>Store_B Fixed_costsx</f>
        <v>40000</v>
      </c>
      <c r="F162" s="113">
        <v>96000</v>
      </c>
      <c r="G162" s="113">
        <f t="shared" si="16"/>
        <v>24000</v>
      </c>
      <c r="H162" s="110"/>
      <c r="I162" s="99"/>
      <c r="J162" s="99"/>
      <c r="K162" s="99"/>
      <c r="L162" s="99"/>
      <c r="M162" s="99"/>
      <c r="N162" s="99"/>
    </row>
    <row r="163" spans="3:14" ht="12.75" customHeight="1" x14ac:dyDescent="0.4">
      <c r="C163" s="117">
        <v>110000</v>
      </c>
      <c r="D163" s="113">
        <v>220000</v>
      </c>
      <c r="E163" s="113">
        <f>Store_B Fixed_costsx</f>
        <v>40000</v>
      </c>
      <c r="F163" s="113">
        <v>132000</v>
      </c>
      <c r="G163" s="113">
        <f t="shared" si="16"/>
        <v>48000</v>
      </c>
      <c r="H163" s="110"/>
      <c r="I163" s="99"/>
      <c r="J163" s="99"/>
      <c r="K163" s="99"/>
      <c r="L163" s="99"/>
      <c r="M163" s="99"/>
      <c r="N163" s="99"/>
    </row>
    <row r="164" spans="3:14" ht="12.75" customHeight="1" x14ac:dyDescent="0.4">
      <c r="C164" s="117">
        <v>140000</v>
      </c>
      <c r="D164" s="113">
        <v>280000</v>
      </c>
      <c r="E164" s="113">
        <f>Store_B Fixed_costsx</f>
        <v>40000</v>
      </c>
      <c r="F164" s="113">
        <v>168000</v>
      </c>
      <c r="G164" s="113">
        <f t="shared" si="16"/>
        <v>72000</v>
      </c>
      <c r="H164" s="110"/>
      <c r="I164" s="99"/>
      <c r="J164" s="99"/>
      <c r="K164" s="99"/>
      <c r="L164" s="99"/>
      <c r="M164" s="99"/>
      <c r="N164" s="99"/>
    </row>
    <row r="165" spans="3:14" ht="12.75" customHeight="1" x14ac:dyDescent="0.4">
      <c r="C165" s="117">
        <v>170000</v>
      </c>
      <c r="D165" s="113">
        <v>340000</v>
      </c>
      <c r="E165" s="113">
        <f>Store_B Fixed_costsx</f>
        <v>40000</v>
      </c>
      <c r="F165" s="113">
        <v>204000</v>
      </c>
      <c r="G165" s="113">
        <f t="shared" si="16"/>
        <v>96000</v>
      </c>
      <c r="H165" s="110"/>
      <c r="I165" s="99"/>
      <c r="J165" s="99"/>
      <c r="K165" s="99"/>
      <c r="L165" s="99"/>
      <c r="M165" s="99"/>
      <c r="N165" s="99"/>
    </row>
    <row r="166" spans="3:14" ht="12.75" customHeight="1" x14ac:dyDescent="0.4">
      <c r="C166" s="117">
        <v>200000</v>
      </c>
      <c r="D166" s="113">
        <v>400000</v>
      </c>
      <c r="E166" s="113">
        <f>Store_B Fixed_costsx</f>
        <v>40000</v>
      </c>
      <c r="F166" s="113">
        <v>240000</v>
      </c>
      <c r="G166" s="113">
        <f t="shared" si="16"/>
        <v>120000</v>
      </c>
      <c r="H166" s="110"/>
      <c r="I166" s="99"/>
      <c r="J166" s="99"/>
      <c r="K166" s="99"/>
      <c r="L166" s="99"/>
      <c r="M166" s="99"/>
      <c r="N166" s="99"/>
    </row>
    <row r="167" spans="3:14" ht="12.75" customHeight="1" x14ac:dyDescent="0.4">
      <c r="C167" s="110"/>
      <c r="D167" s="113"/>
      <c r="E167" s="113"/>
      <c r="F167" s="113"/>
      <c r="G167" s="113"/>
      <c r="H167" s="110"/>
      <c r="I167" s="99"/>
      <c r="J167" s="99"/>
      <c r="K167" s="99"/>
      <c r="L167" s="99"/>
      <c r="M167" s="99"/>
      <c r="N167" s="99"/>
    </row>
    <row r="168" spans="3:14" ht="12.75" customHeight="1" x14ac:dyDescent="0.4">
      <c r="C168" s="110"/>
      <c r="D168" s="110"/>
      <c r="E168" s="110" t="s">
        <v>185</v>
      </c>
      <c r="F168" s="110"/>
      <c r="G168" s="110"/>
      <c r="H168" s="110"/>
      <c r="I168" s="99"/>
      <c r="J168" s="99"/>
      <c r="K168" s="99"/>
      <c r="L168" s="99"/>
      <c r="M168" s="99"/>
      <c r="N168" s="99"/>
    </row>
    <row r="169" spans="3:14" ht="12.75" customHeight="1" x14ac:dyDescent="0.4">
      <c r="C169" s="117">
        <v>20000</v>
      </c>
      <c r="D169" s="113">
        <f t="array" ref="D169:D175">Units_Sold*Store_C Sales_price</f>
        <v>40000</v>
      </c>
      <c r="E169" s="113">
        <f>Store_C Fixed_costsx</f>
        <v>60000</v>
      </c>
      <c r="F169" s="113">
        <f t="array" ref="F169:F175">Units_Sold*Store_C Variable_costsx</f>
        <v>20000</v>
      </c>
      <c r="G169" s="113">
        <f t="shared" ref="G169:G175" si="17">D169-E169-F169</f>
        <v>-40000</v>
      </c>
      <c r="H169" s="110"/>
      <c r="I169" s="99"/>
      <c r="J169" s="99"/>
      <c r="K169" s="99"/>
      <c r="L169" s="99"/>
      <c r="M169" s="99"/>
      <c r="N169" s="99"/>
    </row>
    <row r="170" spans="3:14" ht="12.75" customHeight="1" x14ac:dyDescent="0.4">
      <c r="C170" s="117">
        <v>50000</v>
      </c>
      <c r="D170" s="113">
        <v>100000</v>
      </c>
      <c r="E170" s="113">
        <f>Store_C Fixed_costsx</f>
        <v>60000</v>
      </c>
      <c r="F170" s="113">
        <v>50000</v>
      </c>
      <c r="G170" s="113">
        <f t="shared" si="17"/>
        <v>-10000</v>
      </c>
      <c r="H170" s="110"/>
      <c r="I170" s="99"/>
      <c r="J170" s="99"/>
      <c r="K170" s="99"/>
      <c r="L170" s="99"/>
      <c r="M170" s="99"/>
      <c r="N170" s="99"/>
    </row>
    <row r="171" spans="3:14" ht="12.75" customHeight="1" x14ac:dyDescent="0.4">
      <c r="C171" s="117">
        <v>80000</v>
      </c>
      <c r="D171" s="113">
        <v>160000</v>
      </c>
      <c r="E171" s="113">
        <f>Store_C Fixed_costsx</f>
        <v>60000</v>
      </c>
      <c r="F171" s="113">
        <v>80000</v>
      </c>
      <c r="G171" s="113">
        <f t="shared" si="17"/>
        <v>20000</v>
      </c>
      <c r="H171" s="110"/>
      <c r="I171" s="99"/>
      <c r="J171" s="99"/>
      <c r="K171" s="99"/>
      <c r="L171" s="99"/>
      <c r="M171" s="99"/>
      <c r="N171" s="99"/>
    </row>
    <row r="172" spans="3:14" ht="12.75" customHeight="1" x14ac:dyDescent="0.4">
      <c r="C172" s="117">
        <v>110000</v>
      </c>
      <c r="D172" s="113">
        <v>220000</v>
      </c>
      <c r="E172" s="113">
        <f>Store_C Fixed_costsx</f>
        <v>60000</v>
      </c>
      <c r="F172" s="113">
        <v>110000</v>
      </c>
      <c r="G172" s="113">
        <f t="shared" si="17"/>
        <v>50000</v>
      </c>
      <c r="H172" s="110"/>
      <c r="I172" s="99"/>
      <c r="J172" s="99"/>
      <c r="K172" s="99"/>
      <c r="L172" s="99"/>
      <c r="M172" s="99"/>
      <c r="N172" s="99"/>
    </row>
    <row r="173" spans="3:14" ht="12.75" customHeight="1" x14ac:dyDescent="0.4">
      <c r="C173" s="117">
        <v>140000</v>
      </c>
      <c r="D173" s="113">
        <v>280000</v>
      </c>
      <c r="E173" s="113">
        <f>Store_C Fixed_costsx</f>
        <v>60000</v>
      </c>
      <c r="F173" s="113">
        <v>140000</v>
      </c>
      <c r="G173" s="113">
        <f t="shared" si="17"/>
        <v>80000</v>
      </c>
      <c r="H173" s="110"/>
      <c r="I173" s="99"/>
      <c r="J173" s="99"/>
      <c r="K173" s="99"/>
      <c r="L173" s="99"/>
      <c r="M173" s="99"/>
      <c r="N173" s="99"/>
    </row>
    <row r="174" spans="3:14" ht="12.75" customHeight="1" x14ac:dyDescent="0.4">
      <c r="C174" s="117">
        <v>170000</v>
      </c>
      <c r="D174" s="113">
        <v>340000</v>
      </c>
      <c r="E174" s="113">
        <f>Store_C Fixed_costsx</f>
        <v>60000</v>
      </c>
      <c r="F174" s="113">
        <v>170000</v>
      </c>
      <c r="G174" s="113">
        <f t="shared" si="17"/>
        <v>110000</v>
      </c>
      <c r="H174" s="110"/>
      <c r="I174" s="99"/>
      <c r="J174" s="99"/>
      <c r="K174" s="99"/>
      <c r="L174" s="99"/>
      <c r="M174" s="99"/>
      <c r="N174" s="99"/>
    </row>
    <row r="175" spans="3:14" ht="12.75" customHeight="1" x14ac:dyDescent="0.4">
      <c r="C175" s="117">
        <v>200000</v>
      </c>
      <c r="D175" s="113">
        <v>400000</v>
      </c>
      <c r="E175" s="113">
        <f>Store_C Fixed_costsx</f>
        <v>60000</v>
      </c>
      <c r="F175" s="113">
        <v>200000</v>
      </c>
      <c r="G175" s="113">
        <f t="shared" si="17"/>
        <v>140000</v>
      </c>
      <c r="H175" s="110"/>
      <c r="I175" s="99"/>
      <c r="J175" s="99"/>
      <c r="K175" s="99"/>
      <c r="L175" s="99"/>
      <c r="M175" s="99"/>
      <c r="N175" s="99"/>
    </row>
    <row r="176" spans="3:14" ht="12.75" customHeight="1" x14ac:dyDescent="0.4">
      <c r="C176" s="112"/>
      <c r="D176" s="112"/>
      <c r="E176" s="112"/>
      <c r="F176" s="112"/>
      <c r="G176" s="112"/>
      <c r="H176" s="112"/>
      <c r="I176" s="99"/>
      <c r="J176" s="99"/>
      <c r="K176" s="99"/>
      <c r="L176" s="99"/>
      <c r="M176" s="99"/>
      <c r="N176" s="99"/>
    </row>
    <row r="177" spans="3:14" ht="12.75" customHeight="1" x14ac:dyDescent="0.4">
      <c r="C177" s="112"/>
      <c r="D177" s="112"/>
      <c r="E177" s="112"/>
      <c r="F177" s="112"/>
      <c r="G177" s="112"/>
      <c r="H177" s="112"/>
      <c r="I177" s="99"/>
      <c r="J177" s="99"/>
      <c r="K177" s="99"/>
      <c r="L177" s="99"/>
      <c r="M177" s="99"/>
      <c r="N177" s="99"/>
    </row>
    <row r="178" spans="3:14" ht="12.75" customHeight="1" x14ac:dyDescent="0.4">
      <c r="C178" s="112"/>
      <c r="D178" s="112"/>
      <c r="E178" s="112"/>
      <c r="F178" s="112"/>
      <c r="G178" s="112"/>
      <c r="H178" s="112"/>
      <c r="I178" s="99"/>
      <c r="J178" s="99"/>
      <c r="K178" s="99"/>
      <c r="L178" s="99"/>
      <c r="M178" s="99"/>
      <c r="N178" s="99"/>
    </row>
    <row r="179" spans="3:14" ht="12.75" customHeight="1" x14ac:dyDescent="0.4">
      <c r="C179" s="112"/>
      <c r="D179" s="112"/>
      <c r="E179" s="112"/>
      <c r="F179" s="112"/>
      <c r="G179" s="112"/>
      <c r="H179" s="112"/>
      <c r="I179" s="99"/>
      <c r="J179" s="99"/>
      <c r="K179" s="99"/>
      <c r="L179" s="99"/>
      <c r="M179" s="99"/>
      <c r="N179" s="99"/>
    </row>
    <row r="180" spans="3:14" ht="12.75" customHeight="1" x14ac:dyDescent="0.4">
      <c r="C180" s="112"/>
      <c r="D180" s="112"/>
      <c r="E180" s="112"/>
      <c r="F180" s="112"/>
      <c r="G180" s="112"/>
      <c r="H180" s="112"/>
      <c r="I180" s="99"/>
      <c r="J180" s="99"/>
      <c r="K180" s="99"/>
      <c r="L180" s="99"/>
      <c r="M180" s="99"/>
      <c r="N180" s="99"/>
    </row>
    <row r="181" spans="3:14" ht="12.75" customHeight="1" x14ac:dyDescent="0.4">
      <c r="C181" s="112"/>
      <c r="D181" s="112"/>
      <c r="E181" s="112"/>
      <c r="F181" s="112"/>
      <c r="G181" s="112"/>
      <c r="H181" s="112"/>
      <c r="I181" s="99"/>
      <c r="J181" s="99"/>
      <c r="K181" s="99"/>
      <c r="L181" s="99"/>
      <c r="M181" s="99"/>
      <c r="N181" s="99"/>
    </row>
    <row r="182" spans="3:14" ht="12.75" customHeight="1" x14ac:dyDescent="0.4">
      <c r="C182" s="112"/>
      <c r="D182" s="112"/>
      <c r="E182" s="112"/>
      <c r="F182" s="112"/>
      <c r="G182" s="112"/>
      <c r="H182" s="112"/>
      <c r="I182" s="99"/>
      <c r="J182" s="99"/>
      <c r="K182" s="99"/>
      <c r="L182" s="99"/>
      <c r="M182" s="99"/>
      <c r="N182" s="99"/>
    </row>
    <row r="183" spans="3:14" ht="12.75" customHeight="1" x14ac:dyDescent="0.4">
      <c r="C183" s="112"/>
      <c r="D183" s="112"/>
      <c r="E183" s="112"/>
      <c r="F183" s="112"/>
      <c r="G183" s="112"/>
      <c r="H183" s="112"/>
      <c r="I183" s="99"/>
      <c r="J183" s="99"/>
      <c r="K183" s="99"/>
      <c r="L183" s="99"/>
      <c r="M183" s="99"/>
      <c r="N183" s="99"/>
    </row>
    <row r="184" spans="3:14" ht="12.75" customHeight="1" x14ac:dyDescent="0.4">
      <c r="C184" s="112"/>
      <c r="D184" s="112"/>
      <c r="E184" s="112"/>
      <c r="F184" s="112"/>
      <c r="G184" s="112"/>
      <c r="H184" s="112"/>
      <c r="I184" s="99"/>
      <c r="J184" s="99"/>
      <c r="K184" s="99"/>
      <c r="L184" s="99"/>
      <c r="M184" s="99"/>
      <c r="N184" s="99"/>
    </row>
    <row r="185" spans="3:14" ht="12.75" customHeight="1" x14ac:dyDescent="0.4">
      <c r="C185" s="112"/>
      <c r="D185" s="112"/>
      <c r="E185" s="112"/>
      <c r="F185" s="112"/>
      <c r="G185" s="112"/>
      <c r="H185" s="112"/>
      <c r="I185" s="99"/>
      <c r="J185" s="99"/>
      <c r="K185" s="99"/>
      <c r="L185" s="99"/>
      <c r="M185" s="99"/>
      <c r="N185" s="99"/>
    </row>
    <row r="186" spans="3:14" ht="12.75" customHeight="1" x14ac:dyDescent="0.4">
      <c r="C186" s="112"/>
      <c r="D186" s="112"/>
      <c r="E186" s="112"/>
      <c r="F186" s="112"/>
      <c r="G186" s="112"/>
      <c r="H186" s="112"/>
      <c r="I186" s="99"/>
      <c r="J186" s="99"/>
      <c r="K186" s="99"/>
      <c r="L186" s="99"/>
      <c r="M186" s="99"/>
      <c r="N186" s="99"/>
    </row>
    <row r="187" spans="3:14" ht="12.75" customHeight="1" x14ac:dyDescent="0.4">
      <c r="C187" s="112"/>
      <c r="D187" s="112"/>
      <c r="E187" s="112"/>
      <c r="F187" s="112"/>
      <c r="G187" s="112"/>
      <c r="H187" s="112"/>
      <c r="I187" s="99"/>
      <c r="J187" s="99"/>
      <c r="K187" s="99"/>
      <c r="L187" s="99"/>
      <c r="M187" s="99"/>
      <c r="N187" s="99"/>
    </row>
    <row r="188" spans="3:14" ht="12.75" customHeight="1" x14ac:dyDescent="0.4">
      <c r="C188" s="112"/>
      <c r="D188" s="112"/>
      <c r="E188" s="112"/>
      <c r="F188" s="112"/>
      <c r="G188" s="112"/>
      <c r="H188" s="112"/>
      <c r="I188" s="99"/>
      <c r="J188" s="99"/>
      <c r="K188" s="99"/>
      <c r="L188" s="99"/>
      <c r="M188" s="99"/>
      <c r="N188" s="99"/>
    </row>
    <row r="189" spans="3:14" ht="12.75" customHeight="1" x14ac:dyDescent="0.4">
      <c r="C189" s="112"/>
      <c r="D189" s="112"/>
      <c r="E189" s="112"/>
      <c r="F189" s="112"/>
      <c r="G189" s="112"/>
      <c r="H189" s="112"/>
      <c r="I189" s="99"/>
      <c r="J189" s="99"/>
      <c r="K189" s="99"/>
      <c r="L189" s="99"/>
      <c r="M189" s="99"/>
      <c r="N189" s="99"/>
    </row>
    <row r="190" spans="3:14" ht="12.75" customHeight="1" x14ac:dyDescent="0.4">
      <c r="C190" s="112"/>
      <c r="D190" s="112"/>
      <c r="E190" s="112"/>
      <c r="F190" s="112"/>
      <c r="G190" s="112"/>
      <c r="H190" s="112"/>
      <c r="I190" s="99"/>
      <c r="J190" s="99"/>
      <c r="K190" s="99"/>
      <c r="L190" s="99"/>
      <c r="M190" s="99"/>
      <c r="N190" s="99"/>
    </row>
    <row r="191" spans="3:14" ht="12.75" customHeight="1" x14ac:dyDescent="0.4">
      <c r="C191" s="112"/>
      <c r="D191" s="112"/>
      <c r="E191" s="112"/>
      <c r="F191" s="112"/>
      <c r="G191" s="112"/>
      <c r="H191" s="112"/>
      <c r="I191" s="99"/>
      <c r="J191" s="99"/>
      <c r="K191" s="99"/>
      <c r="L191" s="99"/>
      <c r="M191" s="99"/>
      <c r="N191" s="99"/>
    </row>
    <row r="192" spans="3:14" x14ac:dyDescent="0.4">
      <c r="C192" s="160" t="s">
        <v>192</v>
      </c>
      <c r="D192" s="161"/>
      <c r="E192" s="161"/>
      <c r="F192" s="161"/>
      <c r="G192" s="161"/>
      <c r="H192" s="161"/>
      <c r="I192" s="161"/>
      <c r="J192" s="161"/>
      <c r="K192" s="161"/>
      <c r="L192" s="161"/>
      <c r="M192" s="161"/>
      <c r="N192" s="161"/>
    </row>
    <row r="193" spans="3:14" ht="38.25" customHeight="1" x14ac:dyDescent="0.4">
      <c r="C193" s="159" t="s">
        <v>193</v>
      </c>
      <c r="D193" s="155"/>
      <c r="E193" s="155"/>
      <c r="F193" s="155"/>
      <c r="G193" s="155"/>
      <c r="H193" s="155"/>
      <c r="I193" s="155"/>
      <c r="J193" s="155"/>
      <c r="K193" s="155"/>
      <c r="L193" s="155"/>
      <c r="M193" s="155"/>
      <c r="N193" s="155"/>
    </row>
    <row r="194" spans="3:14" x14ac:dyDescent="0.4">
      <c r="C194" s="99"/>
      <c r="D194" s="99"/>
      <c r="E194" s="99"/>
      <c r="F194" s="99"/>
      <c r="G194" s="99"/>
      <c r="H194" s="99"/>
      <c r="I194" s="99"/>
      <c r="J194" s="99"/>
      <c r="K194" s="99"/>
      <c r="L194" s="99"/>
      <c r="M194" s="99"/>
      <c r="N194" s="99"/>
    </row>
    <row r="195" spans="3:14" x14ac:dyDescent="0.4">
      <c r="C195" s="154" t="s">
        <v>194</v>
      </c>
      <c r="D195" s="155"/>
      <c r="E195" s="155"/>
      <c r="F195" s="155"/>
      <c r="G195" s="155"/>
      <c r="H195" s="155"/>
      <c r="I195" s="155"/>
      <c r="J195" s="155"/>
      <c r="K195" s="155"/>
      <c r="L195" s="155"/>
      <c r="M195" s="155"/>
      <c r="N195" s="155"/>
    </row>
    <row r="196" spans="3:14" x14ac:dyDescent="0.4">
      <c r="C196" s="154" t="s">
        <v>195</v>
      </c>
      <c r="D196" s="155"/>
      <c r="E196" s="155"/>
      <c r="F196" s="155"/>
      <c r="G196" s="155"/>
      <c r="H196" s="155"/>
      <c r="I196" s="155"/>
      <c r="J196" s="155"/>
      <c r="K196" s="155"/>
      <c r="L196" s="155"/>
      <c r="M196" s="155"/>
      <c r="N196" s="155"/>
    </row>
    <row r="197" spans="3:14" x14ac:dyDescent="0.4">
      <c r="C197" s="154" t="s">
        <v>196</v>
      </c>
      <c r="D197" s="155"/>
      <c r="E197" s="155"/>
      <c r="F197" s="155"/>
      <c r="G197" s="155"/>
      <c r="H197" s="155"/>
      <c r="I197" s="155"/>
      <c r="J197" s="155"/>
      <c r="K197" s="155"/>
      <c r="L197" s="155"/>
      <c r="M197" s="155"/>
      <c r="N197" s="155"/>
    </row>
    <row r="198" spans="3:14" ht="31.5" customHeight="1" x14ac:dyDescent="0.4">
      <c r="C198" s="154" t="s">
        <v>197</v>
      </c>
      <c r="D198" s="155"/>
      <c r="E198" s="155"/>
      <c r="F198" s="155"/>
      <c r="G198" s="155"/>
      <c r="H198" s="155"/>
      <c r="I198" s="155"/>
      <c r="J198" s="155"/>
      <c r="K198" s="155"/>
      <c r="L198" s="155"/>
      <c r="M198" s="155"/>
      <c r="N198" s="155"/>
    </row>
    <row r="199" spans="3:14" x14ac:dyDescent="0.4">
      <c r="C199" s="154" t="s">
        <v>198</v>
      </c>
      <c r="D199" s="155"/>
      <c r="E199" s="155"/>
      <c r="F199" s="155"/>
      <c r="G199" s="155"/>
      <c r="H199" s="155"/>
      <c r="I199" s="155"/>
      <c r="J199" s="155"/>
      <c r="K199" s="155"/>
      <c r="L199" s="155"/>
      <c r="M199" s="155"/>
      <c r="N199" s="155"/>
    </row>
    <row r="200" spans="3:14" x14ac:dyDescent="0.4">
      <c r="C200" s="154" t="s">
        <v>199</v>
      </c>
      <c r="D200" s="155"/>
      <c r="E200" s="155"/>
      <c r="F200" s="155"/>
      <c r="G200" s="155"/>
      <c r="H200" s="155"/>
      <c r="I200" s="155"/>
      <c r="J200" s="155"/>
      <c r="K200" s="155"/>
      <c r="L200" s="155"/>
      <c r="M200" s="155"/>
      <c r="N200" s="155"/>
    </row>
    <row r="201" spans="3:14" x14ac:dyDescent="0.4">
      <c r="C201" s="154" t="s">
        <v>200</v>
      </c>
      <c r="D201" s="155"/>
      <c r="E201" s="155"/>
      <c r="F201" s="155"/>
      <c r="G201" s="155"/>
      <c r="H201" s="155"/>
      <c r="I201" s="155"/>
      <c r="J201" s="155"/>
      <c r="K201" s="155"/>
      <c r="L201" s="155"/>
      <c r="M201" s="155"/>
      <c r="N201" s="155"/>
    </row>
    <row r="202" spans="3:14" x14ac:dyDescent="0.4">
      <c r="C202" s="99"/>
      <c r="D202" s="99"/>
      <c r="E202" s="99"/>
      <c r="F202" s="99"/>
      <c r="G202" s="99"/>
      <c r="H202" s="99"/>
      <c r="I202" s="99"/>
      <c r="J202" s="99"/>
      <c r="K202" s="99"/>
      <c r="L202" s="99"/>
      <c r="M202" s="99"/>
      <c r="N202" s="99"/>
    </row>
    <row r="203" spans="3:14" ht="61.5" customHeight="1" x14ac:dyDescent="0.4">
      <c r="C203" s="154" t="s">
        <v>201</v>
      </c>
      <c r="D203" s="155"/>
      <c r="E203" s="155"/>
      <c r="F203" s="155"/>
      <c r="G203" s="155"/>
      <c r="H203" s="155"/>
      <c r="I203" s="155"/>
      <c r="J203" s="155"/>
      <c r="K203" s="155"/>
      <c r="L203" s="155"/>
      <c r="M203" s="155"/>
      <c r="N203" s="155"/>
    </row>
    <row r="204" spans="3:14" ht="12.75" customHeight="1" x14ac:dyDescent="0.4">
      <c r="C204" s="100"/>
      <c r="D204" s="99"/>
      <c r="E204" s="99"/>
      <c r="F204" s="99"/>
      <c r="G204" s="99"/>
      <c r="H204" s="99"/>
      <c r="I204" s="99"/>
      <c r="J204" s="99"/>
      <c r="K204" s="99"/>
      <c r="L204" s="99"/>
      <c r="M204" s="99"/>
      <c r="N204" s="99"/>
    </row>
    <row r="205" spans="3:14" ht="12.75" customHeight="1" x14ac:dyDescent="0.4">
      <c r="C205" s="110"/>
      <c r="D205" s="110"/>
      <c r="E205" s="111" t="s">
        <v>175</v>
      </c>
      <c r="F205" s="111" t="s">
        <v>183</v>
      </c>
      <c r="G205" s="111" t="s">
        <v>185</v>
      </c>
      <c r="H205" s="110"/>
      <c r="I205" s="110"/>
      <c r="J205" s="112"/>
      <c r="K205" s="99"/>
      <c r="L205" s="99"/>
      <c r="M205" s="99"/>
      <c r="N205" s="99"/>
    </row>
    <row r="206" spans="3:14" ht="12.75" customHeight="1" x14ac:dyDescent="0.4">
      <c r="C206" s="110"/>
      <c r="D206" s="110" t="s">
        <v>176</v>
      </c>
      <c r="E206" s="113">
        <v>20000</v>
      </c>
      <c r="F206" s="113">
        <v>40000</v>
      </c>
      <c r="G206" s="113">
        <v>60000</v>
      </c>
      <c r="H206" s="110"/>
      <c r="I206" s="110"/>
      <c r="J206" s="112"/>
      <c r="K206" s="99"/>
      <c r="L206" s="99"/>
      <c r="M206" s="99"/>
      <c r="N206" s="99"/>
    </row>
    <row r="207" spans="3:14" ht="12.75" customHeight="1" x14ac:dyDescent="0.4">
      <c r="C207" s="110"/>
      <c r="D207" s="110" t="s">
        <v>177</v>
      </c>
      <c r="E207" s="114">
        <v>1.5</v>
      </c>
      <c r="F207" s="114">
        <v>1.2</v>
      </c>
      <c r="G207" s="114">
        <v>1</v>
      </c>
      <c r="H207" s="110"/>
      <c r="I207" s="110"/>
      <c r="J207" s="112"/>
      <c r="K207" s="99"/>
      <c r="L207" s="99"/>
      <c r="M207" s="99"/>
      <c r="N207" s="99"/>
    </row>
    <row r="208" spans="3:14" ht="12.75" customHeight="1" x14ac:dyDescent="0.4">
      <c r="C208" s="110"/>
      <c r="D208" s="110" t="s">
        <v>191</v>
      </c>
      <c r="E208" s="114">
        <v>2</v>
      </c>
      <c r="F208" s="114">
        <v>2</v>
      </c>
      <c r="G208" s="114">
        <v>2</v>
      </c>
      <c r="H208" s="110"/>
      <c r="I208" s="110"/>
      <c r="J208" s="112"/>
      <c r="K208" s="99"/>
      <c r="L208" s="99"/>
      <c r="M208" s="99"/>
      <c r="N208" s="99"/>
    </row>
    <row r="209" spans="3:14" ht="12.75" customHeight="1" x14ac:dyDescent="0.4">
      <c r="C209" s="110"/>
      <c r="D209" s="118" t="s">
        <v>202</v>
      </c>
      <c r="E209" s="111"/>
      <c r="F209" s="111"/>
      <c r="G209" s="111"/>
      <c r="H209" s="111"/>
      <c r="I209" s="111"/>
      <c r="J209" s="112"/>
      <c r="K209" s="99"/>
      <c r="L209" s="99"/>
      <c r="M209" s="99"/>
      <c r="N209" s="99"/>
    </row>
    <row r="210" spans="3:14" ht="12.75" customHeight="1" thickBot="1" x14ac:dyDescent="0.45">
      <c r="C210" s="110"/>
      <c r="D210" s="119" t="s">
        <v>203</v>
      </c>
      <c r="E210" s="116" t="s">
        <v>36</v>
      </c>
      <c r="F210" s="116" t="s">
        <v>204</v>
      </c>
      <c r="G210" s="116" t="s">
        <v>205</v>
      </c>
      <c r="H210" s="116" t="s">
        <v>206</v>
      </c>
      <c r="I210" s="116" t="s">
        <v>207</v>
      </c>
      <c r="J210" s="112"/>
      <c r="K210" s="99"/>
      <c r="L210" s="99"/>
      <c r="M210" s="99"/>
      <c r="N210" s="99"/>
    </row>
    <row r="211" spans="3:14" ht="12.75" customHeight="1" thickBot="1" x14ac:dyDescent="0.45">
      <c r="C211" s="120" t="s">
        <v>175</v>
      </c>
      <c r="D211" s="121">
        <v>120000</v>
      </c>
      <c r="E211" s="122">
        <f>D211*E208</f>
        <v>240000</v>
      </c>
      <c r="F211" s="122">
        <f>E206</f>
        <v>20000</v>
      </c>
      <c r="G211" s="122">
        <f>D211*E207</f>
        <v>180000</v>
      </c>
      <c r="H211" s="122">
        <f t="shared" ref="H211:H216" si="18">E211-F211-G211</f>
        <v>40000</v>
      </c>
      <c r="I211" s="123">
        <f>D211*($E$208-$E$207)/(D211*($E$208-$E$207)-$F$211)</f>
        <v>1.5</v>
      </c>
      <c r="J211" s="112"/>
      <c r="K211" s="99"/>
      <c r="L211" s="99"/>
      <c r="M211" s="99"/>
      <c r="N211" s="99"/>
    </row>
    <row r="212" spans="3:14" ht="12.75" customHeight="1" thickBot="1" x14ac:dyDescent="0.45">
      <c r="C212" s="120" t="s">
        <v>175</v>
      </c>
      <c r="D212" s="124">
        <v>200000</v>
      </c>
      <c r="E212" s="125">
        <f>D212*E208</f>
        <v>400000</v>
      </c>
      <c r="F212" s="125">
        <f>E206</f>
        <v>20000</v>
      </c>
      <c r="G212" s="125">
        <f>D212*E207</f>
        <v>300000</v>
      </c>
      <c r="H212" s="125">
        <f t="shared" si="18"/>
        <v>80000</v>
      </c>
      <c r="I212" s="126">
        <f>D212*($E$208-$E$207)/(D212*($E$208-$E$207)-$F$211)</f>
        <v>1.25</v>
      </c>
      <c r="J212" s="112"/>
      <c r="K212" s="99"/>
      <c r="L212" s="99"/>
      <c r="M212" s="99"/>
      <c r="N212" s="99"/>
    </row>
    <row r="213" spans="3:14" ht="12.75" customHeight="1" thickBot="1" x14ac:dyDescent="0.45">
      <c r="C213" s="120" t="s">
        <v>183</v>
      </c>
      <c r="D213" s="121">
        <v>120000</v>
      </c>
      <c r="E213" s="122">
        <f>D213*F208</f>
        <v>240000</v>
      </c>
      <c r="F213" s="122">
        <f>F206</f>
        <v>40000</v>
      </c>
      <c r="G213" s="122">
        <f>D213*F207</f>
        <v>144000</v>
      </c>
      <c r="H213" s="122">
        <f t="shared" si="18"/>
        <v>56000</v>
      </c>
      <c r="I213" s="123">
        <f>D213*($F$208-$F$207)/(D213*($F$208-$F$207)-F213)</f>
        <v>1.7142857142857142</v>
      </c>
      <c r="J213" s="112"/>
      <c r="K213" s="99"/>
      <c r="L213" s="99"/>
      <c r="M213" s="99"/>
      <c r="N213" s="99"/>
    </row>
    <row r="214" spans="3:14" ht="12.75" customHeight="1" thickBot="1" x14ac:dyDescent="0.45">
      <c r="C214" s="120" t="s">
        <v>183</v>
      </c>
      <c r="D214" s="124">
        <v>200000</v>
      </c>
      <c r="E214" s="125">
        <f>D214*F208</f>
        <v>400000</v>
      </c>
      <c r="F214" s="125">
        <f>F206</f>
        <v>40000</v>
      </c>
      <c r="G214" s="125">
        <f>D214*F207</f>
        <v>240000</v>
      </c>
      <c r="H214" s="125">
        <f t="shared" si="18"/>
        <v>120000</v>
      </c>
      <c r="I214" s="126">
        <f>D214*($F$208-$F$207)/(D214*($F$208-$F$207)-F214)</f>
        <v>1.3333333333333333</v>
      </c>
      <c r="J214" s="112"/>
      <c r="K214" s="99"/>
      <c r="L214" s="99"/>
      <c r="M214" s="99"/>
      <c r="N214" s="99"/>
    </row>
    <row r="215" spans="3:14" ht="12.75" customHeight="1" thickBot="1" x14ac:dyDescent="0.45">
      <c r="C215" s="120" t="s">
        <v>185</v>
      </c>
      <c r="D215" s="121">
        <v>120000</v>
      </c>
      <c r="E215" s="122">
        <f>D215*G208</f>
        <v>240000</v>
      </c>
      <c r="F215" s="122">
        <f>G206</f>
        <v>60000</v>
      </c>
      <c r="G215" s="122">
        <f>D215*G207</f>
        <v>120000</v>
      </c>
      <c r="H215" s="122">
        <f t="shared" si="18"/>
        <v>60000</v>
      </c>
      <c r="I215" s="123">
        <f>D215*($G$208-$G$207)/(D215*($G$208-$G$207)-F215)</f>
        <v>2</v>
      </c>
      <c r="J215" s="112"/>
      <c r="K215" s="99"/>
      <c r="L215" s="99"/>
      <c r="M215" s="99"/>
      <c r="N215" s="99"/>
    </row>
    <row r="216" spans="3:14" ht="12.75" customHeight="1" thickBot="1" x14ac:dyDescent="0.45">
      <c r="C216" s="120" t="s">
        <v>185</v>
      </c>
      <c r="D216" s="124">
        <v>200000</v>
      </c>
      <c r="E216" s="125">
        <f>D216*G208</f>
        <v>400000</v>
      </c>
      <c r="F216" s="125">
        <f>G206</f>
        <v>60000</v>
      </c>
      <c r="G216" s="125">
        <f>D216*G207</f>
        <v>200000</v>
      </c>
      <c r="H216" s="125">
        <f t="shared" si="18"/>
        <v>140000</v>
      </c>
      <c r="I216" s="126">
        <f>D216*($G$208-$G$207)/(D216*($G$208-$G$207)-F216)</f>
        <v>1.4285714285714286</v>
      </c>
      <c r="J216" s="112"/>
      <c r="K216" s="99"/>
      <c r="L216" s="99"/>
      <c r="M216" s="99"/>
      <c r="N216" s="99"/>
    </row>
    <row r="217" spans="3:14" ht="12.75" customHeight="1" x14ac:dyDescent="0.4">
      <c r="C217" s="112"/>
      <c r="D217" s="112"/>
      <c r="E217" s="112"/>
      <c r="F217" s="112"/>
      <c r="G217" s="112"/>
      <c r="H217" s="112"/>
      <c r="I217" s="112"/>
      <c r="J217" s="112"/>
      <c r="K217" s="99"/>
      <c r="L217" s="99"/>
      <c r="M217" s="99"/>
      <c r="N217" s="99"/>
    </row>
    <row r="218" spans="3:14" ht="12.75" customHeight="1" x14ac:dyDescent="0.4">
      <c r="C218" s="112"/>
      <c r="D218" s="112"/>
      <c r="E218" s="112"/>
      <c r="F218" s="112"/>
      <c r="G218" s="112"/>
      <c r="H218" s="112"/>
      <c r="I218" s="112"/>
      <c r="J218" s="112"/>
      <c r="K218" s="99"/>
      <c r="L218" s="99"/>
      <c r="M218" s="99"/>
      <c r="N218" s="99"/>
    </row>
    <row r="219" spans="3:14" ht="12.75" customHeight="1" x14ac:dyDescent="0.4">
      <c r="C219" s="112"/>
      <c r="D219" s="112"/>
      <c r="E219" s="112"/>
      <c r="F219" s="112"/>
      <c r="G219" s="112"/>
      <c r="H219" s="112"/>
      <c r="I219" s="112"/>
      <c r="J219" s="112"/>
      <c r="K219" s="99"/>
      <c r="L219" s="99"/>
      <c r="M219" s="99"/>
      <c r="N219" s="99"/>
    </row>
    <row r="220" spans="3:14" ht="12.75" customHeight="1" x14ac:dyDescent="0.4">
      <c r="C220" s="112"/>
      <c r="D220" s="112"/>
      <c r="E220" s="112"/>
      <c r="F220" s="112"/>
      <c r="G220" s="112"/>
      <c r="H220" s="112"/>
      <c r="I220" s="112"/>
      <c r="J220" s="112"/>
      <c r="K220" s="99"/>
      <c r="L220" s="99"/>
      <c r="M220" s="99"/>
      <c r="N220" s="99"/>
    </row>
    <row r="221" spans="3:14" ht="12.75" customHeight="1" x14ac:dyDescent="0.4">
      <c r="C221" s="112"/>
      <c r="D221" s="112"/>
      <c r="E221" s="112"/>
      <c r="F221" s="112"/>
      <c r="G221" s="112"/>
      <c r="H221" s="112"/>
      <c r="I221" s="112"/>
      <c r="J221" s="112"/>
      <c r="K221" s="99"/>
      <c r="L221" s="99"/>
      <c r="M221" s="99"/>
      <c r="N221" s="99"/>
    </row>
    <row r="222" spans="3:14" ht="12.75" customHeight="1" x14ac:dyDescent="0.4">
      <c r="C222" s="112"/>
      <c r="D222" s="112"/>
      <c r="E222" s="112"/>
      <c r="F222" s="112"/>
      <c r="G222" s="112"/>
      <c r="H222" s="112"/>
      <c r="I222" s="112"/>
      <c r="J222" s="112"/>
      <c r="K222" s="99"/>
      <c r="L222" s="99"/>
      <c r="M222" s="99"/>
      <c r="N222" s="99"/>
    </row>
    <row r="223" spans="3:14" ht="12.75" customHeight="1" x14ac:dyDescent="0.4">
      <c r="C223" s="112"/>
      <c r="D223" s="112"/>
      <c r="E223" s="112"/>
      <c r="F223" s="112"/>
      <c r="G223" s="112"/>
      <c r="H223" s="112"/>
      <c r="I223" s="112"/>
      <c r="J223" s="112"/>
      <c r="K223" s="99"/>
      <c r="L223" s="99"/>
      <c r="M223" s="99"/>
      <c r="N223" s="99"/>
    </row>
    <row r="224" spans="3:14" ht="12.75" customHeight="1" x14ac:dyDescent="0.4">
      <c r="C224" s="112"/>
      <c r="D224" s="112"/>
      <c r="E224" s="112"/>
      <c r="F224" s="112"/>
      <c r="G224" s="112"/>
      <c r="H224" s="112"/>
      <c r="I224" s="112"/>
      <c r="J224" s="112"/>
      <c r="K224" s="99"/>
      <c r="L224" s="99"/>
      <c r="M224" s="99"/>
      <c r="N224" s="99"/>
    </row>
    <row r="225" spans="3:14" ht="12.75" customHeight="1" x14ac:dyDescent="0.4">
      <c r="C225" s="112"/>
      <c r="D225" s="112"/>
      <c r="E225" s="112"/>
      <c r="F225" s="112"/>
      <c r="G225" s="112"/>
      <c r="H225" s="112"/>
      <c r="I225" s="112"/>
      <c r="J225" s="112"/>
      <c r="K225" s="99"/>
      <c r="L225" s="99"/>
      <c r="M225" s="99"/>
      <c r="N225" s="99"/>
    </row>
    <row r="226" spans="3:14" ht="12.75" customHeight="1" x14ac:dyDescent="0.4">
      <c r="C226" s="112"/>
      <c r="D226" s="112"/>
      <c r="E226" s="112"/>
      <c r="F226" s="112"/>
      <c r="G226" s="112"/>
      <c r="H226" s="112"/>
      <c r="I226" s="112"/>
      <c r="J226" s="112"/>
      <c r="K226" s="99"/>
      <c r="L226" s="99"/>
      <c r="M226" s="99"/>
      <c r="N226" s="99"/>
    </row>
    <row r="227" spans="3:14" ht="12.75" customHeight="1" x14ac:dyDescent="0.4">
      <c r="C227" s="112"/>
      <c r="D227" s="112"/>
      <c r="E227" s="112"/>
      <c r="F227" s="112"/>
      <c r="G227" s="112"/>
      <c r="H227" s="112"/>
      <c r="I227" s="112"/>
      <c r="J227" s="112"/>
      <c r="K227" s="99"/>
      <c r="L227" s="99"/>
      <c r="M227" s="99"/>
      <c r="N227" s="99"/>
    </row>
    <row r="228" spans="3:14" ht="12.75" customHeight="1" x14ac:dyDescent="0.4">
      <c r="C228" s="112"/>
      <c r="D228" s="112"/>
      <c r="E228" s="112"/>
      <c r="F228" s="112"/>
      <c r="G228" s="112"/>
      <c r="H228" s="112"/>
      <c r="I228" s="112"/>
      <c r="J228" s="112"/>
      <c r="K228" s="99"/>
      <c r="L228" s="99"/>
      <c r="M228" s="99"/>
      <c r="N228" s="99"/>
    </row>
    <row r="229" spans="3:14" ht="12.75" customHeight="1" x14ac:dyDescent="0.4">
      <c r="C229" s="112"/>
      <c r="D229" s="112"/>
      <c r="E229" s="112"/>
      <c r="F229" s="112"/>
      <c r="G229" s="112"/>
      <c r="H229" s="112"/>
      <c r="I229" s="112"/>
      <c r="J229" s="112"/>
      <c r="K229" s="99"/>
      <c r="L229" s="99"/>
      <c r="M229" s="99"/>
      <c r="N229" s="99"/>
    </row>
    <row r="230" spans="3:14" x14ac:dyDescent="0.4">
      <c r="C230" s="99"/>
      <c r="D230" s="99"/>
      <c r="E230" s="99"/>
      <c r="F230" s="99"/>
      <c r="G230" s="99"/>
      <c r="H230" s="99"/>
      <c r="I230" s="99"/>
      <c r="J230" s="99"/>
      <c r="K230" s="99"/>
      <c r="L230" s="99"/>
      <c r="M230" s="99"/>
      <c r="N230" s="99"/>
    </row>
    <row r="231" spans="3:14" ht="94.5" customHeight="1" x14ac:dyDescent="0.4">
      <c r="C231" s="154" t="s">
        <v>208</v>
      </c>
      <c r="D231" s="155"/>
      <c r="E231" s="155"/>
      <c r="F231" s="155"/>
      <c r="G231" s="155"/>
      <c r="H231" s="155"/>
      <c r="I231" s="155"/>
      <c r="J231" s="155"/>
      <c r="K231" s="155"/>
      <c r="L231" s="155"/>
      <c r="M231" s="155"/>
      <c r="N231" s="155"/>
    </row>
    <row r="232" spans="3:14" x14ac:dyDescent="0.4">
      <c r="C232" s="99"/>
      <c r="D232" s="99"/>
      <c r="E232" s="99"/>
      <c r="F232" s="99"/>
      <c r="G232" s="99"/>
      <c r="H232" s="99"/>
      <c r="I232" s="99"/>
      <c r="J232" s="99"/>
      <c r="K232" s="99"/>
      <c r="L232" s="99"/>
      <c r="M232" s="99"/>
      <c r="N232" s="99"/>
    </row>
    <row r="233" spans="3:14" ht="32.25" customHeight="1" x14ac:dyDescent="0.4">
      <c r="C233" s="154" t="s">
        <v>209</v>
      </c>
      <c r="D233" s="155"/>
      <c r="E233" s="155"/>
      <c r="F233" s="155"/>
      <c r="G233" s="155"/>
      <c r="H233" s="155"/>
      <c r="I233" s="155"/>
      <c r="J233" s="155"/>
      <c r="K233" s="155"/>
      <c r="L233" s="155"/>
      <c r="M233" s="155"/>
      <c r="N233" s="155"/>
    </row>
    <row r="234" spans="3:14" x14ac:dyDescent="0.4">
      <c r="C234" s="99"/>
      <c r="D234" s="99"/>
      <c r="E234" s="99"/>
      <c r="F234" s="99"/>
      <c r="G234" s="99"/>
      <c r="H234" s="99"/>
      <c r="I234" s="99"/>
      <c r="J234" s="99"/>
      <c r="K234" s="99"/>
      <c r="L234" s="99"/>
      <c r="M234" s="99"/>
      <c r="N234" s="99"/>
    </row>
    <row r="235" spans="3:14" ht="52.5" customHeight="1" x14ac:dyDescent="0.4">
      <c r="C235" s="154" t="s">
        <v>210</v>
      </c>
      <c r="D235" s="155"/>
      <c r="E235" s="155"/>
      <c r="F235" s="155"/>
      <c r="G235" s="155"/>
      <c r="H235" s="155"/>
      <c r="I235" s="155"/>
      <c r="J235" s="155"/>
      <c r="K235" s="155"/>
      <c r="L235" s="155"/>
      <c r="M235" s="155"/>
      <c r="N235" s="155"/>
    </row>
    <row r="236" spans="3:14" ht="12.75" customHeight="1" x14ac:dyDescent="0.4">
      <c r="C236" s="100"/>
      <c r="D236" s="99"/>
      <c r="E236" s="99"/>
      <c r="F236" s="99"/>
      <c r="G236" s="99"/>
      <c r="H236" s="99"/>
      <c r="I236" s="99"/>
      <c r="J236" s="99"/>
      <c r="K236" s="99"/>
      <c r="L236" s="99"/>
      <c r="M236" s="99"/>
      <c r="N236" s="99"/>
    </row>
    <row r="237" spans="3:14" ht="12.75" customHeight="1" x14ac:dyDescent="0.4">
      <c r="C237" s="110"/>
      <c r="D237" s="110"/>
      <c r="E237" s="110" t="s">
        <v>175</v>
      </c>
      <c r="F237" s="110" t="s">
        <v>183</v>
      </c>
      <c r="G237" s="110" t="s">
        <v>185</v>
      </c>
      <c r="H237" s="110"/>
      <c r="I237" s="110"/>
      <c r="J237" s="112"/>
      <c r="K237" s="99"/>
      <c r="L237" s="99"/>
      <c r="M237" s="99"/>
      <c r="N237" s="99"/>
    </row>
    <row r="238" spans="3:14" ht="12.75" customHeight="1" x14ac:dyDescent="0.4">
      <c r="C238" s="110"/>
      <c r="D238" s="110" t="s">
        <v>176</v>
      </c>
      <c r="E238" s="113">
        <v>20000</v>
      </c>
      <c r="F238" s="113">
        <v>40000</v>
      </c>
      <c r="G238" s="113">
        <v>60000</v>
      </c>
      <c r="H238" s="110"/>
      <c r="I238" s="110"/>
      <c r="J238" s="112"/>
      <c r="K238" s="99"/>
      <c r="L238" s="99"/>
      <c r="M238" s="99"/>
      <c r="N238" s="99"/>
    </row>
    <row r="239" spans="3:14" ht="12.75" customHeight="1" x14ac:dyDescent="0.4">
      <c r="C239" s="110"/>
      <c r="D239" s="110" t="s">
        <v>177</v>
      </c>
      <c r="E239" s="114">
        <v>1.5</v>
      </c>
      <c r="F239" s="114">
        <v>1.2</v>
      </c>
      <c r="G239" s="114">
        <v>1</v>
      </c>
      <c r="H239" s="110"/>
      <c r="I239" s="110"/>
      <c r="J239" s="112"/>
      <c r="K239" s="99"/>
      <c r="L239" s="99"/>
      <c r="M239" s="99"/>
      <c r="N239" s="99"/>
    </row>
    <row r="240" spans="3:14" ht="12.75" customHeight="1" x14ac:dyDescent="0.4">
      <c r="C240" s="110"/>
      <c r="D240" s="110" t="s">
        <v>191</v>
      </c>
      <c r="E240" s="114">
        <v>2</v>
      </c>
      <c r="F240" s="114">
        <v>2</v>
      </c>
      <c r="G240" s="114">
        <v>2</v>
      </c>
      <c r="H240" s="110"/>
      <c r="I240" s="110"/>
      <c r="J240" s="112"/>
      <c r="K240" s="99"/>
      <c r="L240" s="99"/>
      <c r="M240" s="99"/>
      <c r="N240" s="99"/>
    </row>
    <row r="241" spans="3:14" ht="12.75" customHeight="1" x14ac:dyDescent="0.4">
      <c r="C241" s="110"/>
      <c r="D241" s="116" t="s">
        <v>202</v>
      </c>
      <c r="E241" s="110"/>
      <c r="F241" s="110"/>
      <c r="G241" s="110"/>
      <c r="H241" s="110"/>
      <c r="I241" s="110"/>
      <c r="J241" s="112"/>
      <c r="K241" s="99"/>
      <c r="L241" s="99"/>
      <c r="M241" s="99"/>
      <c r="N241" s="99"/>
    </row>
    <row r="242" spans="3:14" ht="12.75" customHeight="1" thickBot="1" x14ac:dyDescent="0.45">
      <c r="C242" s="110"/>
      <c r="D242" s="119" t="s">
        <v>211</v>
      </c>
      <c r="E242" s="116" t="s">
        <v>36</v>
      </c>
      <c r="F242" s="116" t="s">
        <v>204</v>
      </c>
      <c r="G242" s="116" t="s">
        <v>205</v>
      </c>
      <c r="H242" s="116" t="s">
        <v>206</v>
      </c>
      <c r="I242" s="116" t="s">
        <v>207</v>
      </c>
      <c r="J242" s="112"/>
      <c r="K242" s="99"/>
      <c r="L242" s="99"/>
      <c r="M242" s="99"/>
      <c r="N242" s="99"/>
    </row>
    <row r="243" spans="3:14" ht="12.75" customHeight="1" thickBot="1" x14ac:dyDescent="0.45">
      <c r="C243" s="120" t="s">
        <v>175</v>
      </c>
      <c r="D243" s="121">
        <v>200000</v>
      </c>
      <c r="E243" s="122">
        <f>D243*E240</f>
        <v>400000</v>
      </c>
      <c r="F243" s="122">
        <f>E238</f>
        <v>20000</v>
      </c>
      <c r="G243" s="122">
        <f>D243*E239</f>
        <v>300000</v>
      </c>
      <c r="H243" s="122">
        <f t="shared" ref="H243:H248" si="19">E243-F243-G243</f>
        <v>80000</v>
      </c>
      <c r="I243" s="123">
        <f>D243*($E$240-$E$239)/(D243*($E$240-$E$239)-$F$243)</f>
        <v>1.25</v>
      </c>
      <c r="J243" s="112"/>
      <c r="K243" s="99"/>
      <c r="L243" s="99"/>
      <c r="M243" s="99"/>
      <c r="N243" s="99"/>
    </row>
    <row r="244" spans="3:14" ht="12.75" customHeight="1" thickBot="1" x14ac:dyDescent="0.45">
      <c r="C244" s="120" t="s">
        <v>175</v>
      </c>
      <c r="D244" s="124">
        <v>120000</v>
      </c>
      <c r="E244" s="125">
        <f>D244*E240</f>
        <v>240000</v>
      </c>
      <c r="F244" s="125">
        <f>E238</f>
        <v>20000</v>
      </c>
      <c r="G244" s="125">
        <f>D244*E239</f>
        <v>180000</v>
      </c>
      <c r="H244" s="125">
        <f t="shared" si="19"/>
        <v>40000</v>
      </c>
      <c r="I244" s="126">
        <f>D244*($E$240-$E$239)/(D244*($E$240-$E$239)-$F$243)</f>
        <v>1.5</v>
      </c>
      <c r="J244" s="112"/>
      <c r="K244" s="99"/>
      <c r="L244" s="99"/>
      <c r="M244" s="99"/>
      <c r="N244" s="99"/>
    </row>
    <row r="245" spans="3:14" ht="12.75" customHeight="1" thickBot="1" x14ac:dyDescent="0.45">
      <c r="C245" s="120" t="s">
        <v>183</v>
      </c>
      <c r="D245" s="121">
        <v>200000</v>
      </c>
      <c r="E245" s="122">
        <f>D245*F240</f>
        <v>400000</v>
      </c>
      <c r="F245" s="122">
        <f>F238</f>
        <v>40000</v>
      </c>
      <c r="G245" s="122">
        <f>D245*F239</f>
        <v>240000</v>
      </c>
      <c r="H245" s="122">
        <f t="shared" si="19"/>
        <v>120000</v>
      </c>
      <c r="I245" s="123">
        <f>D245*($F$240-$F$239)/(D245*($F$240-$F$239)-F245)</f>
        <v>1.3333333333333333</v>
      </c>
      <c r="J245" s="112"/>
      <c r="K245" s="99"/>
      <c r="L245" s="99"/>
      <c r="M245" s="99"/>
      <c r="N245" s="99"/>
    </row>
    <row r="246" spans="3:14" ht="12.75" customHeight="1" thickBot="1" x14ac:dyDescent="0.45">
      <c r="C246" s="120" t="s">
        <v>183</v>
      </c>
      <c r="D246" s="124">
        <v>120000</v>
      </c>
      <c r="E246" s="125">
        <f>D246*F240</f>
        <v>240000</v>
      </c>
      <c r="F246" s="125">
        <f>F238</f>
        <v>40000</v>
      </c>
      <c r="G246" s="125">
        <f>D246*F239</f>
        <v>144000</v>
      </c>
      <c r="H246" s="125">
        <f t="shared" si="19"/>
        <v>56000</v>
      </c>
      <c r="I246" s="126">
        <f>D246*($F$240-$F$239)/(D246*($F$240-$F$239)-F246)</f>
        <v>1.7142857142857142</v>
      </c>
      <c r="J246" s="112"/>
      <c r="K246" s="99"/>
      <c r="L246" s="99"/>
      <c r="M246" s="99"/>
      <c r="N246" s="99"/>
    </row>
    <row r="247" spans="3:14" ht="12.75" customHeight="1" thickBot="1" x14ac:dyDescent="0.45">
      <c r="C247" s="120" t="s">
        <v>185</v>
      </c>
      <c r="D247" s="121">
        <v>200000</v>
      </c>
      <c r="E247" s="122">
        <f>D247*G240</f>
        <v>400000</v>
      </c>
      <c r="F247" s="122">
        <f>G238</f>
        <v>60000</v>
      </c>
      <c r="G247" s="122">
        <f>D247*G239</f>
        <v>200000</v>
      </c>
      <c r="H247" s="122">
        <f t="shared" si="19"/>
        <v>140000</v>
      </c>
      <c r="I247" s="123">
        <f>D247*($G$240-$G$239)/(D247*($G$240-$G$239)-F247)</f>
        <v>1.4285714285714286</v>
      </c>
      <c r="J247" s="112"/>
      <c r="K247" s="99"/>
      <c r="L247" s="99"/>
      <c r="M247" s="99"/>
      <c r="N247" s="99"/>
    </row>
    <row r="248" spans="3:14" ht="12.75" customHeight="1" thickBot="1" x14ac:dyDescent="0.45">
      <c r="C248" s="127" t="s">
        <v>185</v>
      </c>
      <c r="D248" s="124">
        <v>120000</v>
      </c>
      <c r="E248" s="125">
        <f>D248*G240</f>
        <v>240000</v>
      </c>
      <c r="F248" s="125">
        <f>G238</f>
        <v>60000</v>
      </c>
      <c r="G248" s="125">
        <f>D248*G239</f>
        <v>120000</v>
      </c>
      <c r="H248" s="125">
        <f t="shared" si="19"/>
        <v>60000</v>
      </c>
      <c r="I248" s="126">
        <f>D248*($G$240-$G$239)/(D248*($G$240-$G$239)-F248)</f>
        <v>2</v>
      </c>
      <c r="J248" s="112"/>
      <c r="K248" s="99"/>
      <c r="L248" s="99"/>
      <c r="M248" s="99"/>
      <c r="N248" s="99"/>
    </row>
    <row r="249" spans="3:14" ht="12.75" customHeight="1" x14ac:dyDescent="0.4">
      <c r="C249" s="112"/>
      <c r="D249" s="112"/>
      <c r="E249" s="112"/>
      <c r="F249" s="112"/>
      <c r="G249" s="112"/>
      <c r="H249" s="112"/>
      <c r="I249" s="112"/>
      <c r="J249" s="112"/>
      <c r="K249" s="99"/>
      <c r="L249" s="99"/>
      <c r="M249" s="99"/>
      <c r="N249" s="99"/>
    </row>
    <row r="250" spans="3:14" ht="12.75" customHeight="1" x14ac:dyDescent="0.4">
      <c r="C250" s="112"/>
      <c r="D250" s="112"/>
      <c r="E250" s="112"/>
      <c r="F250" s="112"/>
      <c r="G250" s="112"/>
      <c r="H250" s="112"/>
      <c r="I250" s="112"/>
      <c r="J250" s="112"/>
      <c r="K250" s="99"/>
      <c r="L250" s="99"/>
      <c r="M250" s="99"/>
      <c r="N250" s="99"/>
    </row>
    <row r="251" spans="3:14" ht="12.75" customHeight="1" x14ac:dyDescent="0.4">
      <c r="C251" s="112"/>
      <c r="D251" s="112"/>
      <c r="E251" s="112"/>
      <c r="F251" s="112"/>
      <c r="G251" s="112"/>
      <c r="H251" s="112"/>
      <c r="I251" s="112"/>
      <c r="J251" s="112"/>
      <c r="K251" s="99"/>
      <c r="L251" s="99"/>
      <c r="M251" s="99"/>
      <c r="N251" s="99"/>
    </row>
    <row r="252" spans="3:14" ht="12.75" customHeight="1" x14ac:dyDescent="0.4">
      <c r="C252" s="112"/>
      <c r="D252" s="112"/>
      <c r="E252" s="112"/>
      <c r="F252" s="112"/>
      <c r="G252" s="112"/>
      <c r="H252" s="112"/>
      <c r="I252" s="112"/>
      <c r="J252" s="112"/>
      <c r="K252" s="99"/>
      <c r="L252" s="99"/>
      <c r="M252" s="99"/>
      <c r="N252" s="99"/>
    </row>
    <row r="253" spans="3:14" ht="12.75" customHeight="1" x14ac:dyDescent="0.4">
      <c r="C253" s="112"/>
      <c r="D253" s="112"/>
      <c r="E253" s="112"/>
      <c r="F253" s="112"/>
      <c r="G253" s="112"/>
      <c r="H253" s="112"/>
      <c r="I253" s="112"/>
      <c r="J253" s="112"/>
      <c r="K253" s="99"/>
      <c r="L253" s="99"/>
      <c r="M253" s="99"/>
      <c r="N253" s="99"/>
    </row>
    <row r="254" spans="3:14" ht="12.75" customHeight="1" x14ac:dyDescent="0.4">
      <c r="C254" s="112"/>
      <c r="D254" s="112"/>
      <c r="E254" s="112"/>
      <c r="F254" s="112"/>
      <c r="G254" s="112"/>
      <c r="H254" s="112"/>
      <c r="I254" s="112"/>
      <c r="J254" s="112"/>
      <c r="K254" s="99"/>
      <c r="L254" s="99"/>
      <c r="M254" s="99"/>
      <c r="N254" s="99"/>
    </row>
    <row r="255" spans="3:14" ht="12.75" customHeight="1" x14ac:dyDescent="0.4">
      <c r="C255" s="112"/>
      <c r="D255" s="112"/>
      <c r="E255" s="112"/>
      <c r="F255" s="112"/>
      <c r="G255" s="112"/>
      <c r="H255" s="112"/>
      <c r="I255" s="112"/>
      <c r="J255" s="112"/>
      <c r="K255" s="99"/>
      <c r="L255" s="99"/>
      <c r="M255" s="99"/>
      <c r="N255" s="99"/>
    </row>
    <row r="256" spans="3:14" ht="12.75" customHeight="1" x14ac:dyDescent="0.4">
      <c r="C256" s="112"/>
      <c r="D256" s="112"/>
      <c r="E256" s="112"/>
      <c r="F256" s="112"/>
      <c r="G256" s="112"/>
      <c r="H256" s="112"/>
      <c r="I256" s="112"/>
      <c r="J256" s="112"/>
      <c r="K256" s="99"/>
      <c r="L256" s="99"/>
      <c r="M256" s="99"/>
      <c r="N256" s="99"/>
    </row>
    <row r="257" spans="3:14" ht="12.75" customHeight="1" x14ac:dyDescent="0.4">
      <c r="C257" s="112"/>
      <c r="D257" s="112"/>
      <c r="E257" s="112"/>
      <c r="F257" s="112"/>
      <c r="G257" s="112"/>
      <c r="H257" s="112"/>
      <c r="I257" s="112"/>
      <c r="J257" s="112"/>
      <c r="K257" s="99"/>
      <c r="L257" s="99"/>
      <c r="M257" s="99"/>
      <c r="N257" s="99"/>
    </row>
    <row r="258" spans="3:14" ht="12.75" customHeight="1" x14ac:dyDescent="0.4">
      <c r="C258" s="112"/>
      <c r="D258" s="112"/>
      <c r="E258" s="112"/>
      <c r="F258" s="112"/>
      <c r="G258" s="112"/>
      <c r="H258" s="112"/>
      <c r="I258" s="112"/>
      <c r="J258" s="112"/>
      <c r="K258" s="99"/>
      <c r="L258" s="99"/>
      <c r="M258" s="99"/>
      <c r="N258" s="99"/>
    </row>
    <row r="259" spans="3:14" ht="12.75" customHeight="1" x14ac:dyDescent="0.4">
      <c r="C259" s="112"/>
      <c r="D259" s="112"/>
      <c r="E259" s="112"/>
      <c r="F259" s="112"/>
      <c r="G259" s="112"/>
      <c r="H259" s="112"/>
      <c r="I259" s="112"/>
      <c r="J259" s="112"/>
      <c r="K259" s="99"/>
      <c r="L259" s="99"/>
      <c r="M259" s="99"/>
      <c r="N259" s="99"/>
    </row>
    <row r="260" spans="3:14" x14ac:dyDescent="0.4">
      <c r="C260" s="99"/>
      <c r="D260" s="99"/>
      <c r="E260" s="99"/>
      <c r="F260" s="99"/>
      <c r="G260" s="99"/>
      <c r="H260" s="99"/>
      <c r="I260" s="99"/>
      <c r="J260" s="99"/>
      <c r="K260" s="99"/>
      <c r="L260" s="99"/>
      <c r="M260" s="99"/>
      <c r="N260" s="99"/>
    </row>
    <row r="261" spans="3:14" ht="78" customHeight="1" x14ac:dyDescent="0.4">
      <c r="C261" s="154" t="s">
        <v>212</v>
      </c>
      <c r="D261" s="155"/>
      <c r="E261" s="155"/>
      <c r="F261" s="155"/>
      <c r="G261" s="155"/>
      <c r="H261" s="155"/>
      <c r="I261" s="155"/>
      <c r="J261" s="155"/>
      <c r="K261" s="155"/>
      <c r="L261" s="155"/>
      <c r="M261" s="155"/>
      <c r="N261" s="155"/>
    </row>
    <row r="262" spans="3:14" x14ac:dyDescent="0.4">
      <c r="C262" s="99"/>
      <c r="D262" s="99"/>
      <c r="E262" s="99"/>
      <c r="F262" s="99"/>
      <c r="G262" s="99"/>
      <c r="H262" s="99"/>
      <c r="I262" s="99"/>
      <c r="J262" s="99"/>
      <c r="K262" s="99"/>
      <c r="L262" s="99"/>
      <c r="M262" s="99"/>
      <c r="N262" s="99"/>
    </row>
    <row r="263" spans="3:14" x14ac:dyDescent="0.4">
      <c r="C263" s="158" t="s">
        <v>213</v>
      </c>
      <c r="D263" s="155"/>
      <c r="E263" s="155"/>
      <c r="F263" s="155"/>
      <c r="G263" s="155"/>
      <c r="H263" s="155"/>
      <c r="I263" s="155"/>
      <c r="J263" s="155"/>
      <c r="K263" s="155"/>
      <c r="L263" s="155"/>
      <c r="M263" s="155"/>
      <c r="N263" s="155"/>
    </row>
    <row r="264" spans="3:14" ht="78.75" customHeight="1" x14ac:dyDescent="0.4">
      <c r="C264" s="154" t="s">
        <v>214</v>
      </c>
      <c r="D264" s="155"/>
      <c r="E264" s="155"/>
      <c r="F264" s="155"/>
      <c r="G264" s="155"/>
      <c r="H264" s="155"/>
      <c r="I264" s="155"/>
      <c r="J264" s="155"/>
      <c r="K264" s="155"/>
      <c r="L264" s="155"/>
      <c r="M264" s="155"/>
      <c r="N264" s="155"/>
    </row>
    <row r="265" spans="3:14" x14ac:dyDescent="0.4">
      <c r="C265" s="99"/>
      <c r="D265" s="99"/>
      <c r="E265" s="99"/>
      <c r="F265" s="99"/>
      <c r="G265" s="99"/>
      <c r="H265" s="99"/>
      <c r="I265" s="99"/>
      <c r="J265" s="99"/>
      <c r="K265" s="99"/>
      <c r="L265" s="99"/>
      <c r="M265" s="99"/>
      <c r="N265" s="99"/>
    </row>
    <row r="266" spans="3:14" ht="49.5" customHeight="1" x14ac:dyDescent="0.4">
      <c r="C266" s="154" t="s">
        <v>215</v>
      </c>
      <c r="D266" s="155"/>
      <c r="E266" s="155"/>
      <c r="F266" s="155"/>
      <c r="G266" s="155"/>
      <c r="H266" s="155"/>
      <c r="I266" s="155"/>
      <c r="J266" s="155"/>
      <c r="K266" s="155"/>
      <c r="L266" s="155"/>
      <c r="M266" s="155"/>
      <c r="N266" s="155"/>
    </row>
    <row r="267" spans="3:14" x14ac:dyDescent="0.4">
      <c r="C267" s="99"/>
      <c r="D267" s="99"/>
      <c r="E267" s="99"/>
      <c r="F267" s="99"/>
      <c r="G267" s="99"/>
      <c r="H267" s="99"/>
      <c r="I267" s="99"/>
      <c r="J267" s="99"/>
      <c r="K267" s="99"/>
      <c r="L267" s="99"/>
      <c r="M267" s="99"/>
      <c r="N267" s="99"/>
    </row>
    <row r="268" spans="3:14" ht="48.75" customHeight="1" x14ac:dyDescent="0.4">
      <c r="C268" s="154" t="s">
        <v>216</v>
      </c>
      <c r="D268" s="155"/>
      <c r="E268" s="155"/>
      <c r="F268" s="155"/>
      <c r="G268" s="155"/>
      <c r="H268" s="155"/>
      <c r="I268" s="155"/>
      <c r="J268" s="155"/>
      <c r="K268" s="155"/>
      <c r="L268" s="155"/>
      <c r="M268" s="155"/>
      <c r="N268" s="155"/>
    </row>
    <row r="269" spans="3:14" ht="12.75" customHeight="1" x14ac:dyDescent="0.4">
      <c r="C269" s="100"/>
      <c r="D269" s="99"/>
      <c r="E269" s="99"/>
      <c r="F269" s="99"/>
      <c r="G269" s="99"/>
      <c r="H269" s="99"/>
      <c r="I269" s="99"/>
      <c r="J269" s="99"/>
      <c r="K269" s="99"/>
      <c r="L269" s="99"/>
      <c r="M269" s="99"/>
      <c r="N269" s="99"/>
    </row>
    <row r="270" spans="3:14" ht="12.75" customHeight="1" x14ac:dyDescent="0.4">
      <c r="C270" s="110" t="s">
        <v>217</v>
      </c>
      <c r="D270" s="128">
        <v>20000</v>
      </c>
      <c r="E270" s="110" t="s">
        <v>218</v>
      </c>
      <c r="F270" s="129">
        <v>0.6</v>
      </c>
      <c r="G270" s="110"/>
      <c r="H270" s="110"/>
      <c r="I270" s="99"/>
      <c r="J270" s="99"/>
      <c r="K270" s="99"/>
      <c r="L270" s="99"/>
      <c r="M270" s="99"/>
      <c r="N270" s="99"/>
    </row>
    <row r="271" spans="3:14" ht="12.75" customHeight="1" x14ac:dyDescent="0.4">
      <c r="C271" s="110" t="s">
        <v>219</v>
      </c>
      <c r="D271" s="129">
        <v>2.2000000000000002</v>
      </c>
      <c r="E271" s="110" t="s">
        <v>220</v>
      </c>
      <c r="F271" s="130">
        <v>10000</v>
      </c>
      <c r="G271" s="110"/>
      <c r="H271" s="110"/>
      <c r="I271" s="99"/>
      <c r="J271" s="99"/>
      <c r="K271" s="99"/>
      <c r="L271" s="99"/>
      <c r="M271" s="99"/>
      <c r="N271" s="99"/>
    </row>
    <row r="272" spans="3:14" ht="12.75" customHeight="1" x14ac:dyDescent="0.4">
      <c r="C272" s="110"/>
      <c r="D272" s="110"/>
      <c r="E272" s="110" t="s">
        <v>69</v>
      </c>
      <c r="F272" s="130">
        <f>SUM(E277:E288)-SUM(G277:G288)</f>
        <v>202985.60000000009</v>
      </c>
      <c r="G272" s="110"/>
      <c r="H272" s="110"/>
      <c r="I272" s="99"/>
      <c r="J272" s="99"/>
      <c r="K272" s="99"/>
      <c r="L272" s="99"/>
      <c r="M272" s="99"/>
      <c r="N272" s="99"/>
    </row>
    <row r="273" spans="3:14" ht="12.75" customHeight="1" x14ac:dyDescent="0.4">
      <c r="C273" s="110"/>
      <c r="D273" s="130"/>
      <c r="E273" s="110" t="s">
        <v>207</v>
      </c>
      <c r="F273" s="131">
        <f>F272/(F272-SUM(F277:F288))</f>
        <v>2.4460340107199303</v>
      </c>
      <c r="G273" s="110"/>
      <c r="H273" s="110"/>
      <c r="I273" s="99"/>
      <c r="J273" s="99"/>
      <c r="K273" s="99"/>
      <c r="L273" s="99"/>
      <c r="M273" s="99"/>
      <c r="N273" s="99"/>
    </row>
    <row r="274" spans="3:14" ht="12.75" customHeight="1" x14ac:dyDescent="0.4">
      <c r="C274" s="110"/>
      <c r="D274" s="130"/>
      <c r="E274" s="110"/>
      <c r="F274" s="110"/>
      <c r="G274" s="110"/>
      <c r="H274" s="110"/>
      <c r="I274" s="99"/>
      <c r="J274" s="99"/>
      <c r="K274" s="99"/>
      <c r="L274" s="99"/>
      <c r="M274" s="99"/>
      <c r="N274" s="99"/>
    </row>
    <row r="275" spans="3:14" ht="12.75" customHeight="1" x14ac:dyDescent="0.4">
      <c r="C275" s="110"/>
      <c r="D275" s="111"/>
      <c r="E275" s="111"/>
      <c r="F275" s="111" t="s">
        <v>50</v>
      </c>
      <c r="G275" s="111" t="s">
        <v>51</v>
      </c>
      <c r="H275" s="111"/>
      <c r="I275" s="99"/>
      <c r="J275" s="99"/>
      <c r="K275" s="99"/>
      <c r="L275" s="99"/>
      <c r="M275" s="99"/>
      <c r="N275" s="99"/>
    </row>
    <row r="276" spans="3:14" ht="12.75" customHeight="1" x14ac:dyDescent="0.4">
      <c r="C276" s="110" t="s">
        <v>221</v>
      </c>
      <c r="D276" s="111" t="s">
        <v>222</v>
      </c>
      <c r="E276" s="111" t="s">
        <v>36</v>
      </c>
      <c r="F276" s="111" t="s">
        <v>223</v>
      </c>
      <c r="G276" s="111" t="s">
        <v>53</v>
      </c>
      <c r="H276" s="111" t="s">
        <v>206</v>
      </c>
      <c r="I276" s="99"/>
      <c r="J276" s="99"/>
      <c r="K276" s="99"/>
      <c r="L276" s="99"/>
      <c r="M276" s="99"/>
      <c r="N276" s="99"/>
    </row>
    <row r="277" spans="3:14" ht="12.75" customHeight="1" x14ac:dyDescent="0.4">
      <c r="C277" s="110" t="s">
        <v>224</v>
      </c>
      <c r="D277" s="132">
        <v>6582</v>
      </c>
      <c r="E277" s="130">
        <f t="shared" ref="E277:E288" si="20">D277*$D$271</f>
        <v>14480.400000000001</v>
      </c>
      <c r="F277" s="130">
        <f t="shared" ref="F277:F288" si="21">$F$271</f>
        <v>10000</v>
      </c>
      <c r="G277" s="130">
        <f t="shared" ref="G277:G288" si="22">$F$270*D277</f>
        <v>3949.2</v>
      </c>
      <c r="H277" s="113">
        <f t="shared" ref="H277:H288" si="23">E277-F277-G277</f>
        <v>531.20000000000164</v>
      </c>
      <c r="I277" s="99"/>
      <c r="J277" s="99"/>
      <c r="K277" s="99"/>
      <c r="L277" s="99"/>
      <c r="M277" s="99"/>
      <c r="N277" s="99"/>
    </row>
    <row r="278" spans="3:14" ht="12.75" customHeight="1" x14ac:dyDescent="0.4">
      <c r="C278" s="110" t="s">
        <v>225</v>
      </c>
      <c r="D278" s="132">
        <v>11121</v>
      </c>
      <c r="E278" s="130">
        <f t="shared" si="20"/>
        <v>24466.2</v>
      </c>
      <c r="F278" s="130">
        <f t="shared" si="21"/>
        <v>10000</v>
      </c>
      <c r="G278" s="130">
        <f t="shared" si="22"/>
        <v>6672.5999999999995</v>
      </c>
      <c r="H278" s="113">
        <f t="shared" si="23"/>
        <v>7793.6000000000013</v>
      </c>
      <c r="I278" s="99"/>
      <c r="J278" s="99"/>
      <c r="K278" s="99"/>
      <c r="L278" s="99"/>
      <c r="M278" s="99"/>
      <c r="N278" s="99"/>
    </row>
    <row r="279" spans="3:14" ht="12.75" customHeight="1" x14ac:dyDescent="0.4">
      <c r="C279" s="110" t="s">
        <v>226</v>
      </c>
      <c r="D279" s="132">
        <v>14178</v>
      </c>
      <c r="E279" s="130">
        <f t="shared" si="20"/>
        <v>31191.600000000002</v>
      </c>
      <c r="F279" s="130">
        <f t="shared" si="21"/>
        <v>10000</v>
      </c>
      <c r="G279" s="130">
        <f t="shared" si="22"/>
        <v>8506.7999999999993</v>
      </c>
      <c r="H279" s="113">
        <f t="shared" si="23"/>
        <v>12684.800000000003</v>
      </c>
      <c r="I279" s="99"/>
      <c r="J279" s="99"/>
      <c r="K279" s="99"/>
      <c r="L279" s="99"/>
      <c r="M279" s="99"/>
      <c r="N279" s="99"/>
    </row>
    <row r="280" spans="3:14" ht="12.75" customHeight="1" x14ac:dyDescent="0.4">
      <c r="C280" s="110" t="s">
        <v>227</v>
      </c>
      <c r="D280" s="132">
        <v>13692</v>
      </c>
      <c r="E280" s="130">
        <f t="shared" si="20"/>
        <v>30122.400000000001</v>
      </c>
      <c r="F280" s="130">
        <f t="shared" si="21"/>
        <v>10000</v>
      </c>
      <c r="G280" s="130">
        <f t="shared" si="22"/>
        <v>8215.1999999999989</v>
      </c>
      <c r="H280" s="113">
        <f t="shared" si="23"/>
        <v>11907.200000000003</v>
      </c>
      <c r="I280" s="99"/>
      <c r="J280" s="99"/>
      <c r="K280" s="99"/>
      <c r="L280" s="99"/>
      <c r="M280" s="99"/>
      <c r="N280" s="99"/>
    </row>
    <row r="281" spans="3:14" ht="12.75" customHeight="1" x14ac:dyDescent="0.4">
      <c r="C281" s="110" t="s">
        <v>121</v>
      </c>
      <c r="D281" s="132">
        <v>11597</v>
      </c>
      <c r="E281" s="130">
        <f t="shared" si="20"/>
        <v>25513.4</v>
      </c>
      <c r="F281" s="130">
        <f t="shared" si="21"/>
        <v>10000</v>
      </c>
      <c r="G281" s="130">
        <f t="shared" si="22"/>
        <v>6958.2</v>
      </c>
      <c r="H281" s="113">
        <f t="shared" si="23"/>
        <v>8555.2000000000007</v>
      </c>
      <c r="I281" s="99"/>
      <c r="J281" s="99"/>
      <c r="K281" s="99"/>
      <c r="L281" s="99"/>
      <c r="M281" s="99"/>
      <c r="N281" s="99"/>
    </row>
    <row r="282" spans="3:14" ht="12.75" customHeight="1" x14ac:dyDescent="0.4">
      <c r="C282" s="110" t="s">
        <v>228</v>
      </c>
      <c r="D282" s="132">
        <v>9599</v>
      </c>
      <c r="E282" s="130">
        <f t="shared" si="20"/>
        <v>21117.800000000003</v>
      </c>
      <c r="F282" s="130">
        <f t="shared" si="21"/>
        <v>10000</v>
      </c>
      <c r="G282" s="130">
        <f t="shared" si="22"/>
        <v>5759.4</v>
      </c>
      <c r="H282" s="113">
        <f t="shared" si="23"/>
        <v>5358.4000000000033</v>
      </c>
      <c r="I282" s="99"/>
      <c r="J282" s="99"/>
      <c r="K282" s="99"/>
      <c r="L282" s="99"/>
      <c r="M282" s="99"/>
      <c r="N282" s="99"/>
    </row>
    <row r="283" spans="3:14" ht="12.75" customHeight="1" x14ac:dyDescent="0.4">
      <c r="C283" s="110" t="s">
        <v>229</v>
      </c>
      <c r="D283" s="132">
        <v>9913</v>
      </c>
      <c r="E283" s="130">
        <f t="shared" si="20"/>
        <v>21808.600000000002</v>
      </c>
      <c r="F283" s="130">
        <f t="shared" si="21"/>
        <v>10000</v>
      </c>
      <c r="G283" s="130">
        <f t="shared" si="22"/>
        <v>5947.8</v>
      </c>
      <c r="H283" s="113">
        <f t="shared" si="23"/>
        <v>5860.800000000002</v>
      </c>
      <c r="I283" s="99"/>
      <c r="J283" s="99"/>
      <c r="K283" s="99"/>
      <c r="L283" s="99"/>
      <c r="M283" s="99"/>
      <c r="N283" s="99"/>
    </row>
    <row r="284" spans="3:14" ht="12.75" customHeight="1" x14ac:dyDescent="0.4">
      <c r="C284" s="110" t="s">
        <v>230</v>
      </c>
      <c r="D284" s="132">
        <v>10926</v>
      </c>
      <c r="E284" s="130">
        <f t="shared" si="20"/>
        <v>24037.200000000001</v>
      </c>
      <c r="F284" s="130">
        <f t="shared" si="21"/>
        <v>10000</v>
      </c>
      <c r="G284" s="130">
        <f t="shared" si="22"/>
        <v>6555.5999999999995</v>
      </c>
      <c r="H284" s="113">
        <f t="shared" si="23"/>
        <v>7481.6000000000013</v>
      </c>
      <c r="I284" s="99"/>
      <c r="J284" s="99"/>
      <c r="K284" s="99"/>
      <c r="L284" s="99"/>
      <c r="M284" s="99"/>
      <c r="N284" s="99"/>
    </row>
    <row r="285" spans="3:14" ht="12.75" customHeight="1" x14ac:dyDescent="0.4">
      <c r="C285" s="110" t="s">
        <v>231</v>
      </c>
      <c r="D285" s="132">
        <v>14349</v>
      </c>
      <c r="E285" s="130">
        <f t="shared" si="20"/>
        <v>31567.800000000003</v>
      </c>
      <c r="F285" s="130">
        <f t="shared" si="21"/>
        <v>10000</v>
      </c>
      <c r="G285" s="130">
        <f t="shared" si="22"/>
        <v>8609.4</v>
      </c>
      <c r="H285" s="113">
        <f t="shared" si="23"/>
        <v>12958.400000000003</v>
      </c>
      <c r="I285" s="99"/>
      <c r="J285" s="99"/>
      <c r="K285" s="99"/>
      <c r="L285" s="99"/>
      <c r="M285" s="99"/>
      <c r="N285" s="99"/>
    </row>
    <row r="286" spans="3:14" ht="12.75" customHeight="1" x14ac:dyDescent="0.4">
      <c r="C286" s="110" t="s">
        <v>232</v>
      </c>
      <c r="D286" s="132">
        <v>12965</v>
      </c>
      <c r="E286" s="130">
        <f t="shared" si="20"/>
        <v>28523.000000000004</v>
      </c>
      <c r="F286" s="130">
        <f t="shared" si="21"/>
        <v>10000</v>
      </c>
      <c r="G286" s="130">
        <f t="shared" si="22"/>
        <v>7779</v>
      </c>
      <c r="H286" s="113">
        <f t="shared" si="23"/>
        <v>10744.000000000004</v>
      </c>
      <c r="I286" s="99"/>
      <c r="J286" s="99"/>
      <c r="K286" s="99"/>
      <c r="L286" s="99"/>
      <c r="M286" s="99"/>
      <c r="N286" s="99"/>
    </row>
    <row r="287" spans="3:14" ht="12.75" customHeight="1" x14ac:dyDescent="0.4">
      <c r="C287" s="110" t="s">
        <v>233</v>
      </c>
      <c r="D287" s="132">
        <v>6972</v>
      </c>
      <c r="E287" s="130">
        <f t="shared" si="20"/>
        <v>15338.400000000001</v>
      </c>
      <c r="F287" s="130">
        <f t="shared" si="21"/>
        <v>10000</v>
      </c>
      <c r="G287" s="130">
        <f t="shared" si="22"/>
        <v>4183.2</v>
      </c>
      <c r="H287" s="113">
        <f t="shared" si="23"/>
        <v>1155.2000000000016</v>
      </c>
      <c r="I287" s="99"/>
      <c r="J287" s="99"/>
      <c r="K287" s="99"/>
      <c r="L287" s="99"/>
      <c r="M287" s="99"/>
      <c r="N287" s="99"/>
    </row>
    <row r="288" spans="3:14" ht="12.75" customHeight="1" x14ac:dyDescent="0.4">
      <c r="C288" s="110" t="s">
        <v>234</v>
      </c>
      <c r="D288" s="132">
        <v>4972</v>
      </c>
      <c r="E288" s="130">
        <f t="shared" si="20"/>
        <v>10938.400000000001</v>
      </c>
      <c r="F288" s="130">
        <f t="shared" si="21"/>
        <v>10000</v>
      </c>
      <c r="G288" s="130">
        <f t="shared" si="22"/>
        <v>2983.2</v>
      </c>
      <c r="H288" s="113">
        <f t="shared" si="23"/>
        <v>-2044.7999999999984</v>
      </c>
      <c r="I288" s="99"/>
      <c r="J288" s="99"/>
      <c r="K288" s="99"/>
      <c r="L288" s="99"/>
      <c r="M288" s="99"/>
      <c r="N288" s="99"/>
    </row>
    <row r="289" spans="3:14" ht="12.75" customHeight="1" x14ac:dyDescent="0.4">
      <c r="C289" s="110"/>
      <c r="D289" s="110"/>
      <c r="E289" s="110"/>
      <c r="F289" s="110"/>
      <c r="G289" s="110"/>
      <c r="H289" s="110"/>
      <c r="I289" s="99"/>
      <c r="J289" s="99"/>
      <c r="K289" s="99"/>
      <c r="L289" s="99"/>
      <c r="M289" s="99"/>
      <c r="N289" s="99"/>
    </row>
    <row r="290" spans="3:14" ht="12.75" customHeight="1" x14ac:dyDescent="0.4">
      <c r="C290" s="110"/>
      <c r="D290" s="110"/>
      <c r="E290" s="110"/>
      <c r="F290" s="110"/>
      <c r="G290" s="133" t="s">
        <v>235</v>
      </c>
      <c r="H290" s="113">
        <f>SUM(H277:H288)</f>
        <v>82985.60000000002</v>
      </c>
      <c r="I290" s="99"/>
      <c r="J290" s="99"/>
      <c r="K290" s="99"/>
      <c r="L290" s="99"/>
      <c r="M290" s="99"/>
      <c r="N290" s="99"/>
    </row>
    <row r="291" spans="3:14" ht="12.75" customHeight="1" x14ac:dyDescent="0.4">
      <c r="C291" s="110"/>
      <c r="D291" s="130"/>
      <c r="E291" s="110"/>
      <c r="F291" s="110"/>
      <c r="G291" s="133" t="s">
        <v>236</v>
      </c>
      <c r="H291" s="113">
        <f>STDEV(H277:H288)</f>
        <v>4962.7737855014739</v>
      </c>
      <c r="I291" s="99"/>
      <c r="J291" s="99"/>
      <c r="K291" s="99"/>
      <c r="L291" s="99"/>
      <c r="M291" s="99"/>
      <c r="N291" s="99"/>
    </row>
    <row r="292" spans="3:14" ht="12.75" customHeight="1" x14ac:dyDescent="0.4">
      <c r="C292" s="112"/>
      <c r="D292" s="112"/>
      <c r="E292" s="112"/>
      <c r="F292" s="112"/>
      <c r="G292" s="112"/>
      <c r="H292" s="112"/>
      <c r="I292" s="99"/>
      <c r="J292" s="99"/>
      <c r="K292" s="99"/>
      <c r="L292" s="99"/>
      <c r="M292" s="99"/>
      <c r="N292" s="99"/>
    </row>
    <row r="293" spans="3:14" ht="81" customHeight="1" x14ac:dyDescent="0.4">
      <c r="C293" s="154" t="s">
        <v>237</v>
      </c>
      <c r="D293" s="155"/>
      <c r="E293" s="155"/>
      <c r="F293" s="155"/>
      <c r="G293" s="155"/>
      <c r="H293" s="155"/>
      <c r="I293" s="155"/>
      <c r="J293" s="155"/>
      <c r="K293" s="155"/>
      <c r="L293" s="155"/>
      <c r="M293" s="155"/>
      <c r="N293" s="155"/>
    </row>
    <row r="294" spans="3:14" ht="12.75" customHeight="1" x14ac:dyDescent="0.4">
      <c r="C294" s="100"/>
      <c r="D294" s="99"/>
      <c r="E294" s="99"/>
      <c r="F294" s="99"/>
      <c r="G294" s="99"/>
      <c r="H294" s="99"/>
      <c r="I294" s="99"/>
      <c r="J294" s="99"/>
      <c r="K294" s="99"/>
      <c r="L294" s="99"/>
      <c r="M294" s="99"/>
      <c r="N294" s="99"/>
    </row>
    <row r="295" spans="3:14" ht="12.75" customHeight="1" x14ac:dyDescent="0.4">
      <c r="C295" s="110" t="s">
        <v>217</v>
      </c>
      <c r="D295" s="128">
        <v>20000</v>
      </c>
      <c r="E295" s="110" t="s">
        <v>218</v>
      </c>
      <c r="F295" s="129">
        <v>0.35</v>
      </c>
      <c r="G295" s="110"/>
      <c r="H295" s="110"/>
      <c r="I295" s="112"/>
      <c r="J295" s="99"/>
      <c r="K295" s="99"/>
      <c r="L295" s="99"/>
      <c r="M295" s="99"/>
      <c r="N295" s="99"/>
    </row>
    <row r="296" spans="3:14" ht="12.75" customHeight="1" x14ac:dyDescent="0.4">
      <c r="C296" s="110" t="s">
        <v>219</v>
      </c>
      <c r="D296" s="129">
        <v>2.2000000000000002</v>
      </c>
      <c r="E296" s="110" t="s">
        <v>220</v>
      </c>
      <c r="F296" s="130">
        <v>10000</v>
      </c>
      <c r="G296" s="110"/>
      <c r="H296" s="110"/>
      <c r="I296" s="112"/>
      <c r="J296" s="99"/>
      <c r="K296" s="99"/>
      <c r="L296" s="99"/>
      <c r="M296" s="99"/>
      <c r="N296" s="99"/>
    </row>
    <row r="297" spans="3:14" ht="12.75" customHeight="1" x14ac:dyDescent="0.4">
      <c r="C297" s="110" t="s">
        <v>238</v>
      </c>
      <c r="D297" s="110"/>
      <c r="E297" s="110" t="s">
        <v>69</v>
      </c>
      <c r="F297" s="130">
        <f>SUM(E302:E313)-SUM(G302:G313)</f>
        <v>234702.10000000009</v>
      </c>
      <c r="G297" s="110"/>
      <c r="H297" s="110"/>
      <c r="I297" s="112"/>
      <c r="J297" s="99"/>
      <c r="K297" s="99"/>
      <c r="L297" s="99"/>
      <c r="M297" s="99"/>
      <c r="N297" s="99"/>
    </row>
    <row r="298" spans="3:14" ht="12.75" customHeight="1" x14ac:dyDescent="0.4">
      <c r="C298" s="110" t="s">
        <v>239</v>
      </c>
      <c r="D298" s="130">
        <v>2200</v>
      </c>
      <c r="E298" s="110" t="s">
        <v>207</v>
      </c>
      <c r="F298" s="131">
        <f>F297/(F297-SUM(F302:F313))</f>
        <v>2.6579447147916055</v>
      </c>
      <c r="G298" s="110"/>
      <c r="H298" s="110"/>
      <c r="I298" s="112"/>
      <c r="J298" s="99"/>
      <c r="K298" s="99"/>
      <c r="L298" s="99"/>
      <c r="M298" s="99"/>
      <c r="N298" s="99"/>
    </row>
    <row r="299" spans="3:14" ht="12.75" customHeight="1" x14ac:dyDescent="0.4">
      <c r="C299" s="110" t="s">
        <v>240</v>
      </c>
      <c r="D299" s="130">
        <f>F296+D298</f>
        <v>12200</v>
      </c>
      <c r="E299" s="110"/>
      <c r="F299" s="110"/>
      <c r="G299" s="110"/>
      <c r="H299" s="110"/>
      <c r="I299" s="112"/>
      <c r="J299" s="99"/>
      <c r="K299" s="99"/>
      <c r="L299" s="99"/>
      <c r="M299" s="99"/>
      <c r="N299" s="99"/>
    </row>
    <row r="300" spans="3:14" ht="12.75" customHeight="1" x14ac:dyDescent="0.4">
      <c r="C300" s="110"/>
      <c r="D300" s="111"/>
      <c r="E300" s="111"/>
      <c r="F300" s="111" t="s">
        <v>50</v>
      </c>
      <c r="G300" s="111" t="s">
        <v>51</v>
      </c>
      <c r="H300" s="111"/>
      <c r="I300" s="112"/>
      <c r="J300" s="99"/>
      <c r="K300" s="99"/>
      <c r="L300" s="99"/>
      <c r="M300" s="99"/>
      <c r="N300" s="99"/>
    </row>
    <row r="301" spans="3:14" ht="12.75" customHeight="1" x14ac:dyDescent="0.4">
      <c r="C301" s="110" t="s">
        <v>221</v>
      </c>
      <c r="D301" s="111" t="s">
        <v>222</v>
      </c>
      <c r="E301" s="111" t="s">
        <v>36</v>
      </c>
      <c r="F301" s="111" t="s">
        <v>223</v>
      </c>
      <c r="G301" s="111" t="s">
        <v>53</v>
      </c>
      <c r="H301" s="111" t="s">
        <v>206</v>
      </c>
      <c r="I301" s="112"/>
      <c r="J301" s="99"/>
      <c r="K301" s="99"/>
      <c r="L301" s="99"/>
      <c r="M301" s="99"/>
      <c r="N301" s="99"/>
    </row>
    <row r="302" spans="3:14" ht="12.75" customHeight="1" x14ac:dyDescent="0.4">
      <c r="C302" s="110" t="s">
        <v>224</v>
      </c>
      <c r="D302" s="132">
        <v>6582</v>
      </c>
      <c r="E302" s="130">
        <f t="shared" ref="E302:E313" si="24">D302*$D$296</f>
        <v>14480.400000000001</v>
      </c>
      <c r="F302" s="130">
        <f t="shared" ref="F302:F313" si="25">$D$299</f>
        <v>12200</v>
      </c>
      <c r="G302" s="130">
        <f t="shared" ref="G302:G313" si="26">$F$295*D302</f>
        <v>2303.6999999999998</v>
      </c>
      <c r="H302" s="129">
        <f t="shared" ref="H302:H313" si="27">E302-F302-G302</f>
        <v>-23.299999999998363</v>
      </c>
      <c r="I302" s="112"/>
      <c r="J302" s="99"/>
      <c r="K302" s="99"/>
      <c r="L302" s="99"/>
      <c r="M302" s="99"/>
      <c r="N302" s="99"/>
    </row>
    <row r="303" spans="3:14" ht="12.75" customHeight="1" x14ac:dyDescent="0.4">
      <c r="C303" s="110" t="s">
        <v>225</v>
      </c>
      <c r="D303" s="132">
        <v>11121</v>
      </c>
      <c r="E303" s="130">
        <f t="shared" si="24"/>
        <v>24466.2</v>
      </c>
      <c r="F303" s="130">
        <f t="shared" si="25"/>
        <v>12200</v>
      </c>
      <c r="G303" s="130">
        <f t="shared" si="26"/>
        <v>3892.35</v>
      </c>
      <c r="H303" s="130">
        <f t="shared" si="27"/>
        <v>8373.85</v>
      </c>
      <c r="I303" s="112"/>
      <c r="J303" s="99"/>
      <c r="K303" s="99"/>
      <c r="L303" s="99"/>
      <c r="M303" s="99"/>
      <c r="N303" s="99"/>
    </row>
    <row r="304" spans="3:14" ht="12.75" customHeight="1" x14ac:dyDescent="0.4">
      <c r="C304" s="110" t="s">
        <v>226</v>
      </c>
      <c r="D304" s="132">
        <v>14178</v>
      </c>
      <c r="E304" s="130">
        <f t="shared" si="24"/>
        <v>31191.600000000002</v>
      </c>
      <c r="F304" s="130">
        <f t="shared" si="25"/>
        <v>12200</v>
      </c>
      <c r="G304" s="130">
        <f t="shared" si="26"/>
        <v>4962.2999999999993</v>
      </c>
      <c r="H304" s="130">
        <f t="shared" si="27"/>
        <v>14029.300000000003</v>
      </c>
      <c r="I304" s="112"/>
      <c r="J304" s="99"/>
      <c r="K304" s="99"/>
      <c r="L304" s="99"/>
      <c r="M304" s="99"/>
      <c r="N304" s="99"/>
    </row>
    <row r="305" spans="3:14" ht="12.75" customHeight="1" x14ac:dyDescent="0.4">
      <c r="C305" s="110" t="s">
        <v>227</v>
      </c>
      <c r="D305" s="132">
        <v>13692</v>
      </c>
      <c r="E305" s="130">
        <f t="shared" si="24"/>
        <v>30122.400000000001</v>
      </c>
      <c r="F305" s="130">
        <f t="shared" si="25"/>
        <v>12200</v>
      </c>
      <c r="G305" s="130">
        <f t="shared" si="26"/>
        <v>4792.2</v>
      </c>
      <c r="H305" s="130">
        <f t="shared" si="27"/>
        <v>13130.2</v>
      </c>
      <c r="I305" s="112"/>
      <c r="J305" s="99"/>
      <c r="K305" s="99"/>
      <c r="L305" s="99"/>
      <c r="M305" s="99"/>
      <c r="N305" s="99"/>
    </row>
    <row r="306" spans="3:14" ht="12.75" customHeight="1" x14ac:dyDescent="0.4">
      <c r="C306" s="110" t="s">
        <v>121</v>
      </c>
      <c r="D306" s="132">
        <v>11597</v>
      </c>
      <c r="E306" s="130">
        <f t="shared" si="24"/>
        <v>25513.4</v>
      </c>
      <c r="F306" s="130">
        <f t="shared" si="25"/>
        <v>12200</v>
      </c>
      <c r="G306" s="130">
        <f t="shared" si="26"/>
        <v>4058.95</v>
      </c>
      <c r="H306" s="130">
        <f t="shared" si="27"/>
        <v>9254.4500000000007</v>
      </c>
      <c r="I306" s="112"/>
      <c r="J306" s="99"/>
      <c r="K306" s="99"/>
      <c r="L306" s="99"/>
      <c r="M306" s="99"/>
      <c r="N306" s="99"/>
    </row>
    <row r="307" spans="3:14" ht="12.75" customHeight="1" x14ac:dyDescent="0.4">
      <c r="C307" s="110" t="s">
        <v>228</v>
      </c>
      <c r="D307" s="132">
        <v>9599</v>
      </c>
      <c r="E307" s="130">
        <f t="shared" si="24"/>
        <v>21117.800000000003</v>
      </c>
      <c r="F307" s="130">
        <f t="shared" si="25"/>
        <v>12200</v>
      </c>
      <c r="G307" s="130">
        <f t="shared" si="26"/>
        <v>3359.6499999999996</v>
      </c>
      <c r="H307" s="130">
        <f t="shared" si="27"/>
        <v>5558.1500000000033</v>
      </c>
      <c r="I307" s="112"/>
      <c r="J307" s="99"/>
      <c r="K307" s="99"/>
      <c r="L307" s="99"/>
      <c r="M307" s="99"/>
      <c r="N307" s="99"/>
    </row>
    <row r="308" spans="3:14" ht="12.75" customHeight="1" x14ac:dyDescent="0.4">
      <c r="C308" s="110" t="s">
        <v>229</v>
      </c>
      <c r="D308" s="132">
        <v>9913</v>
      </c>
      <c r="E308" s="130">
        <f t="shared" si="24"/>
        <v>21808.600000000002</v>
      </c>
      <c r="F308" s="130">
        <f t="shared" si="25"/>
        <v>12200</v>
      </c>
      <c r="G308" s="130">
        <f t="shared" si="26"/>
        <v>3469.5499999999997</v>
      </c>
      <c r="H308" s="130">
        <f t="shared" si="27"/>
        <v>6139.0500000000029</v>
      </c>
      <c r="I308" s="112"/>
      <c r="J308" s="99"/>
      <c r="K308" s="99"/>
      <c r="L308" s="99"/>
      <c r="M308" s="99"/>
      <c r="N308" s="99"/>
    </row>
    <row r="309" spans="3:14" ht="12.75" customHeight="1" x14ac:dyDescent="0.4">
      <c r="C309" s="110" t="s">
        <v>230</v>
      </c>
      <c r="D309" s="132">
        <v>10926</v>
      </c>
      <c r="E309" s="130">
        <f t="shared" si="24"/>
        <v>24037.200000000001</v>
      </c>
      <c r="F309" s="130">
        <f t="shared" si="25"/>
        <v>12200</v>
      </c>
      <c r="G309" s="130">
        <f t="shared" si="26"/>
        <v>3824.1</v>
      </c>
      <c r="H309" s="130">
        <f t="shared" si="27"/>
        <v>8013.1</v>
      </c>
      <c r="I309" s="112"/>
      <c r="J309" s="99"/>
      <c r="K309" s="99"/>
      <c r="L309" s="99"/>
      <c r="M309" s="99"/>
      <c r="N309" s="99"/>
    </row>
    <row r="310" spans="3:14" ht="12.75" customHeight="1" x14ac:dyDescent="0.4">
      <c r="C310" s="110" t="s">
        <v>231</v>
      </c>
      <c r="D310" s="132">
        <v>14349</v>
      </c>
      <c r="E310" s="130">
        <f t="shared" si="24"/>
        <v>31567.800000000003</v>
      </c>
      <c r="F310" s="130">
        <f t="shared" si="25"/>
        <v>12200</v>
      </c>
      <c r="G310" s="130">
        <f t="shared" si="26"/>
        <v>5022.1499999999996</v>
      </c>
      <c r="H310" s="130">
        <f t="shared" si="27"/>
        <v>14345.650000000003</v>
      </c>
      <c r="I310" s="112"/>
      <c r="J310" s="99"/>
      <c r="K310" s="99"/>
      <c r="L310" s="99"/>
      <c r="M310" s="99"/>
      <c r="N310" s="99"/>
    </row>
    <row r="311" spans="3:14" ht="12.75" customHeight="1" x14ac:dyDescent="0.4">
      <c r="C311" s="110" t="s">
        <v>232</v>
      </c>
      <c r="D311" s="132">
        <v>12965</v>
      </c>
      <c r="E311" s="130">
        <f t="shared" si="24"/>
        <v>28523.000000000004</v>
      </c>
      <c r="F311" s="130">
        <f t="shared" si="25"/>
        <v>12200</v>
      </c>
      <c r="G311" s="130">
        <f t="shared" si="26"/>
        <v>4537.75</v>
      </c>
      <c r="H311" s="130">
        <f t="shared" si="27"/>
        <v>11785.250000000004</v>
      </c>
      <c r="I311" s="112"/>
      <c r="J311" s="99"/>
      <c r="K311" s="99"/>
      <c r="L311" s="99"/>
      <c r="M311" s="99"/>
      <c r="N311" s="99"/>
    </row>
    <row r="312" spans="3:14" ht="12.75" customHeight="1" x14ac:dyDescent="0.4">
      <c r="C312" s="110" t="s">
        <v>233</v>
      </c>
      <c r="D312" s="132">
        <v>6972</v>
      </c>
      <c r="E312" s="130">
        <f t="shared" si="24"/>
        <v>15338.400000000001</v>
      </c>
      <c r="F312" s="130">
        <f t="shared" si="25"/>
        <v>12200</v>
      </c>
      <c r="G312" s="130">
        <f t="shared" si="26"/>
        <v>2440.1999999999998</v>
      </c>
      <c r="H312" s="130">
        <f t="shared" si="27"/>
        <v>698.20000000000164</v>
      </c>
      <c r="I312" s="112"/>
      <c r="J312" s="99"/>
      <c r="K312" s="99"/>
      <c r="L312" s="99"/>
      <c r="M312" s="99"/>
      <c r="N312" s="99"/>
    </row>
    <row r="313" spans="3:14" ht="12.75" customHeight="1" x14ac:dyDescent="0.4">
      <c r="C313" s="110" t="s">
        <v>234</v>
      </c>
      <c r="D313" s="132">
        <v>4972</v>
      </c>
      <c r="E313" s="130">
        <f t="shared" si="24"/>
        <v>10938.400000000001</v>
      </c>
      <c r="F313" s="130">
        <f t="shared" si="25"/>
        <v>12200</v>
      </c>
      <c r="G313" s="130">
        <f t="shared" si="26"/>
        <v>1740.1999999999998</v>
      </c>
      <c r="H313" s="113">
        <f t="shared" si="27"/>
        <v>-3001.7999999999984</v>
      </c>
      <c r="I313" s="112"/>
      <c r="J313" s="99"/>
      <c r="K313" s="99"/>
      <c r="L313" s="99"/>
      <c r="M313" s="99"/>
      <c r="N313" s="99"/>
    </row>
    <row r="314" spans="3:14" ht="12.75" customHeight="1" x14ac:dyDescent="0.4">
      <c r="C314" s="110"/>
      <c r="D314" s="110"/>
      <c r="E314" s="110"/>
      <c r="F314" s="110"/>
      <c r="G314" s="110"/>
      <c r="H314" s="110"/>
      <c r="I314" s="112"/>
      <c r="J314" s="99"/>
      <c r="K314" s="99"/>
      <c r="L314" s="99"/>
      <c r="M314" s="99"/>
      <c r="N314" s="99"/>
    </row>
    <row r="315" spans="3:14" ht="12.75" customHeight="1" x14ac:dyDescent="0.4">
      <c r="C315" s="132"/>
      <c r="D315" s="132"/>
      <c r="E315" s="110"/>
      <c r="F315" s="110"/>
      <c r="G315" s="133" t="s">
        <v>235</v>
      </c>
      <c r="H315" s="130">
        <f>SUM(H302:H313)</f>
        <v>88302.1</v>
      </c>
      <c r="I315" s="112"/>
      <c r="J315" s="99"/>
      <c r="K315" s="99"/>
      <c r="L315" s="99"/>
      <c r="M315" s="99"/>
      <c r="N315" s="99"/>
    </row>
    <row r="316" spans="3:14" ht="12.75" customHeight="1" x14ac:dyDescent="0.4">
      <c r="C316" s="130"/>
      <c r="D316" s="110"/>
      <c r="E316" s="110"/>
      <c r="F316" s="110"/>
      <c r="G316" s="133" t="s">
        <v>236</v>
      </c>
      <c r="H316" s="130">
        <f>STDEV(H302:H313)</f>
        <v>5738.2071894860792</v>
      </c>
      <c r="I316" s="112"/>
      <c r="J316" s="99"/>
      <c r="K316" s="99"/>
      <c r="L316" s="99"/>
      <c r="M316" s="99"/>
      <c r="N316" s="99"/>
    </row>
    <row r="317" spans="3:14" x14ac:dyDescent="0.4">
      <c r="C317" s="99"/>
      <c r="D317" s="99"/>
      <c r="E317" s="99"/>
      <c r="F317" s="99"/>
      <c r="G317" s="99"/>
      <c r="H317" s="99"/>
      <c r="I317" s="99"/>
      <c r="J317" s="99"/>
      <c r="K317" s="99"/>
      <c r="L317" s="99"/>
      <c r="M317" s="99"/>
      <c r="N317" s="99"/>
    </row>
    <row r="318" spans="3:14" ht="51.75" customHeight="1" x14ac:dyDescent="0.4">
      <c r="C318" s="154" t="s">
        <v>241</v>
      </c>
      <c r="D318" s="155"/>
      <c r="E318" s="155"/>
      <c r="F318" s="155"/>
      <c r="G318" s="155"/>
      <c r="H318" s="155"/>
      <c r="I318" s="155"/>
      <c r="J318" s="155"/>
      <c r="K318" s="155"/>
      <c r="L318" s="155"/>
      <c r="M318" s="155"/>
      <c r="N318" s="155"/>
    </row>
    <row r="319" spans="3:14" x14ac:dyDescent="0.4">
      <c r="C319" s="99"/>
      <c r="D319" s="99"/>
      <c r="E319" s="99"/>
      <c r="F319" s="99"/>
      <c r="G319" s="99"/>
      <c r="H319" s="99"/>
      <c r="I319" s="99"/>
      <c r="J319" s="99"/>
      <c r="K319" s="99"/>
      <c r="L319" s="99"/>
      <c r="M319" s="99"/>
      <c r="N319" s="99"/>
    </row>
    <row r="320" spans="3:14" ht="83.25" customHeight="1" x14ac:dyDescent="0.4">
      <c r="C320" s="154" t="s">
        <v>242</v>
      </c>
      <c r="D320" s="155"/>
      <c r="E320" s="155"/>
      <c r="F320" s="155"/>
      <c r="G320" s="155"/>
      <c r="H320" s="155"/>
      <c r="I320" s="155"/>
      <c r="J320" s="155"/>
      <c r="K320" s="155"/>
      <c r="L320" s="155"/>
      <c r="M320" s="155"/>
      <c r="N320" s="155"/>
    </row>
    <row r="321" spans="3:14" x14ac:dyDescent="0.4">
      <c r="C321" s="99"/>
      <c r="D321" s="99"/>
      <c r="E321" s="99"/>
      <c r="F321" s="99"/>
      <c r="G321" s="99"/>
      <c r="H321" s="99"/>
      <c r="I321" s="99"/>
      <c r="J321" s="99"/>
      <c r="K321" s="99"/>
      <c r="L321" s="99"/>
      <c r="M321" s="99"/>
      <c r="N321" s="99"/>
    </row>
    <row r="322" spans="3:14" ht="72.75" customHeight="1" x14ac:dyDescent="0.4">
      <c r="C322" s="154" t="s">
        <v>243</v>
      </c>
      <c r="D322" s="155"/>
      <c r="E322" s="155"/>
      <c r="F322" s="155"/>
      <c r="G322" s="155"/>
      <c r="H322" s="155"/>
      <c r="I322" s="155"/>
      <c r="J322" s="155"/>
      <c r="K322" s="155"/>
      <c r="L322" s="155"/>
      <c r="M322" s="155"/>
      <c r="N322" s="155"/>
    </row>
    <row r="323" spans="3:14" ht="49.5" customHeight="1" x14ac:dyDescent="0.4">
      <c r="C323" s="162" t="s">
        <v>244</v>
      </c>
      <c r="D323" s="163"/>
      <c r="E323" s="163"/>
      <c r="F323" s="163"/>
      <c r="G323" s="163"/>
      <c r="H323" s="163"/>
      <c r="I323" s="163"/>
      <c r="J323" s="163"/>
      <c r="K323" s="163"/>
      <c r="L323" s="163"/>
      <c r="M323" s="163"/>
      <c r="N323" s="163"/>
    </row>
    <row r="324" spans="3:14" x14ac:dyDescent="0.4">
      <c r="C324" s="99"/>
      <c r="D324" s="99"/>
      <c r="E324" s="99"/>
      <c r="F324" s="99"/>
      <c r="G324" s="99"/>
      <c r="H324" s="99"/>
      <c r="I324" s="99"/>
      <c r="J324" s="99"/>
      <c r="K324" s="99"/>
      <c r="L324" s="99"/>
      <c r="M324" s="99"/>
      <c r="N324" s="99"/>
    </row>
    <row r="325" spans="3:14" ht="49.5" customHeight="1" x14ac:dyDescent="0.4">
      <c r="C325" s="154" t="s">
        <v>245</v>
      </c>
      <c r="D325" s="155"/>
      <c r="E325" s="155"/>
      <c r="F325" s="155"/>
      <c r="G325" s="155"/>
      <c r="H325" s="155"/>
      <c r="I325" s="155"/>
      <c r="J325" s="155"/>
      <c r="K325" s="155"/>
      <c r="L325" s="155"/>
      <c r="M325" s="155"/>
      <c r="N325" s="155"/>
    </row>
    <row r="326" spans="3:14" x14ac:dyDescent="0.4">
      <c r="C326" s="99"/>
      <c r="D326" s="99"/>
      <c r="E326" s="99"/>
      <c r="F326" s="99"/>
      <c r="G326" s="99"/>
      <c r="H326" s="99"/>
      <c r="I326" s="99"/>
      <c r="J326" s="99"/>
      <c r="K326" s="99"/>
      <c r="L326" s="99"/>
      <c r="M326" s="99"/>
      <c r="N326" s="99"/>
    </row>
    <row r="327" spans="3:14" ht="51.75" customHeight="1" x14ac:dyDescent="0.4">
      <c r="C327" s="154" t="s">
        <v>246</v>
      </c>
      <c r="D327" s="155"/>
      <c r="E327" s="155"/>
      <c r="F327" s="155"/>
      <c r="G327" s="155"/>
      <c r="H327" s="155"/>
      <c r="I327" s="155"/>
      <c r="J327" s="155"/>
      <c r="K327" s="155"/>
      <c r="L327" s="155"/>
      <c r="M327" s="155"/>
      <c r="N327" s="155"/>
    </row>
    <row r="328" spans="3:14" x14ac:dyDescent="0.4">
      <c r="C328" s="99"/>
      <c r="D328" s="99"/>
      <c r="E328" s="99"/>
      <c r="F328" s="99"/>
      <c r="G328" s="99"/>
      <c r="H328" s="99"/>
      <c r="I328" s="99"/>
      <c r="J328" s="99"/>
      <c r="K328" s="99"/>
      <c r="L328" s="99"/>
      <c r="M328" s="99"/>
      <c r="N328" s="99"/>
    </row>
    <row r="329" spans="3:14" ht="54" customHeight="1" x14ac:dyDescent="0.4">
      <c r="C329" s="154" t="s">
        <v>247</v>
      </c>
      <c r="D329" s="155"/>
      <c r="E329" s="155"/>
      <c r="F329" s="155"/>
      <c r="G329" s="155"/>
      <c r="H329" s="155"/>
      <c r="I329" s="155"/>
      <c r="J329" s="155"/>
      <c r="K329" s="155"/>
      <c r="L329" s="155"/>
      <c r="M329" s="155"/>
      <c r="N329" s="155"/>
    </row>
    <row r="330" spans="3:14" x14ac:dyDescent="0.4">
      <c r="C330" s="99"/>
      <c r="D330" s="99"/>
      <c r="E330" s="99"/>
      <c r="F330" s="99"/>
      <c r="G330" s="99"/>
      <c r="H330" s="99"/>
      <c r="I330" s="99"/>
      <c r="J330" s="99"/>
      <c r="K330" s="99"/>
      <c r="L330" s="99"/>
      <c r="M330" s="99"/>
      <c r="N330" s="99"/>
    </row>
    <row r="331" spans="3:14" ht="66" customHeight="1" x14ac:dyDescent="0.4">
      <c r="C331" s="154" t="s">
        <v>248</v>
      </c>
      <c r="D331" s="155"/>
      <c r="E331" s="155"/>
      <c r="F331" s="155"/>
      <c r="G331" s="155"/>
      <c r="H331" s="155"/>
      <c r="I331" s="155"/>
      <c r="J331" s="155"/>
      <c r="K331" s="155"/>
      <c r="L331" s="155"/>
      <c r="M331" s="155"/>
      <c r="N331" s="155"/>
    </row>
    <row r="332" spans="3:14" x14ac:dyDescent="0.4">
      <c r="C332" s="99"/>
      <c r="D332" s="99"/>
      <c r="E332" s="99"/>
      <c r="F332" s="99"/>
      <c r="G332" s="99"/>
      <c r="H332" s="99"/>
      <c r="I332" s="99"/>
      <c r="J332" s="99"/>
      <c r="K332" s="99"/>
      <c r="L332" s="99"/>
      <c r="M332" s="99"/>
      <c r="N332" s="99"/>
    </row>
    <row r="333" spans="3:14" x14ac:dyDescent="0.4">
      <c r="C333" s="158" t="s">
        <v>249</v>
      </c>
      <c r="D333" s="155"/>
      <c r="E333" s="155"/>
      <c r="F333" s="155"/>
      <c r="G333" s="155"/>
      <c r="H333" s="155"/>
      <c r="I333" s="155"/>
      <c r="J333" s="155"/>
      <c r="K333" s="155"/>
      <c r="L333" s="155"/>
      <c r="M333" s="155"/>
      <c r="N333" s="155"/>
    </row>
    <row r="334" spans="3:14" ht="33" customHeight="1" x14ac:dyDescent="0.4">
      <c r="C334" s="154" t="s">
        <v>250</v>
      </c>
      <c r="D334" s="155"/>
      <c r="E334" s="155"/>
      <c r="F334" s="155"/>
      <c r="G334" s="155"/>
      <c r="H334" s="155"/>
      <c r="I334" s="155"/>
      <c r="J334" s="155"/>
      <c r="K334" s="155"/>
      <c r="L334" s="155"/>
      <c r="M334" s="155"/>
      <c r="N334" s="155"/>
    </row>
    <row r="335" spans="3:14" x14ac:dyDescent="0.4">
      <c r="C335" s="154" t="s">
        <v>251</v>
      </c>
      <c r="D335" s="155"/>
      <c r="E335" s="155"/>
      <c r="F335" s="155"/>
      <c r="G335" s="155"/>
      <c r="H335" s="155"/>
      <c r="I335" s="155"/>
      <c r="J335" s="155"/>
      <c r="K335" s="155"/>
      <c r="L335" s="155"/>
      <c r="M335" s="155"/>
      <c r="N335" s="155"/>
    </row>
    <row r="336" spans="3:14" ht="30" customHeight="1" x14ac:dyDescent="0.4">
      <c r="C336" s="154" t="s">
        <v>252</v>
      </c>
      <c r="D336" s="155"/>
      <c r="E336" s="155"/>
      <c r="F336" s="155"/>
      <c r="G336" s="155"/>
      <c r="H336" s="155"/>
      <c r="I336" s="155"/>
      <c r="J336" s="155"/>
      <c r="K336" s="155"/>
      <c r="L336" s="155"/>
      <c r="M336" s="155"/>
      <c r="N336" s="155"/>
    </row>
    <row r="337" spans="3:14" ht="18" customHeight="1" x14ac:dyDescent="0.4">
      <c r="C337" s="154" t="s">
        <v>253</v>
      </c>
      <c r="D337" s="155"/>
      <c r="E337" s="155"/>
      <c r="F337" s="155"/>
      <c r="G337" s="155"/>
      <c r="H337" s="155"/>
      <c r="I337" s="155"/>
      <c r="J337" s="155"/>
      <c r="K337" s="155"/>
      <c r="L337" s="155"/>
      <c r="M337" s="155"/>
      <c r="N337" s="155"/>
    </row>
    <row r="338" spans="3:14" x14ac:dyDescent="0.4">
      <c r="C338" s="154" t="s">
        <v>254</v>
      </c>
      <c r="D338" s="155"/>
      <c r="E338" s="155"/>
      <c r="F338" s="155"/>
      <c r="G338" s="155"/>
      <c r="H338" s="155"/>
      <c r="I338" s="155"/>
      <c r="J338" s="155"/>
      <c r="K338" s="155"/>
      <c r="L338" s="155"/>
      <c r="M338" s="155"/>
      <c r="N338" s="155"/>
    </row>
    <row r="339" spans="3:14" x14ac:dyDescent="0.4">
      <c r="C339" s="100"/>
      <c r="D339" s="99"/>
      <c r="E339" s="99"/>
      <c r="F339" s="99"/>
      <c r="G339" s="99"/>
      <c r="H339" s="99"/>
      <c r="I339" s="99"/>
      <c r="J339" s="99"/>
      <c r="K339" s="99"/>
      <c r="L339" s="99"/>
      <c r="M339" s="99"/>
      <c r="N339" s="99"/>
    </row>
    <row r="340" spans="3:14" x14ac:dyDescent="0.4">
      <c r="C340" s="110"/>
      <c r="D340" s="111" t="s">
        <v>64</v>
      </c>
      <c r="E340" s="111" t="s">
        <v>64</v>
      </c>
      <c r="F340" s="111" t="s">
        <v>25</v>
      </c>
      <c r="G340" s="111" t="s">
        <v>50</v>
      </c>
      <c r="H340" s="111" t="s">
        <v>64</v>
      </c>
      <c r="I340" s="111" t="s">
        <v>25</v>
      </c>
      <c r="J340" s="111" t="s">
        <v>255</v>
      </c>
      <c r="K340" s="111" t="s">
        <v>256</v>
      </c>
      <c r="L340" s="99"/>
      <c r="M340" s="99"/>
      <c r="N340" s="99"/>
    </row>
    <row r="341" spans="3:14" x14ac:dyDescent="0.4">
      <c r="C341" s="110"/>
      <c r="D341" s="111" t="s">
        <v>36</v>
      </c>
      <c r="E341" s="111" t="s">
        <v>257</v>
      </c>
      <c r="F341" s="111" t="s">
        <v>36</v>
      </c>
      <c r="G341" s="111" t="s">
        <v>53</v>
      </c>
      <c r="H341" s="111" t="s">
        <v>258</v>
      </c>
      <c r="I341" s="111" t="s">
        <v>258</v>
      </c>
      <c r="J341" s="111" t="s">
        <v>259</v>
      </c>
      <c r="K341" s="111" t="s">
        <v>260</v>
      </c>
      <c r="L341" s="99"/>
      <c r="M341" s="99"/>
      <c r="N341" s="99"/>
    </row>
    <row r="342" spans="3:14" x14ac:dyDescent="0.4">
      <c r="C342" s="110"/>
      <c r="D342" s="110"/>
      <c r="E342" s="110"/>
      <c r="F342" s="110"/>
      <c r="G342" s="110"/>
      <c r="H342" s="111" t="s">
        <v>223</v>
      </c>
      <c r="I342" s="111" t="s">
        <v>223</v>
      </c>
      <c r="J342" s="111" t="s">
        <v>261</v>
      </c>
      <c r="K342" s="111" t="s">
        <v>262</v>
      </c>
      <c r="L342" s="99"/>
      <c r="M342" s="99"/>
      <c r="N342" s="99"/>
    </row>
    <row r="343" spans="3:14" ht="15.4" thickBot="1" x14ac:dyDescent="0.45">
      <c r="C343" s="110"/>
      <c r="D343" s="110"/>
      <c r="E343" s="110"/>
      <c r="F343" s="110"/>
      <c r="G343" s="110"/>
      <c r="H343" s="110"/>
      <c r="I343" s="110"/>
      <c r="J343" s="110"/>
      <c r="K343" s="110"/>
      <c r="L343" s="99"/>
      <c r="M343" s="99"/>
      <c r="N343" s="99"/>
    </row>
    <row r="344" spans="3:14" x14ac:dyDescent="0.4">
      <c r="C344" s="134" t="s">
        <v>263</v>
      </c>
      <c r="D344" s="135">
        <v>120000</v>
      </c>
      <c r="E344" s="136">
        <v>2</v>
      </c>
      <c r="F344" s="122">
        <f>Unit_sales*Unit_price</f>
        <v>240000</v>
      </c>
      <c r="G344" s="122">
        <v>20000</v>
      </c>
      <c r="H344" s="136">
        <v>1.5</v>
      </c>
      <c r="I344" s="122">
        <f>Unit_sales*Variable_costs</f>
        <v>180000</v>
      </c>
      <c r="J344" s="122">
        <f>Total_sales-Fixed_costsd-I344</f>
        <v>40000</v>
      </c>
      <c r="K344" s="137"/>
      <c r="L344" s="99"/>
      <c r="M344" s="99"/>
      <c r="N344" s="99"/>
    </row>
    <row r="345" spans="3:14" ht="15.4" thickBot="1" x14ac:dyDescent="0.45">
      <c r="C345" s="138"/>
      <c r="D345" s="139">
        <v>200000</v>
      </c>
      <c r="E345" s="140">
        <v>1.7</v>
      </c>
      <c r="F345" s="125">
        <f>Unit_sales*Unit_price</f>
        <v>340000</v>
      </c>
      <c r="G345" s="125">
        <v>20000</v>
      </c>
      <c r="H345" s="140">
        <v>1.5</v>
      </c>
      <c r="I345" s="125">
        <f>Unit_sales*Variable_costs</f>
        <v>300000</v>
      </c>
      <c r="J345" s="125">
        <f>Total_sales-Fixed_costsd-I345</f>
        <v>20000</v>
      </c>
      <c r="K345" s="141">
        <f>Net_operating-Firm_A Net_operating</f>
        <v>-20000</v>
      </c>
      <c r="L345" s="99"/>
      <c r="M345" s="99"/>
      <c r="N345" s="99"/>
    </row>
    <row r="346" spans="3:14" ht="15.4" thickBot="1" x14ac:dyDescent="0.45">
      <c r="C346" s="110"/>
      <c r="D346" s="110"/>
      <c r="E346" s="110"/>
      <c r="F346" s="110"/>
      <c r="G346" s="110"/>
      <c r="H346" s="110"/>
      <c r="I346" s="110"/>
      <c r="J346" s="110"/>
      <c r="K346" s="110"/>
      <c r="L346" s="99"/>
      <c r="M346" s="99"/>
      <c r="N346" s="99"/>
    </row>
    <row r="347" spans="3:14" x14ac:dyDescent="0.4">
      <c r="C347" s="134" t="s">
        <v>264</v>
      </c>
      <c r="D347" s="135">
        <v>120000</v>
      </c>
      <c r="E347" s="136">
        <v>2</v>
      </c>
      <c r="F347" s="122">
        <f>Unit_sales*Unit_price</f>
        <v>240000</v>
      </c>
      <c r="G347" s="122">
        <v>40000</v>
      </c>
      <c r="H347" s="136">
        <v>1.2</v>
      </c>
      <c r="I347" s="122">
        <f>D347*H347</f>
        <v>144000</v>
      </c>
      <c r="J347" s="122">
        <f>Total_sales-Fixed_costsd-I347</f>
        <v>56000</v>
      </c>
      <c r="K347" s="137"/>
      <c r="L347" s="99"/>
      <c r="M347" s="99"/>
      <c r="N347" s="99"/>
    </row>
    <row r="348" spans="3:14" ht="15.4" thickBot="1" x14ac:dyDescent="0.45">
      <c r="C348" s="138"/>
      <c r="D348" s="139">
        <v>200000</v>
      </c>
      <c r="E348" s="140">
        <v>1.7</v>
      </c>
      <c r="F348" s="125">
        <f>Unit_sales*Unit_price</f>
        <v>340000</v>
      </c>
      <c r="G348" s="125">
        <v>40000</v>
      </c>
      <c r="H348" s="140">
        <v>1.2</v>
      </c>
      <c r="I348" s="125">
        <f>D348*H348</f>
        <v>240000</v>
      </c>
      <c r="J348" s="125">
        <f>Total_sales-Fixed_costsd-I348</f>
        <v>60000</v>
      </c>
      <c r="K348" s="141">
        <f>Net_operating-Firm_B Net_operating</f>
        <v>4000</v>
      </c>
      <c r="L348" s="99"/>
      <c r="M348" s="99"/>
      <c r="N348" s="99"/>
    </row>
    <row r="349" spans="3:14" ht="15.4" thickBot="1" x14ac:dyDescent="0.45">
      <c r="C349" s="110"/>
      <c r="D349" s="110"/>
      <c r="E349" s="110"/>
      <c r="F349" s="110"/>
      <c r="G349" s="110"/>
      <c r="H349" s="110"/>
      <c r="I349" s="110"/>
      <c r="J349" s="110"/>
      <c r="K349" s="110"/>
      <c r="L349" s="99"/>
      <c r="M349" s="99"/>
      <c r="N349" s="99"/>
    </row>
    <row r="350" spans="3:14" x14ac:dyDescent="0.4">
      <c r="C350" s="134" t="s">
        <v>265</v>
      </c>
      <c r="D350" s="135">
        <v>120000</v>
      </c>
      <c r="E350" s="136">
        <v>2</v>
      </c>
      <c r="F350" s="122">
        <f>Unit_sales*Unit_price</f>
        <v>240000</v>
      </c>
      <c r="G350" s="122">
        <v>60000</v>
      </c>
      <c r="H350" s="136">
        <v>1</v>
      </c>
      <c r="I350" s="122">
        <f>D350*H350</f>
        <v>120000</v>
      </c>
      <c r="J350" s="122">
        <f>Total_sales-Fixed_costsd-I350</f>
        <v>60000</v>
      </c>
      <c r="K350" s="137"/>
      <c r="L350" s="99"/>
      <c r="M350" s="99"/>
      <c r="N350" s="99"/>
    </row>
    <row r="351" spans="3:14" ht="15.4" thickBot="1" x14ac:dyDescent="0.45">
      <c r="C351" s="138"/>
      <c r="D351" s="139">
        <v>200000</v>
      </c>
      <c r="E351" s="140">
        <v>1.7</v>
      </c>
      <c r="F351" s="125">
        <f>Unit_sales*Unit_price</f>
        <v>340000</v>
      </c>
      <c r="G351" s="125">
        <v>60000</v>
      </c>
      <c r="H351" s="140">
        <v>1</v>
      </c>
      <c r="I351" s="125">
        <f>D351*H351</f>
        <v>200000</v>
      </c>
      <c r="J351" s="125">
        <f>Total_sales-Fixed_costsd-I351</f>
        <v>80000</v>
      </c>
      <c r="K351" s="141">
        <f>Net_operating-Firm_C Net_operating</f>
        <v>20000</v>
      </c>
      <c r="L351" s="99"/>
      <c r="M351" s="99"/>
      <c r="N351" s="99"/>
    </row>
    <row r="352" spans="3:14" x14ac:dyDescent="0.4">
      <c r="C352" s="112"/>
      <c r="D352" s="112"/>
      <c r="E352" s="112"/>
      <c r="F352" s="112"/>
      <c r="G352" s="112"/>
      <c r="H352" s="112"/>
      <c r="I352" s="112"/>
      <c r="J352" s="112"/>
      <c r="K352" s="112"/>
      <c r="L352" s="99"/>
      <c r="M352" s="99"/>
      <c r="N352" s="99"/>
    </row>
    <row r="353" spans="3:14" x14ac:dyDescent="0.4">
      <c r="C353" s="100"/>
      <c r="D353" s="99"/>
      <c r="E353" s="99"/>
      <c r="F353" s="99"/>
      <c r="G353" s="99"/>
      <c r="H353" s="99"/>
      <c r="I353" s="99"/>
      <c r="J353" s="99"/>
      <c r="K353" s="99"/>
      <c r="L353" s="99"/>
      <c r="M353" s="99"/>
      <c r="N353" s="99"/>
    </row>
    <row r="354" spans="3:14" x14ac:dyDescent="0.4">
      <c r="C354" s="99"/>
      <c r="D354" s="99"/>
      <c r="E354" s="99"/>
      <c r="F354" s="99"/>
      <c r="G354" s="99"/>
      <c r="H354" s="99"/>
      <c r="I354" s="99"/>
      <c r="J354" s="99"/>
      <c r="K354" s="99"/>
      <c r="L354" s="99"/>
      <c r="M354" s="99"/>
      <c r="N354" s="99"/>
    </row>
    <row r="355" spans="3:14" ht="93.75" customHeight="1" x14ac:dyDescent="0.4">
      <c r="C355" s="154" t="s">
        <v>266</v>
      </c>
      <c r="D355" s="155"/>
      <c r="E355" s="155"/>
      <c r="F355" s="155"/>
      <c r="G355" s="155"/>
      <c r="H355" s="155"/>
      <c r="I355" s="155"/>
      <c r="J355" s="155"/>
      <c r="K355" s="155"/>
      <c r="L355" s="155"/>
      <c r="M355" s="155"/>
      <c r="N355" s="155"/>
    </row>
    <row r="356" spans="3:14" x14ac:dyDescent="0.4">
      <c r="C356" s="99"/>
      <c r="D356" s="99"/>
      <c r="E356" s="99"/>
      <c r="F356" s="99"/>
      <c r="G356" s="99"/>
      <c r="H356" s="99"/>
      <c r="I356" s="99"/>
      <c r="J356" s="99"/>
      <c r="K356" s="99"/>
      <c r="L356" s="99"/>
      <c r="M356" s="99"/>
      <c r="N356" s="99"/>
    </row>
    <row r="357" spans="3:14" ht="66" customHeight="1" x14ac:dyDescent="0.4">
      <c r="C357" s="154" t="s">
        <v>267</v>
      </c>
      <c r="D357" s="155"/>
      <c r="E357" s="155"/>
      <c r="F357" s="155"/>
      <c r="G357" s="155"/>
      <c r="H357" s="155"/>
      <c r="I357" s="155"/>
      <c r="J357" s="155"/>
      <c r="K357" s="155"/>
      <c r="L357" s="155"/>
      <c r="M357" s="155"/>
      <c r="N357" s="155"/>
    </row>
    <row r="358" spans="3:14" x14ac:dyDescent="0.4">
      <c r="C358" s="99"/>
      <c r="D358" s="99"/>
      <c r="E358" s="99"/>
      <c r="F358" s="99"/>
      <c r="G358" s="99"/>
      <c r="H358" s="99"/>
      <c r="I358" s="99"/>
      <c r="J358" s="99"/>
      <c r="K358" s="99"/>
      <c r="L358" s="99"/>
      <c r="M358" s="99"/>
      <c r="N358" s="99"/>
    </row>
    <row r="359" spans="3:14" x14ac:dyDescent="0.4">
      <c r="C359" s="158" t="s">
        <v>268</v>
      </c>
      <c r="D359" s="155"/>
      <c r="E359" s="155"/>
      <c r="F359" s="155"/>
      <c r="G359" s="155"/>
      <c r="H359" s="155"/>
      <c r="I359" s="155"/>
      <c r="J359" s="155"/>
      <c r="K359" s="155"/>
      <c r="L359" s="155"/>
      <c r="M359" s="155"/>
      <c r="N359" s="155"/>
    </row>
    <row r="360" spans="3:14" ht="82.5" customHeight="1" x14ac:dyDescent="0.4">
      <c r="C360" s="154" t="s">
        <v>269</v>
      </c>
      <c r="D360" s="155"/>
      <c r="E360" s="155"/>
      <c r="F360" s="155"/>
      <c r="G360" s="155"/>
      <c r="H360" s="155"/>
      <c r="I360" s="155"/>
      <c r="J360" s="155"/>
      <c r="K360" s="155"/>
      <c r="L360" s="155"/>
      <c r="M360" s="155"/>
      <c r="N360" s="155"/>
    </row>
    <row r="361" spans="3:14" x14ac:dyDescent="0.4">
      <c r="C361" s="99"/>
      <c r="D361" s="99"/>
      <c r="E361" s="99"/>
      <c r="F361" s="99"/>
      <c r="G361" s="99"/>
      <c r="H361" s="99"/>
      <c r="I361" s="99"/>
      <c r="J361" s="99"/>
      <c r="K361" s="99"/>
      <c r="L361" s="99"/>
      <c r="M361" s="99"/>
      <c r="N361" s="99"/>
    </row>
    <row r="362" spans="3:14" ht="38.25" customHeight="1" x14ac:dyDescent="0.4">
      <c r="C362" s="154" t="s">
        <v>270</v>
      </c>
      <c r="D362" s="155"/>
      <c r="E362" s="155"/>
      <c r="F362" s="155"/>
      <c r="G362" s="155"/>
      <c r="H362" s="155"/>
      <c r="I362" s="155"/>
      <c r="J362" s="155"/>
      <c r="K362" s="155"/>
      <c r="L362" s="155"/>
      <c r="M362" s="155"/>
      <c r="N362" s="155"/>
    </row>
    <row r="363" spans="3:14" x14ac:dyDescent="0.4">
      <c r="C363" s="99"/>
      <c r="D363" s="99"/>
      <c r="E363" s="99"/>
      <c r="F363" s="99"/>
      <c r="G363" s="99"/>
      <c r="H363" s="99"/>
      <c r="I363" s="99"/>
      <c r="J363" s="99"/>
      <c r="K363" s="99"/>
      <c r="L363" s="99"/>
      <c r="M363" s="99"/>
      <c r="N363" s="99"/>
    </row>
    <row r="364" spans="3:14" ht="81" customHeight="1" x14ac:dyDescent="0.4">
      <c r="C364" s="154" t="s">
        <v>271</v>
      </c>
      <c r="D364" s="155"/>
      <c r="E364" s="155"/>
      <c r="F364" s="155"/>
      <c r="G364" s="155"/>
      <c r="H364" s="155"/>
      <c r="I364" s="155"/>
      <c r="J364" s="155"/>
      <c r="K364" s="155"/>
      <c r="L364" s="155"/>
      <c r="M364" s="155"/>
      <c r="N364" s="155"/>
    </row>
    <row r="365" spans="3:14" x14ac:dyDescent="0.4">
      <c r="C365" s="99"/>
      <c r="D365" s="99"/>
      <c r="E365" s="99"/>
      <c r="F365" s="99"/>
      <c r="G365" s="99"/>
      <c r="H365" s="99"/>
      <c r="I365" s="99"/>
      <c r="J365" s="99"/>
      <c r="K365" s="99"/>
      <c r="L365" s="99"/>
      <c r="M365" s="99"/>
      <c r="N365" s="99"/>
    </row>
    <row r="366" spans="3:14" ht="50.25" customHeight="1" x14ac:dyDescent="0.4">
      <c r="C366" s="154" t="s">
        <v>272</v>
      </c>
      <c r="D366" s="155"/>
      <c r="E366" s="155"/>
      <c r="F366" s="155"/>
      <c r="G366" s="155"/>
      <c r="H366" s="155"/>
      <c r="I366" s="155"/>
      <c r="J366" s="155"/>
      <c r="K366" s="155"/>
      <c r="L366" s="155"/>
      <c r="M366" s="155"/>
      <c r="N366" s="155"/>
    </row>
    <row r="367" spans="3:14" x14ac:dyDescent="0.4">
      <c r="C367" s="99"/>
      <c r="D367" s="99"/>
      <c r="E367" s="99"/>
      <c r="F367" s="99"/>
      <c r="G367" s="99"/>
      <c r="H367" s="99"/>
      <c r="I367" s="99"/>
      <c r="J367" s="99"/>
      <c r="K367" s="99"/>
      <c r="L367" s="99"/>
      <c r="M367" s="99"/>
      <c r="N367" s="99"/>
    </row>
    <row r="368" spans="3:14" ht="81" customHeight="1" x14ac:dyDescent="0.4">
      <c r="C368" s="154" t="s">
        <v>273</v>
      </c>
      <c r="D368" s="155"/>
      <c r="E368" s="155"/>
      <c r="F368" s="155"/>
      <c r="G368" s="155"/>
      <c r="H368" s="155"/>
      <c r="I368" s="155"/>
      <c r="J368" s="155"/>
      <c r="K368" s="155"/>
      <c r="L368" s="155"/>
      <c r="M368" s="155"/>
      <c r="N368" s="155"/>
    </row>
    <row r="369" spans="3:14" x14ac:dyDescent="0.4">
      <c r="C369" s="99"/>
      <c r="D369" s="99"/>
      <c r="E369" s="99"/>
      <c r="F369" s="99"/>
      <c r="G369" s="99"/>
      <c r="H369" s="99"/>
      <c r="I369" s="99"/>
      <c r="J369" s="99"/>
      <c r="K369" s="99"/>
      <c r="L369" s="99"/>
      <c r="M369" s="99"/>
      <c r="N369" s="99"/>
    </row>
    <row r="370" spans="3:14" ht="62.25" customHeight="1" x14ac:dyDescent="0.4">
      <c r="C370" s="154" t="s">
        <v>274</v>
      </c>
      <c r="D370" s="155"/>
      <c r="E370" s="155"/>
      <c r="F370" s="155"/>
      <c r="G370" s="155"/>
      <c r="H370" s="155"/>
      <c r="I370" s="155"/>
      <c r="J370" s="155"/>
      <c r="K370" s="155"/>
      <c r="L370" s="155"/>
      <c r="M370" s="155"/>
      <c r="N370" s="155"/>
    </row>
    <row r="371" spans="3:14" x14ac:dyDescent="0.4">
      <c r="C371" s="99"/>
      <c r="D371" s="99"/>
      <c r="E371" s="99"/>
      <c r="F371" s="99"/>
      <c r="G371" s="99"/>
      <c r="H371" s="99"/>
      <c r="I371" s="99"/>
      <c r="J371" s="99"/>
      <c r="K371" s="99"/>
      <c r="L371" s="99"/>
      <c r="M371" s="99"/>
      <c r="N371" s="99"/>
    </row>
    <row r="372" spans="3:14" ht="47.25" customHeight="1" x14ac:dyDescent="0.4">
      <c r="C372" s="154" t="s">
        <v>275</v>
      </c>
      <c r="D372" s="155"/>
      <c r="E372" s="155"/>
      <c r="F372" s="155"/>
      <c r="G372" s="155"/>
      <c r="H372" s="155"/>
      <c r="I372" s="155"/>
      <c r="J372" s="155"/>
      <c r="K372" s="155"/>
      <c r="L372" s="155"/>
      <c r="M372" s="155"/>
      <c r="N372" s="155"/>
    </row>
    <row r="373" spans="3:14" x14ac:dyDescent="0.4">
      <c r="C373" s="99"/>
      <c r="D373" s="99"/>
      <c r="E373" s="99"/>
      <c r="F373" s="99"/>
      <c r="G373" s="99"/>
      <c r="H373" s="99"/>
      <c r="I373" s="99"/>
      <c r="J373" s="99"/>
      <c r="K373" s="99"/>
      <c r="L373" s="99"/>
      <c r="M373" s="99"/>
      <c r="N373" s="99"/>
    </row>
    <row r="374" spans="3:14" ht="66" customHeight="1" x14ac:dyDescent="0.4">
      <c r="C374" s="154" t="s">
        <v>276</v>
      </c>
      <c r="D374" s="155"/>
      <c r="E374" s="155"/>
      <c r="F374" s="155"/>
      <c r="G374" s="155"/>
      <c r="H374" s="155"/>
      <c r="I374" s="155"/>
      <c r="J374" s="155"/>
      <c r="K374" s="155"/>
      <c r="L374" s="155"/>
      <c r="M374" s="155"/>
      <c r="N374" s="155"/>
    </row>
    <row r="375" spans="3:14" x14ac:dyDescent="0.4">
      <c r="C375" s="99"/>
      <c r="D375" s="99"/>
      <c r="E375" s="99"/>
      <c r="F375" s="99"/>
      <c r="G375" s="99"/>
      <c r="H375" s="99"/>
      <c r="I375" s="99"/>
      <c r="J375" s="99"/>
      <c r="K375" s="99"/>
      <c r="L375" s="99"/>
      <c r="M375" s="99"/>
      <c r="N375" s="99"/>
    </row>
    <row r="376" spans="3:14" ht="65.25" customHeight="1" x14ac:dyDescent="0.4">
      <c r="C376" s="154" t="s">
        <v>277</v>
      </c>
      <c r="D376" s="155"/>
      <c r="E376" s="155"/>
      <c r="F376" s="155"/>
      <c r="G376" s="155"/>
      <c r="H376" s="155"/>
      <c r="I376" s="155"/>
      <c r="J376" s="155"/>
      <c r="K376" s="155"/>
      <c r="L376" s="155"/>
      <c r="M376" s="155"/>
      <c r="N376" s="155"/>
    </row>
    <row r="377" spans="3:14" x14ac:dyDescent="0.4">
      <c r="C377" s="99"/>
      <c r="D377" s="99"/>
      <c r="E377" s="99"/>
      <c r="F377" s="99"/>
      <c r="G377" s="99"/>
      <c r="H377" s="99"/>
      <c r="I377" s="99"/>
      <c r="J377" s="99"/>
      <c r="K377" s="99"/>
      <c r="L377" s="99"/>
      <c r="M377" s="99"/>
      <c r="N377" s="99"/>
    </row>
    <row r="378" spans="3:14" ht="52.5" customHeight="1" x14ac:dyDescent="0.4">
      <c r="C378" s="154" t="s">
        <v>278</v>
      </c>
      <c r="D378" s="155"/>
      <c r="E378" s="155"/>
      <c r="F378" s="155"/>
      <c r="G378" s="155"/>
      <c r="H378" s="155"/>
      <c r="I378" s="155"/>
      <c r="J378" s="155"/>
      <c r="K378" s="155"/>
      <c r="L378" s="155"/>
      <c r="M378" s="155"/>
      <c r="N378" s="155"/>
    </row>
    <row r="379" spans="3:14" x14ac:dyDescent="0.4">
      <c r="C379" s="99"/>
      <c r="D379" s="99"/>
      <c r="E379" s="99"/>
      <c r="F379" s="99"/>
      <c r="G379" s="99"/>
      <c r="H379" s="99"/>
      <c r="I379" s="99"/>
      <c r="J379" s="99"/>
      <c r="K379" s="99"/>
      <c r="L379" s="99"/>
      <c r="M379" s="99"/>
      <c r="N379" s="99"/>
    </row>
    <row r="380" spans="3:14" x14ac:dyDescent="0.4">
      <c r="C380" s="158" t="s">
        <v>279</v>
      </c>
      <c r="D380" s="155"/>
      <c r="E380" s="155"/>
      <c r="F380" s="155"/>
      <c r="G380" s="155"/>
      <c r="H380" s="155"/>
      <c r="I380" s="155"/>
      <c r="J380" s="155"/>
      <c r="K380" s="155"/>
      <c r="L380" s="155"/>
      <c r="M380" s="155"/>
      <c r="N380" s="155"/>
    </row>
    <row r="381" spans="3:14" ht="52.5" customHeight="1" x14ac:dyDescent="0.4">
      <c r="C381" s="154" t="s">
        <v>280</v>
      </c>
      <c r="D381" s="155"/>
      <c r="E381" s="155"/>
      <c r="F381" s="155"/>
      <c r="G381" s="155"/>
      <c r="H381" s="155"/>
      <c r="I381" s="155"/>
      <c r="J381" s="155"/>
      <c r="K381" s="155"/>
      <c r="L381" s="155"/>
      <c r="M381" s="155"/>
      <c r="N381" s="155"/>
    </row>
    <row r="382" spans="3:14" ht="12.75" customHeight="1" x14ac:dyDescent="0.4">
      <c r="C382" s="100"/>
      <c r="D382" s="99"/>
      <c r="E382" s="99"/>
      <c r="F382" s="99"/>
      <c r="G382" s="99"/>
      <c r="H382" s="99"/>
      <c r="I382" s="99"/>
      <c r="J382" s="99"/>
      <c r="K382" s="99"/>
      <c r="L382" s="99"/>
      <c r="M382" s="99"/>
      <c r="N382" s="99"/>
    </row>
    <row r="383" spans="3:14" ht="12.75" customHeight="1" x14ac:dyDescent="0.4">
      <c r="C383" s="110"/>
      <c r="D383" s="111" t="s">
        <v>25</v>
      </c>
      <c r="E383" s="111" t="s">
        <v>25</v>
      </c>
      <c r="F383" s="111" t="s">
        <v>281</v>
      </c>
      <c r="G383" s="99"/>
      <c r="H383" s="99"/>
      <c r="I383" s="99"/>
      <c r="J383" s="99"/>
      <c r="K383" s="99"/>
      <c r="L383" s="99"/>
      <c r="M383" s="99"/>
      <c r="N383" s="99"/>
    </row>
    <row r="384" spans="3:14" ht="12.75" customHeight="1" x14ac:dyDescent="0.4">
      <c r="C384" s="110"/>
      <c r="D384" s="111" t="s">
        <v>281</v>
      </c>
      <c r="E384" s="111" t="s">
        <v>282</v>
      </c>
      <c r="F384" s="111" t="s">
        <v>283</v>
      </c>
      <c r="G384" s="99"/>
      <c r="H384" s="99"/>
      <c r="I384" s="99"/>
      <c r="J384" s="99"/>
      <c r="K384" s="99"/>
      <c r="L384" s="99"/>
      <c r="M384" s="99"/>
      <c r="N384" s="99"/>
    </row>
    <row r="385" spans="3:14" ht="12.75" customHeight="1" x14ac:dyDescent="0.4">
      <c r="C385" s="110" t="s">
        <v>263</v>
      </c>
      <c r="D385" s="113">
        <v>0</v>
      </c>
      <c r="E385" s="113">
        <v>10000</v>
      </c>
      <c r="F385" s="142">
        <f>D385/E385</f>
        <v>0</v>
      </c>
      <c r="G385" s="99"/>
      <c r="H385" s="99"/>
      <c r="I385" s="99"/>
      <c r="J385" s="99"/>
      <c r="K385" s="99"/>
      <c r="L385" s="99"/>
      <c r="M385" s="99"/>
      <c r="N385" s="99"/>
    </row>
    <row r="386" spans="3:14" ht="12.75" customHeight="1" x14ac:dyDescent="0.4">
      <c r="C386" s="110"/>
      <c r="D386" s="113"/>
      <c r="E386" s="113"/>
      <c r="F386" s="142"/>
      <c r="G386" s="99"/>
      <c r="H386" s="99"/>
      <c r="I386" s="99"/>
      <c r="J386" s="99"/>
      <c r="K386" s="99"/>
      <c r="L386" s="99"/>
      <c r="M386" s="99"/>
      <c r="N386" s="99"/>
    </row>
    <row r="387" spans="3:14" ht="12.75" customHeight="1" x14ac:dyDescent="0.4">
      <c r="C387" s="110" t="s">
        <v>264</v>
      </c>
      <c r="D387" s="113">
        <v>2000</v>
      </c>
      <c r="E387" s="113">
        <v>10000</v>
      </c>
      <c r="F387" s="142">
        <f>D387/E387</f>
        <v>0.2</v>
      </c>
      <c r="G387" s="99"/>
      <c r="H387" s="99"/>
      <c r="I387" s="99"/>
      <c r="J387" s="99"/>
      <c r="K387" s="99"/>
      <c r="L387" s="99"/>
      <c r="M387" s="99"/>
      <c r="N387" s="99"/>
    </row>
    <row r="388" spans="3:14" ht="12.75" customHeight="1" x14ac:dyDescent="0.4">
      <c r="C388" s="110"/>
      <c r="D388" s="113"/>
      <c r="E388" s="113"/>
      <c r="F388" s="142"/>
      <c r="G388" s="99"/>
      <c r="H388" s="99"/>
      <c r="I388" s="99"/>
      <c r="J388" s="99"/>
      <c r="K388" s="99"/>
      <c r="L388" s="99"/>
      <c r="M388" s="99"/>
      <c r="N388" s="99"/>
    </row>
    <row r="389" spans="3:14" ht="12.75" customHeight="1" x14ac:dyDescent="0.4">
      <c r="C389" s="110" t="s">
        <v>265</v>
      </c>
      <c r="D389" s="113">
        <v>5000</v>
      </c>
      <c r="E389" s="113">
        <v>10000</v>
      </c>
      <c r="F389" s="142">
        <f>D389/E389</f>
        <v>0.5</v>
      </c>
      <c r="G389" s="99"/>
      <c r="H389" s="99"/>
      <c r="I389" s="99"/>
      <c r="J389" s="99"/>
      <c r="K389" s="99"/>
      <c r="L389" s="99"/>
      <c r="M389" s="99"/>
      <c r="N389" s="99"/>
    </row>
    <row r="390" spans="3:14" x14ac:dyDescent="0.4">
      <c r="C390" s="99"/>
      <c r="D390" s="99"/>
      <c r="E390" s="99"/>
      <c r="F390" s="99"/>
      <c r="G390" s="99"/>
      <c r="H390" s="99"/>
      <c r="I390" s="99"/>
      <c r="J390" s="99"/>
      <c r="K390" s="99"/>
      <c r="L390" s="99"/>
      <c r="M390" s="99"/>
      <c r="N390" s="99"/>
    </row>
    <row r="391" spans="3:14" ht="50.25" customHeight="1" x14ac:dyDescent="0.4">
      <c r="C391" s="154" t="s">
        <v>284</v>
      </c>
      <c r="D391" s="155"/>
      <c r="E391" s="155"/>
      <c r="F391" s="155"/>
      <c r="G391" s="155"/>
      <c r="H391" s="155"/>
      <c r="I391" s="155"/>
      <c r="J391" s="155"/>
      <c r="K391" s="155"/>
      <c r="L391" s="155"/>
      <c r="M391" s="155"/>
      <c r="N391" s="155"/>
    </row>
    <row r="392" spans="3:14" x14ac:dyDescent="0.4">
      <c r="C392" s="99"/>
      <c r="D392" s="99"/>
      <c r="E392" s="99"/>
      <c r="F392" s="99"/>
      <c r="G392" s="99"/>
      <c r="H392" s="99"/>
      <c r="I392" s="99"/>
      <c r="J392" s="99"/>
      <c r="K392" s="99"/>
      <c r="L392" s="99"/>
      <c r="M392" s="99"/>
      <c r="N392" s="99"/>
    </row>
    <row r="393" spans="3:14" ht="66" customHeight="1" x14ac:dyDescent="0.4">
      <c r="C393" s="154" t="s">
        <v>285</v>
      </c>
      <c r="D393" s="155"/>
      <c r="E393" s="155"/>
      <c r="F393" s="155"/>
      <c r="G393" s="155"/>
      <c r="H393" s="155"/>
      <c r="I393" s="155"/>
      <c r="J393" s="155"/>
      <c r="K393" s="155"/>
      <c r="L393" s="155"/>
      <c r="M393" s="155"/>
      <c r="N393" s="155"/>
    </row>
    <row r="394" spans="3:14" x14ac:dyDescent="0.4">
      <c r="C394" s="99"/>
      <c r="D394" s="99"/>
      <c r="E394" s="99"/>
      <c r="F394" s="99"/>
      <c r="G394" s="99"/>
      <c r="H394" s="99"/>
      <c r="I394" s="99"/>
      <c r="J394" s="99"/>
      <c r="K394" s="99"/>
      <c r="L394" s="99"/>
      <c r="M394" s="99"/>
      <c r="N394" s="99"/>
    </row>
    <row r="395" spans="3:14" ht="51" customHeight="1" x14ac:dyDescent="0.4">
      <c r="C395" s="154" t="s">
        <v>286</v>
      </c>
      <c r="D395" s="155"/>
      <c r="E395" s="155"/>
      <c r="F395" s="155"/>
      <c r="G395" s="155"/>
      <c r="H395" s="155"/>
      <c r="I395" s="155"/>
      <c r="J395" s="155"/>
      <c r="K395" s="155"/>
      <c r="L395" s="155"/>
      <c r="M395" s="155"/>
      <c r="N395" s="155"/>
    </row>
    <row r="396" spans="3:14" x14ac:dyDescent="0.4">
      <c r="C396" s="99"/>
      <c r="D396" s="99"/>
      <c r="E396" s="99"/>
      <c r="F396" s="99"/>
      <c r="G396" s="99"/>
      <c r="H396" s="99"/>
      <c r="I396" s="99"/>
      <c r="J396" s="99"/>
      <c r="K396" s="99"/>
      <c r="L396" s="99"/>
      <c r="M396" s="99"/>
      <c r="N396" s="99"/>
    </row>
    <row r="397" spans="3:14" ht="84" customHeight="1" x14ac:dyDescent="0.4">
      <c r="C397" s="154" t="s">
        <v>287</v>
      </c>
      <c r="D397" s="155"/>
      <c r="E397" s="155"/>
      <c r="F397" s="155"/>
      <c r="G397" s="155"/>
      <c r="H397" s="155"/>
      <c r="I397" s="155"/>
      <c r="J397" s="155"/>
      <c r="K397" s="155"/>
      <c r="L397" s="155"/>
      <c r="M397" s="155"/>
      <c r="N397" s="155"/>
    </row>
    <row r="398" spans="3:14" x14ac:dyDescent="0.4">
      <c r="C398" s="99"/>
      <c r="D398" s="99"/>
      <c r="E398" s="99"/>
      <c r="F398" s="99"/>
      <c r="G398" s="99"/>
      <c r="H398" s="99"/>
      <c r="I398" s="99"/>
      <c r="J398" s="99"/>
      <c r="K398" s="99"/>
      <c r="L398" s="99"/>
      <c r="M398" s="99"/>
      <c r="N398" s="99"/>
    </row>
    <row r="399" spans="3:14" ht="71.25" customHeight="1" x14ac:dyDescent="0.4">
      <c r="C399" s="154" t="s">
        <v>288</v>
      </c>
      <c r="D399" s="155"/>
      <c r="E399" s="155"/>
      <c r="F399" s="155"/>
      <c r="G399" s="155"/>
      <c r="H399" s="155"/>
      <c r="I399" s="155"/>
      <c r="J399" s="155"/>
      <c r="K399" s="155"/>
      <c r="L399" s="155"/>
      <c r="M399" s="155"/>
      <c r="N399" s="155"/>
    </row>
    <row r="400" spans="3:14" x14ac:dyDescent="0.4">
      <c r="C400" s="99"/>
      <c r="D400" s="99"/>
      <c r="E400" s="99"/>
      <c r="F400" s="99"/>
      <c r="G400" s="99"/>
      <c r="H400" s="99"/>
      <c r="I400" s="99"/>
      <c r="J400" s="99"/>
      <c r="K400" s="99"/>
      <c r="L400" s="99"/>
      <c r="M400" s="99"/>
      <c r="N400" s="99"/>
    </row>
    <row r="401" spans="3:14" ht="33" customHeight="1" x14ac:dyDescent="0.4">
      <c r="C401" s="154" t="s">
        <v>289</v>
      </c>
      <c r="D401" s="155"/>
      <c r="E401" s="155"/>
      <c r="F401" s="155"/>
      <c r="G401" s="155"/>
      <c r="H401" s="155"/>
      <c r="I401" s="155"/>
      <c r="J401" s="155"/>
      <c r="K401" s="155"/>
      <c r="L401" s="155"/>
      <c r="M401" s="155"/>
      <c r="N401" s="155"/>
    </row>
    <row r="402" spans="3:14" x14ac:dyDescent="0.4">
      <c r="C402" s="99"/>
      <c r="D402" s="99"/>
      <c r="E402" s="99"/>
      <c r="F402" s="99"/>
      <c r="G402" s="99"/>
      <c r="H402" s="99"/>
      <c r="I402" s="99"/>
      <c r="J402" s="99"/>
      <c r="K402" s="99"/>
      <c r="L402" s="99"/>
      <c r="M402" s="99"/>
      <c r="N402" s="99"/>
    </row>
    <row r="403" spans="3:14" x14ac:dyDescent="0.4">
      <c r="C403" s="158" t="s">
        <v>290</v>
      </c>
      <c r="D403" s="155"/>
      <c r="E403" s="155"/>
      <c r="F403" s="155"/>
      <c r="G403" s="155"/>
      <c r="H403" s="155"/>
      <c r="I403" s="155"/>
      <c r="J403" s="155"/>
      <c r="K403" s="155"/>
      <c r="L403" s="155"/>
      <c r="M403" s="155"/>
      <c r="N403" s="155"/>
    </row>
    <row r="404" spans="3:14" ht="80.25" customHeight="1" x14ac:dyDescent="0.4">
      <c r="C404" s="154" t="s">
        <v>291</v>
      </c>
      <c r="D404" s="155"/>
      <c r="E404" s="155"/>
      <c r="F404" s="155"/>
      <c r="G404" s="155"/>
      <c r="H404" s="155"/>
      <c r="I404" s="155"/>
      <c r="J404" s="155"/>
      <c r="K404" s="155"/>
      <c r="L404" s="155"/>
      <c r="M404" s="155"/>
      <c r="N404" s="155"/>
    </row>
    <row r="405" spans="3:14" ht="12.75" customHeight="1" x14ac:dyDescent="0.4">
      <c r="C405" s="100"/>
      <c r="D405" s="99"/>
      <c r="E405" s="99"/>
      <c r="F405" s="99"/>
      <c r="G405" s="99"/>
      <c r="H405" s="99"/>
      <c r="I405" s="99"/>
      <c r="J405" s="99"/>
      <c r="K405" s="99"/>
      <c r="L405" s="99"/>
      <c r="M405" s="99"/>
      <c r="N405" s="99"/>
    </row>
    <row r="406" spans="3:14" ht="12.75" customHeight="1" x14ac:dyDescent="0.4">
      <c r="C406" s="110"/>
      <c r="D406" s="111"/>
      <c r="E406" s="111" t="s">
        <v>206</v>
      </c>
      <c r="F406" s="111" t="s">
        <v>292</v>
      </c>
      <c r="G406" s="111" t="s">
        <v>293</v>
      </c>
      <c r="H406" s="143"/>
      <c r="I406" s="99"/>
      <c r="J406" s="99"/>
      <c r="K406" s="99"/>
      <c r="L406" s="99"/>
      <c r="M406" s="99"/>
      <c r="N406" s="99"/>
    </row>
    <row r="407" spans="3:14" ht="12.75" customHeight="1" x14ac:dyDescent="0.4">
      <c r="C407" s="110"/>
      <c r="D407" s="111"/>
      <c r="E407" s="110"/>
      <c r="F407" s="110"/>
      <c r="G407" s="111" t="s">
        <v>294</v>
      </c>
      <c r="H407" s="143"/>
      <c r="I407" s="99"/>
      <c r="J407" s="99"/>
      <c r="K407" s="99"/>
      <c r="L407" s="99"/>
      <c r="M407" s="99"/>
      <c r="N407" s="99"/>
    </row>
    <row r="408" spans="3:14" ht="12.75" customHeight="1" x14ac:dyDescent="0.4">
      <c r="C408" s="110" t="s">
        <v>263</v>
      </c>
      <c r="D408" s="110"/>
      <c r="E408" s="113">
        <v>200000</v>
      </c>
      <c r="F408" s="113">
        <v>30000</v>
      </c>
      <c r="G408" s="144">
        <f>E408/F408</f>
        <v>6.666666666666667</v>
      </c>
      <c r="H408" s="143"/>
      <c r="I408" s="99"/>
      <c r="J408" s="99"/>
      <c r="K408" s="99"/>
      <c r="L408" s="99"/>
      <c r="M408" s="99"/>
      <c r="N408" s="99"/>
    </row>
    <row r="409" spans="3:14" ht="12.75" customHeight="1" x14ac:dyDescent="0.4">
      <c r="C409" s="110"/>
      <c r="D409" s="110"/>
      <c r="E409" s="113"/>
      <c r="F409" s="113"/>
      <c r="G409" s="144"/>
      <c r="H409" s="143"/>
      <c r="I409" s="99"/>
      <c r="J409" s="99"/>
      <c r="K409" s="99"/>
      <c r="L409" s="99"/>
      <c r="M409" s="99"/>
      <c r="N409" s="99"/>
    </row>
    <row r="410" spans="3:14" ht="12.75" customHeight="1" x14ac:dyDescent="0.4">
      <c r="C410" s="110" t="s">
        <v>264</v>
      </c>
      <c r="D410" s="110"/>
      <c r="E410" s="113">
        <v>200000</v>
      </c>
      <c r="F410" s="113">
        <v>50000</v>
      </c>
      <c r="G410" s="144">
        <f>E410/F410</f>
        <v>4</v>
      </c>
      <c r="H410" s="143"/>
      <c r="I410" s="99"/>
      <c r="J410" s="99"/>
      <c r="K410" s="99"/>
      <c r="L410" s="99"/>
      <c r="M410" s="99"/>
      <c r="N410" s="99"/>
    </row>
    <row r="411" spans="3:14" ht="12.75" customHeight="1" x14ac:dyDescent="0.4">
      <c r="C411" s="110"/>
      <c r="D411" s="110"/>
      <c r="E411" s="113"/>
      <c r="F411" s="113"/>
      <c r="G411" s="144"/>
      <c r="H411" s="143"/>
      <c r="I411" s="99"/>
      <c r="J411" s="99"/>
      <c r="K411" s="99"/>
      <c r="L411" s="99"/>
      <c r="M411" s="99"/>
      <c r="N411" s="99"/>
    </row>
    <row r="412" spans="3:14" ht="12.75" customHeight="1" x14ac:dyDescent="0.4">
      <c r="C412" s="110" t="s">
        <v>265</v>
      </c>
      <c r="D412" s="110"/>
      <c r="E412" s="113">
        <v>200000</v>
      </c>
      <c r="F412" s="113">
        <v>100000</v>
      </c>
      <c r="G412" s="144">
        <f>E412/F412</f>
        <v>2</v>
      </c>
      <c r="H412" s="143"/>
      <c r="I412" s="99"/>
      <c r="J412" s="99"/>
      <c r="K412" s="99"/>
      <c r="L412" s="99"/>
      <c r="M412" s="99"/>
      <c r="N412" s="99"/>
    </row>
    <row r="413" spans="3:14" x14ac:dyDescent="0.4">
      <c r="C413" s="99"/>
      <c r="D413" s="99"/>
      <c r="E413" s="99"/>
      <c r="F413" s="99"/>
      <c r="G413" s="99"/>
      <c r="H413" s="99"/>
      <c r="I413" s="99"/>
      <c r="J413" s="99"/>
      <c r="K413" s="99"/>
      <c r="L413" s="99"/>
      <c r="M413" s="99"/>
      <c r="N413" s="99"/>
    </row>
    <row r="414" spans="3:14" ht="65.25" customHeight="1" x14ac:dyDescent="0.4">
      <c r="C414" s="154" t="s">
        <v>295</v>
      </c>
      <c r="D414" s="155"/>
      <c r="E414" s="155"/>
      <c r="F414" s="155"/>
      <c r="G414" s="155"/>
      <c r="H414" s="155"/>
      <c r="I414" s="155"/>
      <c r="J414" s="155"/>
      <c r="K414" s="155"/>
      <c r="L414" s="155"/>
      <c r="M414" s="155"/>
      <c r="N414" s="155"/>
    </row>
    <row r="415" spans="3:14" x14ac:dyDescent="0.4">
      <c r="C415" s="99"/>
      <c r="D415" s="99"/>
      <c r="E415" s="99"/>
      <c r="F415" s="99"/>
      <c r="G415" s="99"/>
      <c r="H415" s="99"/>
      <c r="I415" s="99"/>
      <c r="J415" s="99"/>
      <c r="K415" s="99"/>
      <c r="L415" s="99"/>
      <c r="M415" s="99"/>
      <c r="N415" s="99"/>
    </row>
    <row r="416" spans="3:14" ht="40.5" customHeight="1" x14ac:dyDescent="0.4">
      <c r="C416" s="154" t="s">
        <v>296</v>
      </c>
      <c r="D416" s="155"/>
      <c r="E416" s="155"/>
      <c r="F416" s="155"/>
      <c r="G416" s="155"/>
      <c r="H416" s="155"/>
      <c r="I416" s="155"/>
      <c r="J416" s="155"/>
      <c r="K416" s="155"/>
      <c r="L416" s="155"/>
      <c r="M416" s="155"/>
      <c r="N416" s="155"/>
    </row>
    <row r="417" spans="3:14" x14ac:dyDescent="0.4">
      <c r="C417" s="99"/>
      <c r="D417" s="99"/>
      <c r="E417" s="99"/>
      <c r="F417" s="99"/>
      <c r="G417" s="99"/>
      <c r="H417" s="99"/>
      <c r="I417" s="99"/>
      <c r="J417" s="99"/>
      <c r="K417" s="99"/>
      <c r="L417" s="99"/>
      <c r="M417" s="99"/>
      <c r="N417" s="99"/>
    </row>
    <row r="418" spans="3:14" x14ac:dyDescent="0.4">
      <c r="C418" s="158" t="s">
        <v>297</v>
      </c>
      <c r="D418" s="155"/>
      <c r="E418" s="155"/>
      <c r="F418" s="155"/>
      <c r="G418" s="155"/>
      <c r="H418" s="155"/>
      <c r="I418" s="155"/>
      <c r="J418" s="155"/>
      <c r="K418" s="155"/>
      <c r="L418" s="155"/>
      <c r="M418" s="155"/>
      <c r="N418" s="155"/>
    </row>
    <row r="419" spans="3:14" ht="102.75" customHeight="1" x14ac:dyDescent="0.4">
      <c r="C419" s="154" t="s">
        <v>1</v>
      </c>
      <c r="D419" s="155"/>
      <c r="E419" s="155"/>
      <c r="F419" s="155"/>
      <c r="G419" s="155"/>
      <c r="H419" s="155"/>
      <c r="I419" s="155"/>
      <c r="J419" s="155"/>
      <c r="K419" s="155"/>
      <c r="L419" s="155"/>
      <c r="M419" s="155"/>
      <c r="N419" s="155"/>
    </row>
    <row r="420" spans="3:14" ht="15" customHeight="1" x14ac:dyDescent="0.4"/>
    <row r="421" spans="3:14" ht="16.5" customHeight="1" x14ac:dyDescent="0.4">
      <c r="C421" s="157" t="s">
        <v>299</v>
      </c>
      <c r="D421" s="157"/>
      <c r="E421" s="157"/>
      <c r="F421" s="157"/>
      <c r="G421" s="157"/>
      <c r="H421" s="157"/>
      <c r="I421" s="157"/>
      <c r="J421" s="157"/>
      <c r="K421" s="157"/>
      <c r="L421" s="157"/>
      <c r="M421" s="157"/>
      <c r="N421" s="157"/>
    </row>
    <row r="422" spans="3:14" x14ac:dyDescent="0.4">
      <c r="C422" s="99"/>
      <c r="D422" s="99"/>
      <c r="E422" s="99"/>
      <c r="F422" s="99"/>
      <c r="G422" s="99"/>
      <c r="H422" s="99"/>
      <c r="I422" s="99"/>
      <c r="J422" s="99"/>
      <c r="K422" s="99"/>
      <c r="L422" s="99"/>
      <c r="M422" s="99"/>
      <c r="N422" s="99"/>
    </row>
    <row r="423" spans="3:14" x14ac:dyDescent="0.4">
      <c r="C423" s="99"/>
      <c r="D423" s="99"/>
      <c r="E423" s="99"/>
      <c r="F423" s="99"/>
      <c r="G423" s="99"/>
      <c r="H423" s="99"/>
      <c r="I423" s="99"/>
      <c r="J423" s="99"/>
      <c r="K423" s="99"/>
      <c r="L423" s="99"/>
      <c r="M423" s="99"/>
      <c r="N423" s="99"/>
    </row>
    <row r="424" spans="3:14" x14ac:dyDescent="0.4">
      <c r="C424" s="99"/>
      <c r="D424" s="99"/>
      <c r="E424" s="99"/>
      <c r="F424" s="99"/>
      <c r="G424" s="99"/>
      <c r="H424" s="99"/>
      <c r="I424" s="99"/>
      <c r="J424" s="99"/>
      <c r="K424" s="99"/>
      <c r="L424" s="99"/>
      <c r="M424" s="99"/>
      <c r="N424" s="99"/>
    </row>
  </sheetData>
  <mergeCells count="97">
    <mergeCell ref="C399:N399"/>
    <mergeCell ref="C401:N401"/>
    <mergeCell ref="C403:N403"/>
    <mergeCell ref="C391:N391"/>
    <mergeCell ref="C393:N393"/>
    <mergeCell ref="C395:N395"/>
    <mergeCell ref="C418:N418"/>
    <mergeCell ref="C419:N419"/>
    <mergeCell ref="C3:N3"/>
    <mergeCell ref="C404:N404"/>
    <mergeCell ref="C414:N414"/>
    <mergeCell ref="C416:N416"/>
    <mergeCell ref="C397:N397"/>
    <mergeCell ref="C372:N372"/>
    <mergeCell ref="C374:N374"/>
    <mergeCell ref="C376:N376"/>
    <mergeCell ref="C378:N378"/>
    <mergeCell ref="C380:N380"/>
    <mergeCell ref="C381:N381"/>
    <mergeCell ref="C360:N360"/>
    <mergeCell ref="C362:N362"/>
    <mergeCell ref="C364:N364"/>
    <mergeCell ref="C366:N366"/>
    <mergeCell ref="C368:N368"/>
    <mergeCell ref="C370:N370"/>
    <mergeCell ref="C357:N357"/>
    <mergeCell ref="C334:N334"/>
    <mergeCell ref="C335:N335"/>
    <mergeCell ref="C336:N336"/>
    <mergeCell ref="C337:N337"/>
    <mergeCell ref="C359:N359"/>
    <mergeCell ref="C327:N327"/>
    <mergeCell ref="C329:N329"/>
    <mergeCell ref="C331:N331"/>
    <mergeCell ref="C333:N333"/>
    <mergeCell ref="C338:N338"/>
    <mergeCell ref="C355:N355"/>
    <mergeCell ref="C293:N293"/>
    <mergeCell ref="C318:N318"/>
    <mergeCell ref="C320:N320"/>
    <mergeCell ref="C322:N322"/>
    <mergeCell ref="C323:N323"/>
    <mergeCell ref="C325:N325"/>
    <mergeCell ref="C235:N235"/>
    <mergeCell ref="C261:N261"/>
    <mergeCell ref="C263:N263"/>
    <mergeCell ref="C264:N264"/>
    <mergeCell ref="C266:N266"/>
    <mergeCell ref="C268:N268"/>
    <mergeCell ref="C199:N199"/>
    <mergeCell ref="C200:N200"/>
    <mergeCell ref="C201:N201"/>
    <mergeCell ref="C203:N203"/>
    <mergeCell ref="C231:N231"/>
    <mergeCell ref="C233:N233"/>
    <mergeCell ref="C193:N193"/>
    <mergeCell ref="C195:N195"/>
    <mergeCell ref="C196:N196"/>
    <mergeCell ref="C192:N192"/>
    <mergeCell ref="C197:N197"/>
    <mergeCell ref="C198:N198"/>
    <mergeCell ref="C106:N106"/>
    <mergeCell ref="C133:N133"/>
    <mergeCell ref="C135:N135"/>
    <mergeCell ref="C137:N137"/>
    <mergeCell ref="C139:N139"/>
    <mergeCell ref="C141:N141"/>
    <mergeCell ref="C45:N45"/>
    <mergeCell ref="C47:N47"/>
    <mergeCell ref="C49:N49"/>
    <mergeCell ref="C50:N50"/>
    <mergeCell ref="C52:N52"/>
    <mergeCell ref="C79:N79"/>
    <mergeCell ref="C33:N33"/>
    <mergeCell ref="C35:N35"/>
    <mergeCell ref="C37:N37"/>
    <mergeCell ref="C39:N39"/>
    <mergeCell ref="C41:N41"/>
    <mergeCell ref="C43:N43"/>
    <mergeCell ref="C28:N28"/>
    <mergeCell ref="C30:N30"/>
    <mergeCell ref="C31:N31"/>
    <mergeCell ref="C32:N32"/>
    <mergeCell ref="C12:N12"/>
    <mergeCell ref="C14:N14"/>
    <mergeCell ref="C16:N16"/>
    <mergeCell ref="C23:N23"/>
    <mergeCell ref="C4:N4"/>
    <mergeCell ref="C6:N6"/>
    <mergeCell ref="C8:N8"/>
    <mergeCell ref="C10:N10"/>
    <mergeCell ref="C421:N421"/>
    <mergeCell ref="C18:N18"/>
    <mergeCell ref="C20:N20"/>
    <mergeCell ref="C21:N21"/>
    <mergeCell ref="C24:N24"/>
    <mergeCell ref="C26:N26"/>
  </mergeCells>
  <phoneticPr fontId="14" type="noConversion"/>
  <pageMargins left="0.75" right="0.75" top="1" bottom="1" header="0.5" footer="0.5"/>
  <pageSetup scale="73" orientation="portrait" horizontalDpi="4294967294" verticalDpi="300" r:id="rId1"/>
  <headerFooter alignWithMargins="0">
    <oddFooter>&amp;C© Copyright, 2010, Jaxworks, All Rights Reserved.
Page &amp;P</oddFooter>
  </headerFooter>
  <rowBreaks count="11" manualBreakCount="11">
    <brk id="21" min="2" max="13" man="1"/>
    <brk id="37" min="2" max="13" man="1"/>
    <brk id="78" min="2" max="13" man="1"/>
    <brk id="134" min="2" max="13" man="1"/>
    <brk id="190" min="2" max="13" man="1"/>
    <brk id="234" min="2" max="13" man="1"/>
    <brk id="267" min="2" max="13" man="1"/>
    <brk id="317" min="2" max="13" man="1"/>
    <brk id="337" min="2" max="13" man="1"/>
    <brk id="368" min="2" max="13" man="1"/>
    <brk id="396" min="2" max="13"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indexed="22"/>
    <pageSetUpPr autoPageBreaks="0"/>
  </sheetPr>
  <dimension ref="C1:N15"/>
  <sheetViews>
    <sheetView showGridLines="0" showRowColHeaders="0" defaultGridColor="0" colorId="7" workbookViewId="0"/>
  </sheetViews>
  <sheetFormatPr defaultColWidth="10.640625" defaultRowHeight="10.15" x14ac:dyDescent="0.3"/>
  <cols>
    <col min="1" max="1" width="0.640625" style="81" customWidth="1"/>
    <col min="2" max="2" width="3.35546875" style="81" customWidth="1"/>
    <col min="3" max="13" width="10.640625" style="81" customWidth="1"/>
    <col min="14" max="14" width="7.85546875" style="81" customWidth="1"/>
    <col min="15" max="16384" width="10.640625" style="81"/>
  </cols>
  <sheetData>
    <row r="1" spans="3:14" ht="4.5" customHeight="1" x14ac:dyDescent="0.3"/>
    <row r="2" spans="3:14" ht="20.25" customHeight="1" x14ac:dyDescent="0.3"/>
    <row r="3" spans="3:14" ht="22.5" customHeight="1" x14ac:dyDescent="0.3">
      <c r="C3" s="167" t="s">
        <v>131</v>
      </c>
      <c r="D3" s="167"/>
      <c r="E3" s="167"/>
      <c r="F3" s="167"/>
      <c r="G3" s="167"/>
      <c r="H3" s="167"/>
      <c r="I3" s="167"/>
      <c r="J3" s="167"/>
      <c r="K3" s="167"/>
      <c r="L3" s="167"/>
      <c r="M3" s="167"/>
      <c r="N3" s="167"/>
    </row>
    <row r="5" spans="3:14" ht="11.25" customHeight="1" x14ac:dyDescent="0.3">
      <c r="C5" s="169" t="s">
        <v>300</v>
      </c>
      <c r="D5" s="169"/>
      <c r="E5" s="169"/>
      <c r="F5" s="169"/>
      <c r="G5" s="169"/>
      <c r="H5" s="169"/>
      <c r="I5" s="169"/>
      <c r="J5" s="169"/>
      <c r="K5" s="169"/>
      <c r="L5" s="169"/>
      <c r="M5" s="169"/>
      <c r="N5" s="169"/>
    </row>
    <row r="6" spans="3:14" ht="11.25" customHeight="1" x14ac:dyDescent="0.3">
      <c r="C6" s="169" t="s">
        <v>132</v>
      </c>
      <c r="D6" s="169"/>
      <c r="E6" s="169"/>
      <c r="F6" s="169"/>
      <c r="G6" s="169"/>
      <c r="H6" s="169"/>
      <c r="I6" s="169"/>
      <c r="J6" s="169"/>
      <c r="K6" s="169"/>
      <c r="L6" s="169"/>
      <c r="M6" s="169"/>
      <c r="N6" s="169"/>
    </row>
    <row r="7" spans="3:14" ht="11.25" customHeight="1" x14ac:dyDescent="0.3">
      <c r="C7" s="169" t="s">
        <v>133</v>
      </c>
      <c r="D7" s="169"/>
      <c r="E7" s="169"/>
      <c r="F7" s="169"/>
      <c r="G7" s="169"/>
      <c r="H7" s="169"/>
      <c r="I7" s="169"/>
      <c r="J7" s="169"/>
      <c r="K7" s="169"/>
      <c r="L7" s="169"/>
      <c r="M7" s="169"/>
      <c r="N7" s="169"/>
    </row>
    <row r="9" spans="3:14" ht="24.75" customHeight="1" x14ac:dyDescent="0.3">
      <c r="C9" s="166" t="s">
        <v>298</v>
      </c>
      <c r="D9" s="166"/>
      <c r="E9" s="166"/>
      <c r="F9" s="166"/>
      <c r="G9" s="166"/>
      <c r="H9" s="166"/>
      <c r="I9" s="166"/>
      <c r="J9" s="166"/>
      <c r="K9" s="166"/>
      <c r="L9" s="166"/>
      <c r="M9" s="166"/>
      <c r="N9" s="166"/>
    </row>
    <row r="11" spans="3:14" ht="11.25" customHeight="1" x14ac:dyDescent="0.3">
      <c r="C11" s="168" t="s">
        <v>134</v>
      </c>
      <c r="D11" s="168"/>
      <c r="E11" s="168"/>
      <c r="F11" s="168"/>
      <c r="G11" s="168"/>
      <c r="H11" s="168"/>
      <c r="I11" s="168"/>
      <c r="J11" s="168"/>
      <c r="K11" s="168"/>
      <c r="L11" s="168"/>
      <c r="M11" s="168"/>
      <c r="N11" s="168"/>
    </row>
    <row r="13" spans="3:14" ht="45" customHeight="1" x14ac:dyDescent="0.3">
      <c r="C13" s="169" t="s">
        <v>135</v>
      </c>
      <c r="D13" s="169"/>
      <c r="E13" s="169"/>
      <c r="F13" s="169"/>
      <c r="G13" s="169"/>
      <c r="H13" s="169"/>
      <c r="I13" s="169"/>
      <c r="J13" s="169"/>
      <c r="K13" s="169"/>
      <c r="L13" s="169"/>
      <c r="M13" s="169"/>
      <c r="N13" s="169"/>
    </row>
    <row r="15" spans="3:14" ht="11.65" x14ac:dyDescent="0.35">
      <c r="C15" s="82"/>
    </row>
  </sheetData>
  <mergeCells count="7">
    <mergeCell ref="C9:N9"/>
    <mergeCell ref="C3:N3"/>
    <mergeCell ref="C11:N11"/>
    <mergeCell ref="C13:N13"/>
    <mergeCell ref="C5:N5"/>
    <mergeCell ref="C6:N6"/>
    <mergeCell ref="C7:N7"/>
  </mergeCells>
  <phoneticPr fontId="21" type="noConversion"/>
  <printOptions horizontalCentered="1"/>
  <pageMargins left="0.75" right="0.75" top="1" bottom="1" header="0.5" footer="0.5"/>
  <pageSetup scale="89" orientation="portrait" horizontalDpi="300" verticalDpi="300" r:id="rId1"/>
  <headerFooter alignWithMargins="0">
    <oddFooter>&amp;C© Copyright, 2002, JaxWorks, All Rights Reserved.</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36</vt:i4>
      </vt:variant>
    </vt:vector>
  </HeadingPairs>
  <TitlesOfParts>
    <vt:vector size="48" baseType="lpstr">
      <vt:lpstr>JaxWorks</vt:lpstr>
      <vt:lpstr>Start Here</vt:lpstr>
      <vt:lpstr>JaxWorks Break-Even Analysis</vt:lpstr>
      <vt:lpstr>Print Page</vt:lpstr>
      <vt:lpstr>Break-Even Analysis Data Entry</vt:lpstr>
      <vt:lpstr>Current BE Chart For Printing</vt:lpstr>
      <vt:lpstr>Projected BE Chart For Printing</vt:lpstr>
      <vt:lpstr>BE Chart Explanation</vt:lpstr>
      <vt:lpstr>Current Pie Chart</vt:lpstr>
      <vt:lpstr>Projected Pie Chart</vt:lpstr>
      <vt:lpstr>Applying Break-Even</vt:lpstr>
      <vt:lpstr>Copyright</vt:lpstr>
      <vt:lpstr>CDsMade</vt:lpstr>
      <vt:lpstr>Firm_A</vt:lpstr>
      <vt:lpstr>Firm_B</vt:lpstr>
      <vt:lpstr>Firm_C</vt:lpstr>
      <vt:lpstr>Fixed_costs</vt:lpstr>
      <vt:lpstr>Fixed_costsb</vt:lpstr>
      <vt:lpstr>Fixed_costsc</vt:lpstr>
      <vt:lpstr>Fixed_costsd</vt:lpstr>
      <vt:lpstr>Fixed_costsx</vt:lpstr>
      <vt:lpstr>Increase_in</vt:lpstr>
      <vt:lpstr>MaterialsCost</vt:lpstr>
      <vt:lpstr>Net_operating</vt:lpstr>
      <vt:lpstr>PackagingCost</vt:lpstr>
      <vt:lpstr>'Applying Break-Even'!Print_Area</vt:lpstr>
      <vt:lpstr>'BE Chart Explanation'!Print_Area</vt:lpstr>
      <vt:lpstr>'Current Pie Chart'!Print_Area</vt:lpstr>
      <vt:lpstr>JaxWorks!Print_Area</vt:lpstr>
      <vt:lpstr>'Print Page'!Print_Area</vt:lpstr>
      <vt:lpstr>'Projected Pie Chart'!Print_Area</vt:lpstr>
      <vt:lpstr>Sales</vt:lpstr>
      <vt:lpstr>Sales_price</vt:lpstr>
      <vt:lpstr>Salesb</vt:lpstr>
      <vt:lpstr>Salesc</vt:lpstr>
      <vt:lpstr>SalesLevel</vt:lpstr>
      <vt:lpstr>Store_A</vt:lpstr>
      <vt:lpstr>Store_B</vt:lpstr>
      <vt:lpstr>Store_C</vt:lpstr>
      <vt:lpstr>Total_sales</vt:lpstr>
      <vt:lpstr>Unit_price</vt:lpstr>
      <vt:lpstr>Unit_sales</vt:lpstr>
      <vt:lpstr>UnitCost</vt:lpstr>
      <vt:lpstr>Units_Sold</vt:lpstr>
      <vt:lpstr>Variable_costs</vt:lpstr>
      <vt:lpstr>Variable_costsb</vt:lpstr>
      <vt:lpstr>Variable_costsc</vt:lpstr>
      <vt:lpstr>Variable_costsx</vt:lpstr>
    </vt:vector>
  </TitlesOfParts>
  <Company>JaxWorks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NeoCalc™ Comprehensive Break-Even Analysis</dc:title>
  <dc:creator>JaxWorks</dc:creator>
  <dc:description>© Copyright, 2010, JaxWorks, All Rights Reserved.</dc:description>
  <cp:lastModifiedBy>sunny</cp:lastModifiedBy>
  <cp:lastPrinted>2010-02-03T03:47:33Z</cp:lastPrinted>
  <dcterms:created xsi:type="dcterms:W3CDTF">2001-08-16T13:32:34Z</dcterms:created>
  <dcterms:modified xsi:type="dcterms:W3CDTF">2018-07-20T11:12:34Z</dcterms:modified>
</cp:coreProperties>
</file>