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48.xml" ContentType="application/vnd.ms-excel.controlproperties+xml"/>
  <Override PartName="/xl/drawings/drawing10.xml" ContentType="application/vnd.openxmlformats-officedocument.drawing+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ctrlProps/ctrlProp51.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228" codeName="{EFFCB103-AD96-A003-248E-DF2DB03C9060}"/>
  <workbookPr codeName="EsteLibro"/>
  <mc:AlternateContent xmlns:mc="http://schemas.openxmlformats.org/markup-compatibility/2006">
    <mc:Choice Requires="x15">
      <x15ac:absPath xmlns:x15ac="http://schemas.microsoft.com/office/spreadsheetml/2010/11/ac" url="Z:\github\Preprocessor\test objects\"/>
    </mc:Choice>
  </mc:AlternateContent>
  <xr:revisionPtr revIDLastSave="0" documentId="8_{9546EB95-C54C-4CED-B3F7-F145A026418F}" xr6:coauthVersionLast="34" xr6:coauthVersionMax="34" xr10:uidLastSave="{00000000-0000-0000-0000-000000000000}"/>
  <bookViews>
    <workbookView showSheetTabs="0" xWindow="4035" yWindow="195" windowWidth="4020" windowHeight="6195" tabRatio="873"/>
  </bookViews>
  <sheets>
    <sheet name="MenuP" sheetId="28" r:id="rId1"/>
    <sheet name="Legal" sheetId="31" r:id="rId2"/>
    <sheet name="Instue" sheetId="32" r:id="rId3"/>
    <sheet name="Ayuda" sheetId="95" r:id="rId4"/>
    <sheet name="Cedulas" sheetId="38512" r:id="rId5"/>
    <sheet name="Cap01" sheetId="3152" r:id="rId6"/>
    <sheet name="Cap02" sheetId="3" r:id="rId7"/>
    <sheet name="WCap13" sheetId="1" state="hidden" r:id="rId8"/>
    <sheet name="Wanexo2" sheetId="38512" state="hidden" r:id="rId9"/>
    <sheet name="WCap14" sheetId="3144" state="hidden" r:id="rId10"/>
    <sheet name="Cap03" sheetId="2819" r:id="rId11"/>
    <sheet name="OBS" sheetId="2561" r:id="rId12"/>
    <sheet name="Valida" sheetId="523" r:id="rId13"/>
    <sheet name="Anexo" sheetId="11565" r:id="rId14"/>
    <sheet name="Anexo2" sheetId="2048" r:id="rId15"/>
    <sheet name="TabUbica" sheetId="516" r:id="rId16"/>
    <sheet name="TabCiiu" sheetId="514" r:id="rId17"/>
    <sheet name="TabOrgJ" sheetId="45" r:id="rId18"/>
    <sheet name="Wcap02" sheetId="8196" state="hidden" r:id="rId19"/>
    <sheet name="Wcap03" sheetId="3072" state="hidden" r:id="rId20"/>
    <sheet name="WCap04" sheetId="777" state="hidden" r:id="rId21"/>
    <sheet name="Wcap01" sheetId="267" state="hidden" r:id="rId22"/>
  </sheets>
  <definedNames>
    <definedName name="_xlnm._FilterDatabase" localSheetId="16" hidden="1">TabCiiu!$A$3:$D$1927</definedName>
    <definedName name="_xlnm._FilterDatabase" localSheetId="15" hidden="1">TabUbica!$A$4:$F$1832</definedName>
    <definedName name="A_impresión_IM">#REF!</definedName>
    <definedName name="CAP_V1">#REF!</definedName>
    <definedName name="coddist">TabUbica!$P$1921:$P$1970</definedName>
    <definedName name="CODDPTO">TabUbica!$B$1846:$B$1870</definedName>
    <definedName name="codprov">TabUbica!$N$1881:$N$1910</definedName>
    <definedName name="CONSULTA" localSheetId="3">#REF!</definedName>
    <definedName name="CONSULTA" localSheetId="2">#REF!</definedName>
    <definedName name="CONSULTA" localSheetId="1">#REF!</definedName>
    <definedName name="CONSULTA" localSheetId="11">#REF!</definedName>
    <definedName name="CONSULTA">#REF!</definedName>
    <definedName name="_xlnm.Criteria" localSheetId="16">TabCiiu!$C$1:$D$2</definedName>
    <definedName name="_xlnm.Criteria" localSheetId="15">TabUbica!$F$1:$H$2</definedName>
    <definedName name="_xlnm.Database">#REF!</definedName>
    <definedName name="DEFINICION">#REF!</definedName>
    <definedName name="ejemplo15">#REF!</definedName>
    <definedName name="ESPECIFICO" localSheetId="3">#REF!</definedName>
    <definedName name="ESPECIFICO" localSheetId="2">#REF!</definedName>
    <definedName name="ESPECIFICO" localSheetId="1">#REF!</definedName>
    <definedName name="ESPECIFICO" localSheetId="11">#REF!</definedName>
    <definedName name="ESPECIFICO">#REF!</definedName>
    <definedName name="_xlnm.Extract" localSheetId="16">TabCiiu!$A$2054:$D$2117</definedName>
    <definedName name="_xlnm.Extract" localSheetId="15">TabUbica!$B$1920:$G$1970</definedName>
    <definedName name="GENERAL" localSheetId="3">#REF!</definedName>
    <definedName name="GENERAL" localSheetId="2">#REF!</definedName>
    <definedName name="GENERAL" localSheetId="1">#REF!</definedName>
    <definedName name="GENERAL" localSheetId="11">#REF!</definedName>
    <definedName name="GENERAL">#REF!</definedName>
    <definedName name="LUGAR" localSheetId="3">#REF!</definedName>
    <definedName name="LUGAR" localSheetId="2">#REF!</definedName>
    <definedName name="LUGAR" localSheetId="1">#REF!</definedName>
    <definedName name="LUGAR" localSheetId="11">#REF!</definedName>
    <definedName name="LUGAR">#REF!</definedName>
    <definedName name="nomdep">TabUbica!$C$1846:$C$1870</definedName>
    <definedName name="nomdist">TabUbica!$Q$1921:$Q$1970</definedName>
    <definedName name="nomprov">TabUbica!$O$1881:$O$1910</definedName>
    <definedName name="OLE_LINK1" localSheetId="2">Instue!$C$161</definedName>
    <definedName name="_xlnm.Print_Area" localSheetId="13">Anexo!$A$1:$G$56</definedName>
    <definedName name="_xlnm.Print_Area" localSheetId="14">Anexo2!$A$1:$I$52</definedName>
    <definedName name="_xlnm.Print_Area" localSheetId="3">Ayuda!$A$1:$I$103</definedName>
    <definedName name="_xlnm.Print_Area" localSheetId="5">'Cap01'!$B$1:$K$60</definedName>
    <definedName name="_xlnm.Print_Area" localSheetId="6">'Cap02'!$A$1:$G$69</definedName>
    <definedName name="_xlnm.Print_Area" localSheetId="10">'Cap03'!$B$1:$I$58</definedName>
    <definedName name="_xlnm.Print_Area" localSheetId="4">Cedulas!$A$1:$K$30</definedName>
    <definedName name="_xlnm.Print_Area" localSheetId="2">Instue!$B$1:$L$231</definedName>
    <definedName name="_xlnm.Print_Area" localSheetId="1">Legal!$A$1:$D$37</definedName>
    <definedName name="_xlnm.Print_Area" localSheetId="11">OBS!$A$1:$H$26</definedName>
    <definedName name="_xlnm.Print_Area" localSheetId="12">Valida!$A$1:$F$44</definedName>
    <definedName name="www">Instue!#REF!</definedName>
    <definedName name="Z_BADF0D91_0196_11D5_91C8_00485485D900_.wvu.FilterData" localSheetId="16" hidden="1">TabCiiu!$A$3:$D$586</definedName>
    <definedName name="Z_BADF0D91_0196_11D5_91C8_00485485D900_.wvu.FilterData" localSheetId="15" hidden="1">TabUbica!$A$4:$F$1816</definedName>
    <definedName name="Z_BADF0D91_0196_11D5_91C8_00485485D900_.wvu.PrintArea" localSheetId="13" hidden="1">Anexo!$B$3:$M$7</definedName>
    <definedName name="Z_BADF0D91_0196_11D5_91C8_00485485D900_.wvu.PrintArea" localSheetId="5" hidden="1">'Cap01'!$B$2:$I$56</definedName>
    <definedName name="Z_BADF0D91_0196_11D5_91C8_00485485D900_.wvu.PrintArea" localSheetId="6" hidden="1">'Cap02'!$B$3:$M$13</definedName>
    <definedName name="Z_BADF0D91_0196_11D5_91C8_00485485D900_.wvu.PrintArea" localSheetId="1" hidden="1">Legal!$A$1:$F$16</definedName>
    <definedName name="Z_BADF0D91_0196_11D5_91C8_00485485D900_.wvu.PrintArea" localSheetId="12" hidden="1">Valida!$A$3:$J$36</definedName>
  </definedNames>
  <calcPr calcId="179017"/>
  <customWorkbookViews>
    <customWorkbookView name="INEI - Vista personalizada" guid="{BADF0D91-0196-11D5-91C8-00485485D900}" mergeInterval="0" personalView="1" maximized="1" windowWidth="636" windowHeight="405" activeSheetId="23" showFormulaBar="0" showStatusbar="0"/>
  </customWorkbookViews>
</workbook>
</file>

<file path=xl/calcChain.xml><?xml version="1.0" encoding="utf-8"?>
<calcChain xmlns="http://schemas.openxmlformats.org/spreadsheetml/2006/main">
  <c r="D43" i="523" l="1"/>
  <c r="D39" i="523" s="1"/>
  <c r="D21" i="523"/>
  <c r="F21" i="523" s="1"/>
  <c r="E21" i="523"/>
  <c r="I22" i="2819"/>
  <c r="I24" i="2819" s="1"/>
  <c r="E27" i="523" s="1"/>
  <c r="I52" i="2048"/>
  <c r="I23" i="2819"/>
  <c r="D27" i="523"/>
  <c r="F27" i="523" s="1"/>
  <c r="G18" i="3"/>
  <c r="G25" i="3" s="1"/>
  <c r="G21" i="3"/>
  <c r="K23" i="3"/>
  <c r="D42" i="523"/>
  <c r="D41" i="523"/>
  <c r="D40" i="523"/>
  <c r="K19" i="3"/>
  <c r="L19" i="3" s="1"/>
  <c r="H19" i="3" s="1"/>
  <c r="J17" i="3"/>
  <c r="K17" i="3"/>
  <c r="D38" i="523"/>
  <c r="L23" i="3"/>
  <c r="H23" i="3" s="1"/>
  <c r="F42" i="523"/>
  <c r="E42" i="523" s="1"/>
  <c r="F41" i="523"/>
  <c r="E41" i="523" s="1"/>
  <c r="F40" i="523"/>
  <c r="E40" i="523" s="1"/>
  <c r="L17" i="3"/>
  <c r="F38" i="523"/>
  <c r="D26" i="523"/>
  <c r="D25" i="523"/>
  <c r="E20" i="523"/>
  <c r="D20" i="523"/>
  <c r="F20" i="523" s="1"/>
  <c r="D16" i="523"/>
  <c r="E38" i="523"/>
  <c r="D33" i="523"/>
  <c r="D23" i="523"/>
  <c r="D18" i="523"/>
  <c r="F68" i="3"/>
  <c r="E70" i="3" s="1"/>
  <c r="C30" i="3152"/>
  <c r="B2" i="516"/>
  <c r="D2" i="516" s="1"/>
  <c r="F2" i="516" s="1"/>
  <c r="B24" i="2819"/>
  <c r="K22" i="3"/>
  <c r="L22" i="3"/>
  <c r="H22" i="3" s="1"/>
  <c r="K20" i="3"/>
  <c r="L20" i="3" s="1"/>
  <c r="H20" i="3" s="1"/>
  <c r="H17" i="3"/>
  <c r="M17" i="3" s="1"/>
  <c r="P17" i="3"/>
  <c r="F11" i="3"/>
  <c r="K11" i="3"/>
  <c r="L11" i="3"/>
  <c r="F10" i="3"/>
  <c r="K10" i="3"/>
  <c r="L10" i="3" s="1"/>
  <c r="G6" i="3"/>
  <c r="F9" i="3"/>
  <c r="K9" i="3" s="1"/>
  <c r="L9" i="3" s="1"/>
  <c r="E1" i="45"/>
  <c r="D2" i="45"/>
  <c r="E2" i="45"/>
  <c r="J2" i="45"/>
  <c r="E3" i="45"/>
  <c r="E4" i="45"/>
  <c r="E5" i="45"/>
  <c r="E6" i="45"/>
  <c r="E7" i="45"/>
  <c r="E8" i="45"/>
  <c r="E9" i="45"/>
  <c r="E10" i="45"/>
  <c r="E11" i="45"/>
  <c r="E12" i="45"/>
  <c r="C2" i="514"/>
  <c r="E2" i="516"/>
  <c r="G2" i="516" s="1"/>
  <c r="I2" i="516"/>
  <c r="A4" i="2048"/>
  <c r="B9" i="2048"/>
  <c r="J17" i="2048"/>
  <c r="M17" i="2048" s="1"/>
  <c r="F13" i="2048"/>
  <c r="J13" i="2048"/>
  <c r="M13" i="2048"/>
  <c r="F14" i="2048"/>
  <c r="J14" i="2048"/>
  <c r="M14" i="2048"/>
  <c r="F15" i="2048"/>
  <c r="J15" i="2048"/>
  <c r="M15" i="2048"/>
  <c r="F16" i="2048"/>
  <c r="J16" i="2048"/>
  <c r="M16" i="2048" s="1"/>
  <c r="F17" i="2048"/>
  <c r="F18" i="2048"/>
  <c r="J18" i="2048"/>
  <c r="M18" i="2048"/>
  <c r="F19" i="2048"/>
  <c r="J19" i="2048"/>
  <c r="M19" i="2048"/>
  <c r="F20" i="2048"/>
  <c r="J20" i="2048"/>
  <c r="M20" i="2048"/>
  <c r="F21" i="2048"/>
  <c r="J21" i="2048"/>
  <c r="M21" i="2048"/>
  <c r="F22" i="2048"/>
  <c r="J22" i="2048"/>
  <c r="M22" i="2048" s="1"/>
  <c r="F23" i="2048"/>
  <c r="J23" i="2048"/>
  <c r="M23" i="2048" s="1"/>
  <c r="F24" i="2048"/>
  <c r="J24" i="2048"/>
  <c r="M24" i="2048" s="1"/>
  <c r="F25" i="2048"/>
  <c r="J25" i="2048"/>
  <c r="M25" i="2048" s="1"/>
  <c r="F26" i="2048"/>
  <c r="J26" i="2048"/>
  <c r="M26" i="2048"/>
  <c r="F27" i="2048"/>
  <c r="J27" i="2048"/>
  <c r="M27" i="2048"/>
  <c r="F28" i="2048"/>
  <c r="J28" i="2048"/>
  <c r="M28" i="2048"/>
  <c r="F29" i="2048"/>
  <c r="J29" i="2048"/>
  <c r="M29" i="2048"/>
  <c r="F30" i="2048"/>
  <c r="J30" i="2048"/>
  <c r="M30" i="2048" s="1"/>
  <c r="F31" i="2048"/>
  <c r="J31" i="2048"/>
  <c r="M31" i="2048" s="1"/>
  <c r="F32" i="2048"/>
  <c r="J32" i="2048"/>
  <c r="M32" i="2048" s="1"/>
  <c r="F33" i="2048"/>
  <c r="J33" i="2048"/>
  <c r="M33" i="2048" s="1"/>
  <c r="F34" i="2048"/>
  <c r="J34" i="2048"/>
  <c r="M34" i="2048"/>
  <c r="F35" i="2048"/>
  <c r="J35" i="2048"/>
  <c r="M35" i="2048"/>
  <c r="F36" i="2048"/>
  <c r="J36" i="2048"/>
  <c r="M36" i="2048"/>
  <c r="F37" i="2048"/>
  <c r="J37" i="2048"/>
  <c r="M37" i="2048"/>
  <c r="F38" i="2048"/>
  <c r="J38" i="2048"/>
  <c r="M38" i="2048" s="1"/>
  <c r="F39" i="2048"/>
  <c r="J39" i="2048"/>
  <c r="M39" i="2048" s="1"/>
  <c r="F40" i="2048"/>
  <c r="J40" i="2048"/>
  <c r="M40" i="2048" s="1"/>
  <c r="F41" i="2048"/>
  <c r="J41" i="2048"/>
  <c r="M41" i="2048" s="1"/>
  <c r="F42" i="2048"/>
  <c r="J42" i="2048"/>
  <c r="M42" i="2048"/>
  <c r="F43" i="2048"/>
  <c r="J43" i="2048"/>
  <c r="M43" i="2048"/>
  <c r="F44" i="2048"/>
  <c r="J44" i="2048"/>
  <c r="M44" i="2048"/>
  <c r="F45" i="2048"/>
  <c r="J45" i="2048"/>
  <c r="M45" i="2048"/>
  <c r="F46" i="2048"/>
  <c r="J46" i="2048"/>
  <c r="M46" i="2048" s="1"/>
  <c r="F47" i="2048"/>
  <c r="J47" i="2048"/>
  <c r="M47" i="2048" s="1"/>
  <c r="F48" i="2048"/>
  <c r="J48" i="2048"/>
  <c r="M48" i="2048" s="1"/>
  <c r="F49" i="2048"/>
  <c r="J49" i="2048"/>
  <c r="M49" i="2048" s="1"/>
  <c r="F50" i="2048"/>
  <c r="J50" i="2048"/>
  <c r="M50" i="2048"/>
  <c r="H51" i="2048"/>
  <c r="H20" i="2819" s="1"/>
  <c r="H21" i="2819" s="1"/>
  <c r="A4" i="11565"/>
  <c r="B8" i="11565"/>
  <c r="F12" i="11565"/>
  <c r="J12" i="11565" s="1"/>
  <c r="J11" i="11565" s="1"/>
  <c r="F13" i="11565"/>
  <c r="J13" i="11565"/>
  <c r="F14" i="11565"/>
  <c r="J14" i="11565" s="1"/>
  <c r="F15" i="11565"/>
  <c r="J15" i="11565" s="1"/>
  <c r="F16" i="11565"/>
  <c r="J16" i="11565"/>
  <c r="F17" i="11565"/>
  <c r="J17" i="11565"/>
  <c r="F18" i="11565"/>
  <c r="J18" i="11565" s="1"/>
  <c r="F19" i="11565"/>
  <c r="J19" i="11565" s="1"/>
  <c r="F20" i="11565"/>
  <c r="J20" i="11565"/>
  <c r="F21" i="11565"/>
  <c r="J21" i="11565"/>
  <c r="F22" i="11565"/>
  <c r="J22" i="11565" s="1"/>
  <c r="F23" i="11565"/>
  <c r="J23" i="11565" s="1"/>
  <c r="F24" i="11565"/>
  <c r="J24" i="11565"/>
  <c r="F25" i="11565"/>
  <c r="J25" i="11565"/>
  <c r="F26" i="11565"/>
  <c r="J26" i="11565" s="1"/>
  <c r="F27" i="11565"/>
  <c r="J27" i="11565" s="1"/>
  <c r="F28" i="11565"/>
  <c r="J28" i="11565"/>
  <c r="F29" i="11565"/>
  <c r="J29" i="11565"/>
  <c r="F30" i="11565"/>
  <c r="J30" i="11565" s="1"/>
  <c r="F31" i="11565"/>
  <c r="J31" i="11565" s="1"/>
  <c r="F32" i="11565"/>
  <c r="J32" i="11565"/>
  <c r="F33" i="11565"/>
  <c r="J33" i="11565"/>
  <c r="F34" i="11565"/>
  <c r="J34" i="11565" s="1"/>
  <c r="F35" i="11565"/>
  <c r="J35" i="11565" s="1"/>
  <c r="F36" i="11565"/>
  <c r="J36" i="11565"/>
  <c r="F37" i="11565"/>
  <c r="J37" i="11565"/>
  <c r="F38" i="11565"/>
  <c r="J38" i="11565" s="1"/>
  <c r="F39" i="11565"/>
  <c r="J39" i="11565" s="1"/>
  <c r="F40" i="11565"/>
  <c r="J40" i="11565"/>
  <c r="F41" i="11565"/>
  <c r="J41" i="11565"/>
  <c r="F42" i="11565"/>
  <c r="J42" i="11565" s="1"/>
  <c r="F43" i="11565"/>
  <c r="J43" i="11565" s="1"/>
  <c r="F44" i="11565"/>
  <c r="J44" i="11565"/>
  <c r="F45" i="11565"/>
  <c r="J45" i="11565"/>
  <c r="F46" i="11565"/>
  <c r="J46" i="11565" s="1"/>
  <c r="F47" i="11565"/>
  <c r="J47" i="11565" s="1"/>
  <c r="F48" i="11565"/>
  <c r="J48" i="11565"/>
  <c r="F49" i="11565"/>
  <c r="J49" i="11565"/>
  <c r="F50" i="11565"/>
  <c r="J50" i="11565" s="1"/>
  <c r="F51" i="11565"/>
  <c r="J51" i="11565" s="1"/>
  <c r="F52" i="11565"/>
  <c r="J52" i="11565"/>
  <c r="E53" i="11565"/>
  <c r="A5" i="523"/>
  <c r="D9" i="523"/>
  <c r="D11" i="523"/>
  <c r="D13" i="523"/>
  <c r="E44" i="3"/>
  <c r="D15" i="523" s="1"/>
  <c r="E56" i="3"/>
  <c r="E57" i="3" s="1"/>
  <c r="D29" i="523"/>
  <c r="G28" i="2819"/>
  <c r="D31" i="523" s="1"/>
  <c r="F31" i="523" s="1"/>
  <c r="E31" i="523"/>
  <c r="B4" i="2561"/>
  <c r="B4" i="2819"/>
  <c r="B6" i="2819"/>
  <c r="J10" i="2819"/>
  <c r="M10" i="2819" s="1"/>
  <c r="J14" i="2819"/>
  <c r="M14" i="2819" s="1"/>
  <c r="F10" i="2819"/>
  <c r="F11" i="2819"/>
  <c r="J11" i="2819"/>
  <c r="M11" i="2819"/>
  <c r="F12" i="2819"/>
  <c r="J12" i="2819"/>
  <c r="M12" i="2819" s="1"/>
  <c r="F13" i="2819"/>
  <c r="J13" i="2819"/>
  <c r="M13" i="2819" s="1"/>
  <c r="F14" i="2819"/>
  <c r="F15" i="2819"/>
  <c r="J15" i="2819"/>
  <c r="M15" i="2819"/>
  <c r="F16" i="2819"/>
  <c r="J16" i="2819"/>
  <c r="M16" i="2819"/>
  <c r="F17" i="2819"/>
  <c r="J17" i="2819"/>
  <c r="M17" i="2819"/>
  <c r="F18" i="2819"/>
  <c r="J18" i="2819"/>
  <c r="M18" i="2819" s="1"/>
  <c r="F19" i="2819"/>
  <c r="J19" i="2819"/>
  <c r="M19" i="2819" s="1"/>
  <c r="B26" i="2819"/>
  <c r="D26" i="2819"/>
  <c r="G26" i="2819"/>
  <c r="H26" i="2819"/>
  <c r="B31" i="2819"/>
  <c r="A34" i="2819"/>
  <c r="A35" i="2819"/>
  <c r="A36" i="2819"/>
  <c r="A37" i="2819"/>
  <c r="A38" i="2819"/>
  <c r="A39" i="2819"/>
  <c r="A40" i="2819"/>
  <c r="A41" i="2819"/>
  <c r="A42" i="2819"/>
  <c r="A43" i="2819"/>
  <c r="A44" i="2819"/>
  <c r="A45" i="2819"/>
  <c r="A4" i="3"/>
  <c r="B6" i="3"/>
  <c r="B13" i="3"/>
  <c r="E18" i="3"/>
  <c r="E21" i="3"/>
  <c r="E25" i="3"/>
  <c r="M25" i="3" s="1"/>
  <c r="B28" i="3" s="1"/>
  <c r="F18" i="3"/>
  <c r="F21" i="3"/>
  <c r="F25" i="3"/>
  <c r="J19" i="3"/>
  <c r="J20" i="3"/>
  <c r="J22" i="3"/>
  <c r="J23" i="3"/>
  <c r="B29" i="3"/>
  <c r="F32" i="3"/>
  <c r="E37" i="3"/>
  <c r="B46" i="3"/>
  <c r="F50" i="3"/>
  <c r="I50" i="3"/>
  <c r="F51" i="3"/>
  <c r="I51" i="3"/>
  <c r="F52" i="3"/>
  <c r="I52" i="3" s="1"/>
  <c r="I49" i="3" s="1"/>
  <c r="F53" i="3"/>
  <c r="I53" i="3" s="1"/>
  <c r="F54" i="3"/>
  <c r="I54" i="3"/>
  <c r="F55" i="3"/>
  <c r="I55" i="3"/>
  <c r="B60" i="3"/>
  <c r="G64" i="3"/>
  <c r="G65" i="3"/>
  <c r="G66" i="3"/>
  <c r="G67" i="3"/>
  <c r="G68" i="3" s="1"/>
  <c r="E68" i="3"/>
  <c r="L7" i="3" l="1"/>
  <c r="M12" i="2048"/>
  <c r="M19" i="3"/>
  <c r="M16" i="3" s="1"/>
  <c r="P19" i="3"/>
  <c r="E26" i="523"/>
  <c r="F26" i="523" s="1"/>
  <c r="E25" i="523"/>
  <c r="F25" i="523" s="1"/>
  <c r="E35" i="523"/>
  <c r="P20" i="3"/>
  <c r="M20" i="3"/>
  <c r="M22" i="3"/>
  <c r="P22" i="3"/>
  <c r="P16" i="3" s="1"/>
  <c r="J26" i="3152"/>
  <c r="L26" i="3152" s="1"/>
  <c r="D35" i="523"/>
  <c r="E16" i="523"/>
  <c r="F16" i="523" s="1"/>
  <c r="E15" i="523"/>
  <c r="M23" i="3"/>
  <c r="P23" i="3"/>
  <c r="M9" i="2819"/>
  <c r="F15" i="523"/>
  <c r="F11" i="523"/>
  <c r="F39" i="523"/>
  <c r="E39" i="523" s="1"/>
  <c r="E11" i="523"/>
  <c r="I28" i="2819"/>
  <c r="F35" i="523" l="1"/>
</calcChain>
</file>

<file path=xl/comments1.xml><?xml version="1.0" encoding="utf-8"?>
<comments xmlns="http://schemas.openxmlformats.org/spreadsheetml/2006/main">
  <authors>
    <author>DNCN</author>
    <author>INEI</author>
    <author>Peter Abad</author>
    <author>ALESSANDRA</author>
  </authors>
  <commentList>
    <comment ref="C11" authorId="0" shapeId="0">
      <text>
        <r>
          <rPr>
            <b/>
            <sz val="8"/>
            <color indexed="81"/>
            <rFont val="Tahoma"/>
          </rPr>
          <t xml:space="preserve">Registro Unico del Contribuyente (RUC) : </t>
        </r>
        <r>
          <rPr>
            <sz val="8"/>
            <color indexed="81"/>
            <rFont val="Tahoma"/>
          </rPr>
          <t xml:space="preserve">Digitar 11 dígitos
(Nuevo RUC asignado por la SUNAT.)
</t>
        </r>
      </text>
    </comment>
    <comment ref="E11" authorId="0" shapeId="0">
      <text>
        <r>
          <rPr>
            <b/>
            <sz val="8"/>
            <color indexed="81"/>
            <rFont val="Tahoma"/>
          </rPr>
          <t xml:space="preserve"> - La Razón Social debe escribirse en mayúsculas.
 - Si es Persona Natural escribir primero los Apellidos y luego el (los) nombre (s). No confundir con el nombre comercial.  
- Si tiene nombre Comercial agregar entre paréntesis en forma seguida después de la Razón Social.</t>
        </r>
        <r>
          <rPr>
            <sz val="8"/>
            <color indexed="81"/>
            <rFont val="Tahoma"/>
          </rPr>
          <t xml:space="preserve">
</t>
        </r>
      </text>
    </comment>
    <comment ref="G11" authorId="1" shapeId="0">
      <text>
        <r>
          <rPr>
            <b/>
            <sz val="8"/>
            <color indexed="81"/>
            <rFont val="Tahoma"/>
          </rPr>
          <t xml:space="preserve">Teléfono:
</t>
        </r>
        <r>
          <rPr>
            <sz val="8"/>
            <color indexed="81"/>
            <rFont val="Tahoma"/>
            <family val="2"/>
          </rPr>
          <t>El número tendrá 7 dígitos en Lima ó
6 dígitos en Provincias.
No coloque código de larga distancia.</t>
        </r>
        <r>
          <rPr>
            <sz val="8"/>
            <color indexed="81"/>
            <rFont val="Tahoma"/>
          </rPr>
          <t xml:space="preserve">
</t>
        </r>
      </text>
    </comment>
    <comment ref="J11" authorId="2" shapeId="0">
      <text>
        <r>
          <rPr>
            <b/>
            <sz val="8"/>
            <color indexed="81"/>
            <rFont val="Tahoma"/>
          </rPr>
          <t xml:space="preserve">Fax:
</t>
        </r>
        <r>
          <rPr>
            <sz val="8"/>
            <color indexed="81"/>
            <rFont val="Tahoma"/>
            <family val="2"/>
          </rPr>
          <t>El número tendrá 7 dígitos en Lima ó
6 dígitos en Provincias.
No coloque código de larga distancia.</t>
        </r>
      </text>
    </comment>
    <comment ref="G14" authorId="3" shapeId="0">
      <text>
        <r>
          <rPr>
            <b/>
            <sz val="8"/>
            <color indexed="81"/>
            <rFont val="Tahoma"/>
          </rPr>
          <t>Interior</t>
        </r>
      </text>
    </comment>
    <comment ref="H14" authorId="3" shapeId="0">
      <text>
        <r>
          <rPr>
            <b/>
            <sz val="8"/>
            <color indexed="81"/>
            <rFont val="Tahoma"/>
          </rPr>
          <t>Si es un edificio, escriba el número del piso</t>
        </r>
      </text>
    </comment>
    <comment ref="C17" authorId="1" shapeId="0">
      <text>
        <r>
          <rPr>
            <b/>
            <sz val="8"/>
            <color indexed="81"/>
            <rFont val="Tahoma"/>
          </rPr>
          <t xml:space="preserve">Año de Inicio de la Actividad de la empresa:
</t>
        </r>
        <r>
          <rPr>
            <sz val="8"/>
            <color indexed="81"/>
            <rFont val="Tahoma"/>
            <family val="2"/>
          </rPr>
          <t>- Ingrese el año (4 digitos) en que la empresa inició sus operaciones.</t>
        </r>
      </text>
    </comment>
    <comment ref="E17" authorId="0" shapeId="0">
      <text>
        <r>
          <rPr>
            <b/>
            <sz val="8"/>
            <color indexed="81"/>
            <rFont val="Tahoma"/>
          </rPr>
          <t xml:space="preserve">Correo Electrónico :
Especificar el Correo Electrónico o e-mail.
</t>
        </r>
        <r>
          <rPr>
            <sz val="8"/>
            <color indexed="81"/>
            <rFont val="Tahoma"/>
          </rPr>
          <t xml:space="preserve">
En caso que no encuentre el simbolo "@" presione las teclas </t>
        </r>
        <r>
          <rPr>
            <b/>
            <sz val="8"/>
            <color indexed="12"/>
            <rFont val="Tahoma"/>
            <family val="2"/>
          </rPr>
          <t>Alt + 64</t>
        </r>
      </text>
    </comment>
    <comment ref="G17" authorId="2" shapeId="0">
      <text>
        <r>
          <rPr>
            <b/>
            <sz val="8"/>
            <color indexed="81"/>
            <rFont val="Tahoma"/>
          </rPr>
          <t>Ingrese el Registro Industrial Nuevo (RIN)</t>
        </r>
      </text>
    </comment>
    <comment ref="J17" authorId="2" shapeId="0">
      <text>
        <r>
          <rPr>
            <b/>
            <sz val="8"/>
            <color indexed="81"/>
            <rFont val="Tahoma"/>
          </rPr>
          <t>Ingrese el Registro Unificado.</t>
        </r>
      </text>
    </comment>
    <comment ref="E20" authorId="2" shapeId="0">
      <text>
        <r>
          <rPr>
            <b/>
            <sz val="8"/>
            <color indexed="81"/>
            <rFont val="Tahoma"/>
          </rPr>
          <t xml:space="preserve">PAGINA WEB:
</t>
        </r>
        <r>
          <rPr>
            <sz val="8"/>
            <color indexed="81"/>
            <rFont val="Tahoma"/>
            <family val="2"/>
          </rPr>
          <t>Inserte el URL (Dirección Web) de la página que su empresa tiene en Internet.</t>
        </r>
      </text>
    </comment>
    <comment ref="G20" authorId="2" shapeId="0">
      <text>
        <r>
          <rPr>
            <b/>
            <sz val="8"/>
            <color indexed="81"/>
            <rFont val="Tahoma"/>
          </rPr>
          <t>Registro Industrial otorgado por el sector, cuando tenía vigencia el Régimen Antiguo de Registros.</t>
        </r>
      </text>
    </comment>
    <comment ref="D23" authorId="1" shapeId="0">
      <text>
        <r>
          <rPr>
            <b/>
            <sz val="8"/>
            <color indexed="81"/>
            <rFont val="Tahoma"/>
            <family val="2"/>
          </rPr>
          <t>Ubicación Geografica :</t>
        </r>
        <r>
          <rPr>
            <sz val="8"/>
            <color indexed="81"/>
            <rFont val="Tahoma"/>
          </rPr>
          <t xml:space="preserve">
Seleccione el Departamento,         
Provincia y Distrito en donde se ubica la empresa.
</t>
        </r>
      </text>
    </comment>
    <comment ref="E24" authorId="0" shapeId="0">
      <text>
        <r>
          <rPr>
            <b/>
            <u/>
            <sz val="8"/>
            <color indexed="81"/>
            <rFont val="Tahoma"/>
            <family val="2"/>
          </rPr>
          <t>UBICACIÓN GEOGRAFICA :</t>
        </r>
        <r>
          <rPr>
            <b/>
            <sz val="8"/>
            <color indexed="81"/>
            <rFont val="Tahoma"/>
          </rPr>
          <t xml:space="preserve">
Seleccionar el Dpto., luego                   
la Provincia, después el  Distrito.</t>
        </r>
        <r>
          <rPr>
            <sz val="8"/>
            <color indexed="81"/>
            <rFont val="Tahoma"/>
          </rPr>
          <t xml:space="preserve">
</t>
        </r>
      </text>
    </comment>
    <comment ref="D28" authorId="1" shapeId="0">
      <text>
        <r>
          <rPr>
            <b/>
            <sz val="8"/>
            <color indexed="81"/>
            <rFont val="Tahoma"/>
          </rPr>
          <t>Clasificación Internacional Industrial Uniforme (Ciiu- Rev. 3)</t>
        </r>
        <r>
          <rPr>
            <sz val="8"/>
            <color indexed="81"/>
            <rFont val="Tahoma"/>
          </rPr>
          <t xml:space="preserve">
Identifique el código CIIU de su empresa, seleccionando  la Actividad Principal,  por la cual se obtienen mayores ingresos.
Adicionalmente describa su actividad en el casillero correspondiente.</t>
        </r>
      </text>
    </comment>
    <comment ref="E32" authorId="2" shapeId="0">
      <text>
        <r>
          <rPr>
            <b/>
            <sz val="8"/>
            <color indexed="81"/>
            <rFont val="Tahoma"/>
          </rPr>
          <t>Describa la actividad principal que realiza su empresa, en caso de no encontrar la clasificación en el CIIU.</t>
        </r>
      </text>
    </comment>
    <comment ref="E33" authorId="2" shapeId="0">
      <text>
        <r>
          <rPr>
            <b/>
            <sz val="8"/>
            <color indexed="81"/>
            <rFont val="Tahoma"/>
          </rPr>
          <t>Describa la actividad principal que realiza su empresa, en caso de no encontrar la actividad en la tabla.</t>
        </r>
      </text>
    </comment>
    <comment ref="D34" authorId="1" shapeId="0">
      <text>
        <r>
          <rPr>
            <b/>
            <sz val="8"/>
            <color indexed="81"/>
            <rFont val="Tahoma"/>
          </rPr>
          <t xml:space="preserve">Organización Jurídica:
</t>
        </r>
        <r>
          <rPr>
            <sz val="8"/>
            <color indexed="81"/>
            <rFont val="Tahoma"/>
            <family val="2"/>
          </rPr>
          <t>Seleccionar en la tabla el tipo de organización de su empresa.</t>
        </r>
        <r>
          <rPr>
            <b/>
            <sz val="8"/>
            <color indexed="81"/>
            <rFont val="Tahoma"/>
          </rPr>
          <t xml:space="preserve">
</t>
        </r>
        <r>
          <rPr>
            <sz val="8"/>
            <color indexed="81"/>
            <rFont val="Tahoma"/>
          </rPr>
          <t xml:space="preserve">
</t>
        </r>
      </text>
    </comment>
  </commentList>
</comments>
</file>

<file path=xl/comments2.xml><?xml version="1.0" encoding="utf-8"?>
<comments xmlns="http://schemas.openxmlformats.org/spreadsheetml/2006/main">
  <authors>
    <author>Peter Abad</author>
    <author>INEI</author>
  </authors>
  <commentList>
    <comment ref="B9" authorId="0" shapeId="0">
      <text>
        <r>
          <rPr>
            <b/>
            <sz val="8"/>
            <color indexed="81"/>
            <rFont val="Tahoma"/>
          </rPr>
          <t xml:space="preserve">Número de días trabajados en la producción de bienes y servicios en el año 2006. </t>
        </r>
        <r>
          <rPr>
            <b/>
            <sz val="8"/>
            <color indexed="12"/>
            <rFont val="Tahoma"/>
            <family val="2"/>
          </rPr>
          <t>El dato debe ser menor o igual a 365</t>
        </r>
      </text>
    </comment>
    <comment ref="B10" authorId="0" shapeId="0">
      <text>
        <r>
          <rPr>
            <b/>
            <sz val="8"/>
            <color indexed="81"/>
            <rFont val="Tahoma"/>
          </rPr>
          <t xml:space="preserve">Número de meses trabajados en el año 2006. </t>
        </r>
        <r>
          <rPr>
            <b/>
            <sz val="8"/>
            <color indexed="12"/>
            <rFont val="Tahoma"/>
            <family val="2"/>
          </rPr>
          <t>El dato debe ser menor o igual a 12</t>
        </r>
      </text>
    </comment>
    <comment ref="B11" authorId="0" shapeId="0">
      <text>
        <r>
          <rPr>
            <b/>
            <sz val="8"/>
            <color indexed="81"/>
            <rFont val="Tahoma"/>
          </rPr>
          <t xml:space="preserve">Número de horas trabajadas por día. </t>
        </r>
        <r>
          <rPr>
            <b/>
            <sz val="8"/>
            <color indexed="12"/>
            <rFont val="Tahoma"/>
            <family val="2"/>
          </rPr>
          <t>El dato debe ser menor o igual a 24.</t>
        </r>
      </text>
    </comment>
    <comment ref="E15" authorId="0" shapeId="0">
      <text>
        <r>
          <rPr>
            <b/>
            <sz val="8"/>
            <color indexed="81"/>
            <rFont val="Tahoma"/>
          </rPr>
          <t xml:space="preserve">Número promedio de trabajadores  en el mes.
</t>
        </r>
        <r>
          <rPr>
            <sz val="8"/>
            <color indexed="81"/>
            <rFont val="Tahoma"/>
            <family val="2"/>
          </rPr>
          <t>Como mínimo debe tener una persona ocupada remunerada o no remunerada. 
Si no tiene, justificar en "Observaciones".</t>
        </r>
      </text>
    </comment>
    <comment ref="G15" authorId="0" shapeId="0">
      <text>
        <r>
          <rPr>
            <b/>
            <sz val="8"/>
            <color indexed="81"/>
            <rFont val="Tahoma"/>
          </rPr>
          <t xml:space="preserve">Remuneración total pagada en el año.  </t>
        </r>
      </text>
    </comment>
    <comment ref="B17" authorId="0" shapeId="0">
      <text>
        <r>
          <rPr>
            <b/>
            <sz val="8"/>
            <color indexed="81"/>
            <rFont val="Tahoma"/>
          </rPr>
          <t xml:space="preserve">Considere como tal, a los empleados que trabajaron durante el año y que tienen a su mando la administración y toma de decisiones de la empresa
</t>
        </r>
      </text>
    </comment>
    <comment ref="B18" authorId="0" shapeId="0">
      <text>
        <r>
          <rPr>
            <b/>
            <sz val="8"/>
            <color indexed="81"/>
            <rFont val="Tahoma"/>
          </rPr>
          <t>Considere como tal al personal que trabajó durante el año más de una tercera parte de la jornada diaria, desempeñando labores permanentes.</t>
        </r>
      </text>
    </comment>
    <comment ref="B19" authorId="0" shapeId="0">
      <text>
        <r>
          <rPr>
            <b/>
            <sz val="8"/>
            <color indexed="81"/>
            <rFont val="Tahoma"/>
          </rPr>
          <t>Considere como tal a los empleados que trabajaron durante el año más de una tercera parte de la jornada diaria, desempeñando labores predominantemente intelectual, profesional, administrativo, técnico y de oficina.</t>
        </r>
      </text>
    </comment>
    <comment ref="B20" authorId="0" shapeId="0">
      <text>
        <r>
          <rPr>
            <b/>
            <sz val="8"/>
            <color indexed="81"/>
            <rFont val="Tahoma"/>
          </rPr>
          <t>Considere como tal a los obreros que trabajaron durante el año más de una tercera parte de la jornada diaria, desempeñando labores que demandan mayor esfuerzo físico que intelectual, y sus tareas están en directa relación con las distintas etapas del proceso productivo.</t>
        </r>
      </text>
    </comment>
    <comment ref="B21" authorId="0" shapeId="0">
      <text>
        <r>
          <rPr>
            <b/>
            <sz val="8"/>
            <color indexed="81"/>
            <rFont val="Tahoma"/>
          </rPr>
          <t>Considere como tal, al personal con contrato a plazo fijo, contratado por obra, o en cualquier otra forma con la que se cubra puestos de trabajo originados por una mayor demanda estacional ó temporal.</t>
        </r>
      </text>
    </comment>
    <comment ref="B22" authorId="0" shapeId="0">
      <text>
        <r>
          <rPr>
            <b/>
            <sz val="8"/>
            <color indexed="81"/>
            <rFont val="Tahoma"/>
          </rPr>
          <t xml:space="preserve">Considere como tal, a los empleados que trabajaron durante el año más de una tercera parte de la jornada diaria, desempeñando labores predominantemente intelectual, profesional, administrativo, técnico y de oficina.
</t>
        </r>
      </text>
    </comment>
    <comment ref="B23" authorId="0" shapeId="0">
      <text>
        <r>
          <rPr>
            <b/>
            <sz val="8"/>
            <color indexed="81"/>
            <rFont val="Tahoma"/>
          </rPr>
          <t>Considere como tal a los obreros que trabajaron durante el año más de una tercera parte de la jornada diaria, desempeñando labores que demandan mayor esfuerzo físico que intelectual, y sus tareas están en directa relación con las distintas etapas del proceso productivo.</t>
        </r>
      </text>
    </comment>
    <comment ref="B26" authorId="0" shapeId="0">
      <text>
        <r>
          <rPr>
            <b/>
            <sz val="8"/>
            <color indexed="81"/>
            <rFont val="Tahoma"/>
          </rPr>
          <t>Personal que no recibe ninguna remuneración por su trabajo</t>
        </r>
      </text>
    </comment>
    <comment ref="B27" authorId="0" shapeId="0">
      <text>
        <r>
          <rPr>
            <b/>
            <sz val="8"/>
            <color indexed="81"/>
            <rFont val="Tahoma"/>
          </rPr>
          <t xml:space="preserve">Personal que es contratado y remunerado por la empresa de servicios (contratista) para realizar una labor especifica en otra empresa (empleador)  </t>
        </r>
      </text>
    </comment>
    <comment ref="E31" authorId="0" shapeId="0">
      <text>
        <r>
          <rPr>
            <b/>
            <sz val="8"/>
            <color indexed="81"/>
            <rFont val="Tahoma"/>
          </rPr>
          <t>Valor de los ingresos por ventas en el año</t>
        </r>
      </text>
    </comment>
    <comment ref="B32" authorId="0" shapeId="0">
      <text>
        <r>
          <rPr>
            <b/>
            <sz val="8"/>
            <color indexed="81"/>
            <rFont val="Tahoma"/>
          </rPr>
          <t>Son los artículos vendidos en el mismo estado en que adquirieron, es decir, sin transformación.</t>
        </r>
      </text>
    </comment>
    <comment ref="B33" authorId="0" shapeId="0">
      <text>
        <r>
          <rPr>
            <b/>
            <sz val="8"/>
            <color indexed="81"/>
            <rFont val="Tahoma"/>
          </rPr>
          <t>Son los bienes fabricados por la empresa con las materias primas, materiales auxiliares, envases y embalajes consumidos durante el año.</t>
        </r>
      </text>
    </comment>
    <comment ref="B34" authorId="0" shapeId="0">
      <text>
        <r>
          <rPr>
            <b/>
            <sz val="8"/>
            <color indexed="81"/>
            <rFont val="Tahoma"/>
          </rPr>
          <t>Ventas de sub-productos, desechos y desperdicios</t>
        </r>
      </text>
    </comment>
    <comment ref="B35" authorId="0" shapeId="0">
      <text>
        <r>
          <rPr>
            <b/>
            <sz val="8"/>
            <color indexed="81"/>
            <rFont val="Tahoma"/>
          </rPr>
          <t xml:space="preserve">Pueden ser DE FABRICACION - aquellos trabajos realizados para otras empresas, con materias primas proporcionadas por ellas, los de REPARACION y otros.
</t>
        </r>
        <r>
          <rPr>
            <b/>
            <sz val="8"/>
            <color indexed="12"/>
            <rFont val="Tahoma"/>
            <family val="2"/>
          </rPr>
          <t>Informar en el Capítulo 7 en las columnas "Nombre de los Productos", "Unidad de Medida" y "Cantidad Producida para Terceros".</t>
        </r>
      </text>
    </comment>
    <comment ref="B36" authorId="0" shapeId="0">
      <text>
        <r>
          <rPr>
            <b/>
            <sz val="8"/>
            <color indexed="81"/>
            <rFont val="Tahoma"/>
          </rPr>
          <t>Son los importes recibidos por la empresa, que no están incluídos en los otros rubros, como pueden ser alquileres de bienes inmuebles, maquinaria y equipo, etc.</t>
        </r>
      </text>
    </comment>
    <comment ref="B37" authorId="0" shapeId="0">
      <text>
        <r>
          <rPr>
            <b/>
            <sz val="8"/>
            <color indexed="81"/>
            <rFont val="Tahoma"/>
          </rPr>
          <t>Está conformada por el valor de las ventas descontando las devoluciones, descuentos y rebajas.</t>
        </r>
      </text>
    </comment>
    <comment ref="E38" authorId="0" shapeId="0">
      <text>
        <r>
          <rPr>
            <b/>
            <sz val="8"/>
            <color indexed="81"/>
            <rFont val="Tahoma"/>
          </rPr>
          <t>Valor de los Gastos por ventas en el año</t>
        </r>
      </text>
    </comment>
    <comment ref="B39" authorId="0" shapeId="0">
      <text>
        <r>
          <rPr>
            <b/>
            <sz val="8"/>
            <color indexed="81"/>
            <rFont val="Tahoma"/>
          </rPr>
          <t>Costo de las mercaderías.</t>
        </r>
      </text>
    </comment>
    <comment ref="B40" authorId="0" shapeId="0">
      <text>
        <r>
          <rPr>
            <b/>
            <sz val="8"/>
            <color indexed="81"/>
            <rFont val="Tahoma"/>
          </rPr>
          <t>Registre el gasto que hizo la empresa en adquisición de materias primas y otros insumos que participaron directamente en la fabricación de los productos terminados y/o la prestación de servicios.</t>
        </r>
      </text>
    </comment>
    <comment ref="B41" authorId="0" shapeId="0">
      <text>
        <r>
          <rPr>
            <b/>
            <sz val="8"/>
            <color indexed="81"/>
            <rFont val="Tahoma"/>
          </rPr>
          <t>Adicione el monto total de remuneraciones, todos los otros gastos por concepto del personal.</t>
        </r>
      </text>
    </comment>
    <comment ref="B42" authorId="0" shapeId="0">
      <text>
        <r>
          <rPr>
            <b/>
            <sz val="8"/>
            <color indexed="81"/>
            <rFont val="Tahoma"/>
          </rPr>
          <t>Servicios Prestados por terceros</t>
        </r>
      </text>
    </comment>
    <comment ref="B43" authorId="0" shapeId="0">
      <text>
        <r>
          <rPr>
            <b/>
            <sz val="8"/>
            <color indexed="81"/>
            <rFont val="Tahoma"/>
          </rPr>
          <t>Incluya el monto de todos los otros gastos distintos a los anteriores que participan indirectamente en la producción.</t>
        </r>
      </text>
    </comment>
    <comment ref="B44" authorId="0" shapeId="0">
      <text>
        <r>
          <rPr>
            <b/>
            <sz val="8"/>
            <color indexed="81"/>
            <rFont val="Tahoma"/>
          </rPr>
          <t>Gastos Totales</t>
        </r>
      </text>
    </comment>
    <comment ref="B48" authorId="0" shapeId="0">
      <text>
        <r>
          <rPr>
            <b/>
            <sz val="8"/>
            <color indexed="81"/>
            <rFont val="Tahoma"/>
          </rPr>
          <t>Anotar el nombre específico y/o comercial (fácil de identificar) de las principales materias primas consumidas en orden de importancia del valor de las mismas.
En esta columna no describa envases, embalajes, combustibles o accesorios.
Si no hubiera más espacio agregar los de menor importancia en el rubro "</t>
        </r>
        <r>
          <rPr>
            <b/>
            <sz val="8"/>
            <color indexed="12"/>
            <rFont val="Tahoma"/>
            <family val="2"/>
          </rPr>
          <t>Otros</t>
        </r>
        <r>
          <rPr>
            <b/>
            <sz val="8"/>
            <color indexed="81"/>
            <rFont val="Tahoma"/>
          </rPr>
          <t>".</t>
        </r>
      </text>
    </comment>
    <comment ref="B56" authorId="0" shapeId="0">
      <text>
        <r>
          <rPr>
            <b/>
            <sz val="8"/>
            <color indexed="81"/>
            <rFont val="Tahoma"/>
          </rPr>
          <t>Agregar el valor de las materias primas de menor importancia y agrupelas en "Otros".
Presione el botón y desagregue el rubro "Otros" de este capítulo.</t>
        </r>
      </text>
    </comment>
    <comment ref="B57" authorId="0" shapeId="0">
      <text>
        <r>
          <rPr>
            <b/>
            <sz val="8"/>
            <color indexed="81"/>
            <rFont val="Tahoma"/>
          </rPr>
          <t xml:space="preserve">Si hay información en esta celda, debe de existir en la </t>
        </r>
        <r>
          <rPr>
            <b/>
            <sz val="8"/>
            <color indexed="12"/>
            <rFont val="Tahoma"/>
            <family val="2"/>
          </rPr>
          <t>clave 02 y/o clave 03 del Capítulo 4.</t>
        </r>
      </text>
    </comment>
    <comment ref="B62" authorId="1" shapeId="0">
      <text>
        <r>
          <rPr>
            <b/>
            <sz val="8"/>
            <color indexed="81"/>
            <rFont val="Tahoma"/>
            <family val="2"/>
          </rPr>
          <t xml:space="preserve">Registrar información según el tipo de impuesto
</t>
        </r>
      </text>
    </comment>
    <comment ref="E62" authorId="0" shapeId="0">
      <text>
        <r>
          <rPr>
            <b/>
            <sz val="8"/>
            <color indexed="81"/>
            <rFont val="Tahoma"/>
          </rPr>
          <t>Impuesto Facturado por las Ventas</t>
        </r>
      </text>
    </comment>
    <comment ref="F62" authorId="1" shapeId="0">
      <text>
        <r>
          <rPr>
            <b/>
            <sz val="8"/>
            <color indexed="81"/>
            <rFont val="Tahoma"/>
          </rPr>
          <t>Deducciones de Impuestos por compras o crédito físcal.</t>
        </r>
      </text>
    </comment>
    <comment ref="G62" authorId="0" shapeId="0">
      <text>
        <r>
          <rPr>
            <b/>
            <sz val="8"/>
            <color indexed="81"/>
            <rFont val="Tahoma"/>
          </rPr>
          <t>Impuesto Bruto a las Ventas menos Monto a deducir por Impuesto por compras o crédito fiscal</t>
        </r>
      </text>
    </comment>
    <comment ref="B64" authorId="0" shapeId="0">
      <text>
        <r>
          <rPr>
            <b/>
            <sz val="8"/>
            <color indexed="81"/>
            <rFont val="Tahoma"/>
          </rPr>
          <t xml:space="preserve">Es aquel que grava las siguientes operaciones: 
a) La venta en el país de bienes muebles. 
b) La prestación o utilización de los servicios en el país. 
c) Los contratos de construcción. 
d) La primera venta de inmuebles que realicen los constructores de los mismos. 
e) La importación de bienes. 
</t>
        </r>
        <r>
          <rPr>
            <b/>
            <sz val="8"/>
            <color indexed="12"/>
            <rFont val="Tahoma"/>
            <family val="2"/>
          </rPr>
          <t xml:space="preserve">Base Legal:Art. 1 del D.Leg. 775 del 31.12.93, Ley del Impuesto General a las Ventas e Impuesto Selectivo al Consumo. </t>
        </r>
        <r>
          <rPr>
            <b/>
            <sz val="8"/>
            <color indexed="81"/>
            <rFont val="Tahoma"/>
          </rPr>
          <t xml:space="preserve">
</t>
        </r>
      </text>
    </comment>
    <comment ref="B65" authorId="0" shapeId="0">
      <text>
        <r>
          <rPr>
            <b/>
            <sz val="8"/>
            <color indexed="81"/>
            <rFont val="Tahoma"/>
          </rPr>
          <t xml:space="preserve">Grava la venta en el país a nivel de productor y la importación de bienes específicos. 
También la venta en el país por el importador de bienes específicos. 
Este impuesto recae sobre el consumo de determinados bienes que son considerados específicos y que son bienes prescindibles y de lujo. 
</t>
        </r>
        <r>
          <rPr>
            <b/>
            <sz val="8"/>
            <color indexed="12"/>
            <rFont val="Tahoma"/>
            <family val="2"/>
          </rPr>
          <t xml:space="preserve">Base Legal:Art. 50 del D.Leg. 775 del 31.12.93, Ley del Impuesto General a las Ventas e Impuesto Selectivo al Consumo. </t>
        </r>
        <r>
          <rPr>
            <b/>
            <sz val="8"/>
            <color indexed="81"/>
            <rFont val="Tahoma"/>
          </rPr>
          <t xml:space="preserve">
</t>
        </r>
      </text>
    </comment>
    <comment ref="B66" authorId="0" shapeId="0">
      <text>
        <r>
          <rPr>
            <b/>
            <sz val="8"/>
            <color indexed="81"/>
            <rFont val="Tahoma"/>
          </rPr>
          <t xml:space="preserve">Es aquél régimen que comprende a las personas naturales y sucesiones indivisas que desarrollan actividades generadoras de rentas de tercera categoría de acuerdo con la Ley del Impuesto a la Renta, cuyos ingresos brutos por venta de bienes y/o prestación de servicios no exceda de 18,000 nuevos soles mensuales.  
</t>
        </r>
        <r>
          <rPr>
            <b/>
            <sz val="8"/>
            <color indexed="12"/>
            <rFont val="Tahoma"/>
            <family val="2"/>
          </rPr>
          <t xml:space="preserve">Base Legal:D.Leg. 777 </t>
        </r>
      </text>
    </comment>
  </commentList>
</comments>
</file>

<file path=xl/comments3.xml><?xml version="1.0" encoding="utf-8"?>
<comments xmlns="http://schemas.openxmlformats.org/spreadsheetml/2006/main">
  <authors>
    <author>ALESSANDRA</author>
    <author>Peter Abad</author>
  </authors>
  <commentList>
    <comment ref="B8" authorId="0" shapeId="0">
      <text>
        <r>
          <rPr>
            <b/>
            <sz val="8"/>
            <color indexed="81"/>
            <rFont val="Tahoma"/>
          </rPr>
          <t>Anote el nombre específico y/o comercial (fácil de identificar) de  los productos y subproductos fabricados por su empresa durante el año 2006.
En esta columna no registre códigos, marcas, envases, embalajes, combustibles o accesorios.
Indique para cada uno de ellos la cantidad y el valor de lo producido. 
Si no hubiera más espacio agregar los de menor importancia en el rubro "</t>
        </r>
        <r>
          <rPr>
            <b/>
            <sz val="8"/>
            <color indexed="12"/>
            <rFont val="Tahoma"/>
            <family val="2"/>
          </rPr>
          <t>Otros</t>
        </r>
        <r>
          <rPr>
            <b/>
            <sz val="8"/>
            <color indexed="81"/>
            <rFont val="Tahoma"/>
          </rPr>
          <t xml:space="preserve">".
</t>
        </r>
      </text>
    </comment>
    <comment ref="D8" authorId="0" shapeId="0">
      <text>
        <r>
          <rPr>
            <b/>
            <sz val="8"/>
            <color indexed="81"/>
            <rFont val="Tahoma"/>
          </rPr>
          <t>Inserte la nomenclatura NANDINA (código NANDINA) a 10 dígitos.</t>
        </r>
      </text>
    </comment>
    <comment ref="E8" authorId="0" shapeId="0">
      <text>
        <r>
          <rPr>
            <b/>
            <sz val="8"/>
            <color indexed="81"/>
            <rFont val="Tahoma"/>
          </rPr>
          <t>Las cantidades deberá declararlas en Unidades del Sistema Métrico Decimal (Kilogramos, Litros, Metros, etc).</t>
        </r>
      </text>
    </comment>
    <comment ref="F8" authorId="0" shapeId="0">
      <text>
        <r>
          <rPr>
            <b/>
            <sz val="8"/>
            <color indexed="81"/>
            <rFont val="Tahoma"/>
          </rPr>
          <t xml:space="preserve">Indique para cada uno de los productos y subproductos el precio unitario de venta, la cantidad y el valor total de lo producido. </t>
        </r>
      </text>
    </comment>
    <comment ref="I8" authorId="0" shapeId="0">
      <text>
        <r>
          <rPr>
            <b/>
            <sz val="8"/>
            <color indexed="81"/>
            <rFont val="Tahoma"/>
          </rPr>
          <t xml:space="preserve">Si se percibe ingresos por Ventas de Servicios solamente registrará información en las columnas "Nombre" y "Unidad de Medida" . En esta columna anote la cantidad producida para terceros.
</t>
        </r>
        <r>
          <rPr>
            <b/>
            <sz val="8"/>
            <color indexed="12"/>
            <rFont val="Tahoma"/>
            <family val="2"/>
          </rPr>
          <t>Si se registra esta información  debe existir en la clave 04 del Capítulo 4 (Venta de Servicios).</t>
        </r>
      </text>
    </comment>
    <comment ref="F9" authorId="1" shapeId="0">
      <text>
        <r>
          <rPr>
            <b/>
            <sz val="8"/>
            <color indexed="81"/>
            <rFont val="Tahoma"/>
          </rPr>
          <t xml:space="preserve">El valor unitario de venta es el resultado de dividir la cantidad producida del valor total. </t>
        </r>
      </text>
    </comment>
    <comment ref="G9" authorId="1" shapeId="0">
      <text>
        <r>
          <rPr>
            <b/>
            <sz val="8"/>
            <color indexed="81"/>
            <rFont val="Tahoma"/>
          </rPr>
          <t>Los datos pueden tener hasta 2 decimales.</t>
        </r>
      </text>
    </comment>
    <comment ref="H9" authorId="1" shapeId="0">
      <text>
        <r>
          <rPr>
            <b/>
            <sz val="8"/>
            <color indexed="81"/>
            <rFont val="Tahoma"/>
            <family val="2"/>
          </rPr>
          <t xml:space="preserve">El valor total producido tiene que ser un número entero positivo, de existir un número decimal se debe redondear este valor.
</t>
        </r>
        <r>
          <rPr>
            <b/>
            <sz val="8"/>
            <color indexed="12"/>
            <rFont val="Tahoma"/>
            <family val="2"/>
          </rPr>
          <t>Si se registran datos en esta columna, debe existir información en la clave 02 ó 03 del Capítulo 04 y en la clave 08 del Capítulo 5 (Valor de Materias Primas).</t>
        </r>
      </text>
    </comment>
    <comment ref="B20" authorId="1" shapeId="0">
      <text>
        <r>
          <rPr>
            <b/>
            <sz val="8"/>
            <color indexed="81"/>
            <rFont val="Tahoma"/>
          </rPr>
          <t>Agregar el valor de las productos de menor importancia y agrupelos en "Otros".
Presione el botón y desagregue el rubro "Otros" de este capítulo.</t>
        </r>
      </text>
    </comment>
    <comment ref="B26" authorId="0" shapeId="0">
      <text>
        <r>
          <rPr>
            <b/>
            <sz val="8"/>
            <color indexed="81"/>
            <rFont val="Tahoma"/>
          </rPr>
          <t>Saldos Iniciales de activos fijos al 1ro. de enero del 2006.</t>
        </r>
      </text>
    </comment>
    <comment ref="D26" authorId="0" shapeId="0">
      <text>
        <r>
          <rPr>
            <b/>
            <sz val="8"/>
            <color indexed="81"/>
            <rFont val="Tahoma"/>
          </rPr>
          <t>Compras de bienes nuevos o usados. Terrenos, edificios e instalaciones, maquinaria y equipo y otras unidades de explotación, unidades de transporte, muebles y enseres y equipos de procesamiento de datos.</t>
        </r>
      </text>
    </comment>
    <comment ref="F26" authorId="1" shapeId="0">
      <text>
        <r>
          <rPr>
            <b/>
            <sz val="8"/>
            <color indexed="81"/>
            <rFont val="Tahoma"/>
          </rPr>
          <t xml:space="preserve">Ventas y/o retiros al costo de activos fijos al 31 de diciembre del 2006. </t>
        </r>
        <r>
          <rPr>
            <b/>
            <sz val="8"/>
            <color indexed="12"/>
            <rFont val="Tahoma"/>
            <family val="2"/>
          </rPr>
          <t>Ingrese el dato con signo positivo</t>
        </r>
      </text>
    </comment>
    <comment ref="G26" authorId="0" shapeId="0">
      <text>
        <r>
          <rPr>
            <b/>
            <sz val="8"/>
            <color indexed="81"/>
            <rFont val="Tahoma"/>
          </rPr>
          <t>Saldos Finales de activos fijos al 31 de diciembre del 2006.</t>
        </r>
      </text>
    </comment>
    <comment ref="H26" authorId="0" shapeId="0">
      <text>
        <r>
          <rPr>
            <b/>
            <sz val="8"/>
            <color indexed="81"/>
            <rFont val="Tahoma"/>
          </rPr>
          <t>Saldos Finales de Depreciación al 31 de diciembre del 2006.</t>
        </r>
      </text>
    </comment>
  </commentList>
</comments>
</file>

<file path=xl/comments4.xml><?xml version="1.0" encoding="utf-8"?>
<comments xmlns="http://schemas.openxmlformats.org/spreadsheetml/2006/main">
  <authors>
    <author>Peter Abad</author>
  </authors>
  <commentList>
    <comment ref="B10" authorId="0" shapeId="0">
      <text>
        <r>
          <rPr>
            <b/>
            <sz val="8"/>
            <color indexed="81"/>
            <rFont val="Tahoma"/>
          </rPr>
          <t>Anotar el nombre específico y/o comercial (fácil de identificar) de las otras materias primas consumidas en orden de importancia del valor de las mismas.
En esta columna no describa envases, embalajes, combustibles o accesorios.</t>
        </r>
      </text>
    </comment>
  </commentList>
</comments>
</file>

<file path=xl/comments5.xml><?xml version="1.0" encoding="utf-8"?>
<comments xmlns="http://schemas.openxmlformats.org/spreadsheetml/2006/main">
  <authors>
    <author>ALESSANDRA</author>
    <author>Peter Abad</author>
  </authors>
  <commentList>
    <comment ref="B11" authorId="0" shapeId="0">
      <text>
        <r>
          <rPr>
            <b/>
            <sz val="8"/>
            <color indexed="81"/>
            <rFont val="Tahoma"/>
          </rPr>
          <t xml:space="preserve">Anote el nombre específico y/o comercial (fácil de identificar) de  los otros productos y subproductos fabricados por su empresa durante el año 2006.
En esta columna no registre códigos, marcas, envases, embalajes, combustibles o accesorios.
Indique para cada uno de ellos la cantidad y el valor de lo producido. 
</t>
        </r>
      </text>
    </comment>
    <comment ref="D11" authorId="0" shapeId="0">
      <text>
        <r>
          <rPr>
            <b/>
            <sz val="8"/>
            <color indexed="81"/>
            <rFont val="Tahoma"/>
          </rPr>
          <t>Inserte la nomenclatura NANDINA (código NANDINA) a 10 dígitos.</t>
        </r>
      </text>
    </comment>
    <comment ref="E11" authorId="0" shapeId="0">
      <text>
        <r>
          <rPr>
            <b/>
            <sz val="8"/>
            <color indexed="81"/>
            <rFont val="Tahoma"/>
          </rPr>
          <t>Las cantidades deberá declararlas en Unidades del Sistema Métrico Decimal (Kilogramos, Litros, Metros, etc).</t>
        </r>
      </text>
    </comment>
    <comment ref="F11" authorId="0" shapeId="0">
      <text>
        <r>
          <rPr>
            <b/>
            <sz val="8"/>
            <color indexed="81"/>
            <rFont val="Tahoma"/>
          </rPr>
          <t xml:space="preserve">Indique para cada uno de los productos y subproductos el precio unitario de venta, la cantidad y el valor total de lo producido. </t>
        </r>
      </text>
    </comment>
    <comment ref="I11" authorId="0" shapeId="0">
      <text>
        <r>
          <rPr>
            <b/>
            <sz val="8"/>
            <color indexed="81"/>
            <rFont val="Tahoma"/>
          </rPr>
          <t xml:space="preserve">Si se percibe ingresos por Ventas de Servicios solamente registrará información en las columnas "Nombre" y "Unidad de Medida" . En esta columna anote la cantidad producida para terceros.
</t>
        </r>
        <r>
          <rPr>
            <b/>
            <sz val="8"/>
            <color indexed="12"/>
            <rFont val="Tahoma"/>
            <family val="2"/>
          </rPr>
          <t>Si se registra esta información  debe existir en la clave 04 del Capítulo 4 (Venta de Servicios).</t>
        </r>
      </text>
    </comment>
    <comment ref="F12" authorId="1" shapeId="0">
      <text>
        <r>
          <rPr>
            <b/>
            <sz val="8"/>
            <color indexed="81"/>
            <rFont val="Tahoma"/>
          </rPr>
          <t xml:space="preserve">El valor unitario de venta es el resultado de dividir la cantidad producida del valor total. </t>
        </r>
      </text>
    </comment>
    <comment ref="G12" authorId="1" shapeId="0">
      <text>
        <r>
          <rPr>
            <b/>
            <sz val="8"/>
            <color indexed="81"/>
            <rFont val="Tahoma"/>
          </rPr>
          <t>Los datos pueden tener hasta 2 decimales.</t>
        </r>
      </text>
    </comment>
    <comment ref="H12" authorId="1" shapeId="0">
      <text>
        <r>
          <rPr>
            <b/>
            <sz val="8"/>
            <color indexed="81"/>
            <rFont val="Tahoma"/>
            <family val="2"/>
          </rPr>
          <t xml:space="preserve">El valor total producido tiene que ser un número entero positivo, de existir un número decimal se debe redondear este valor. 
La sumatoria total del valor está redondeada a enteros. </t>
        </r>
        <r>
          <rPr>
            <b/>
            <sz val="8"/>
            <color indexed="12"/>
            <rFont val="Tahoma"/>
            <family val="2"/>
          </rPr>
          <t xml:space="preserve">
Si se registran datos en esta columna, debe existir información en la clave 02 ó 03 del Capítulo 04 y en la clave 08 del Capítulo 5 (Valor de Materias Primas).</t>
        </r>
      </text>
    </comment>
  </commentList>
</comments>
</file>

<file path=xl/sharedStrings.xml><?xml version="1.0" encoding="utf-8"?>
<sst xmlns="http://schemas.openxmlformats.org/spreadsheetml/2006/main" count="19574" uniqueCount="4419">
  <si>
    <t>Grabar el archivo utilizando la opción "Guardar" que se encuentra dentro de la ventana archivo del  menú principal del Excel. En caso contrario utilice el icono "Grabar" que aparece en la parte superior derecha de su pantalla.</t>
  </si>
  <si>
    <t>EL INGRESO DE  INFORMACIÓN DE CADA EMPRESA DEBE SER INDEPENDIENTE:</t>
  </si>
  <si>
    <t>4.Para la Generación de Archivos a entregar al Ministerio de la Producción (Archivos TXT)</t>
  </si>
  <si>
    <t>El proceso de generación de archivos TXT se efectúa solo cuando se ha concluido el ingreso de datos y el reporte de validación generado no presenta errores.</t>
  </si>
  <si>
    <t>NO ES POSIBLE GENERAR LOS ARCHIVOS TXT SI EL REPORTE DE VALIDACIÓN PRESENTA ERRORES.</t>
  </si>
  <si>
    <t xml:space="preserve"> Archivos generados</t>
  </si>
  <si>
    <t>NOTA : Las "x" representan el Nº de RUC  de la empresa.</t>
  </si>
  <si>
    <t>Instalación del programa :</t>
  </si>
  <si>
    <t>CAP.1 : IDENTIFICACIÓN Y UBICACIÓN</t>
  </si>
  <si>
    <t>CAP.8 : TOTAL DE ACTIVO FIJO E INVERSIÓN</t>
  </si>
  <si>
    <t>CAP.7 : PRODUCCIÓN ANUAL</t>
  </si>
  <si>
    <t>07 * FABRICACION DE INDUCTORES (DE MOTORES, GENERADORES Y TRANSFORMADORES ELECTRICOS)</t>
  </si>
  <si>
    <t>08 * FABRICACION DE MOTORES O GENERADORES DE CORRIENTE CONTINUA</t>
  </si>
  <si>
    <t>LOCUMBA</t>
  </si>
  <si>
    <t>ILABAYA</t>
  </si>
  <si>
    <t>ITE</t>
  </si>
  <si>
    <t>TARATA</t>
  </si>
  <si>
    <t>ESTIQUE</t>
  </si>
  <si>
    <t>ESTIQUE-PAMPA</t>
  </si>
  <si>
    <t>SITAJARA</t>
  </si>
  <si>
    <t>SUSAPAYA</t>
  </si>
  <si>
    <t>TARUCACHI</t>
  </si>
  <si>
    <t>TICACO</t>
  </si>
  <si>
    <t>TUMBES</t>
  </si>
  <si>
    <t>CORRALES</t>
  </si>
  <si>
    <t>LA CRUZ</t>
  </si>
  <si>
    <t>PAMPAS DE HOSPITAL</t>
  </si>
  <si>
    <t>SAN JACINTO</t>
  </si>
  <si>
    <t>03 * FABRICACION DE AUTOMOVILES DE TURISMO</t>
  </si>
  <si>
    <t>07 * FABRICACION DE PARTES Y PIEZAS DE BICICLETAS Y SILLONES DE RUEDAS</t>
  </si>
  <si>
    <t>3599</t>
  </si>
  <si>
    <t>02 * SOCIEDAD EN COMANDITA POR ACCIONES</t>
  </si>
  <si>
    <t>PONTO</t>
  </si>
  <si>
    <t>RAHUAPAMPA</t>
  </si>
  <si>
    <t>TELEF.</t>
  </si>
  <si>
    <t>NRO.</t>
  </si>
  <si>
    <t>KM.</t>
  </si>
  <si>
    <t>OCUCAJE</t>
  </si>
  <si>
    <t>PACHACUTEC</t>
  </si>
  <si>
    <t>PARCONA</t>
  </si>
  <si>
    <t>PUEBLO NUEVO</t>
  </si>
  <si>
    <t>SALAS</t>
  </si>
  <si>
    <t>SAN JOSE DE LOS MOLINOS</t>
  </si>
  <si>
    <t>CHECRAS</t>
  </si>
  <si>
    <t>SACHACA</t>
  </si>
  <si>
    <t>EL MILAGRO</t>
  </si>
  <si>
    <t>JAMALCA</t>
  </si>
  <si>
    <t>LONYA GRANDE</t>
  </si>
  <si>
    <t>YAMON</t>
  </si>
  <si>
    <t>ANCASH</t>
  </si>
  <si>
    <t>HUARAZ</t>
  </si>
  <si>
    <t>COCHABAMBA</t>
  </si>
  <si>
    <t>COLCABAMBA</t>
  </si>
  <si>
    <t>HUANCHAY</t>
  </si>
  <si>
    <t>EL CARMEN</t>
  </si>
  <si>
    <t>LOCROJA</t>
  </si>
  <si>
    <t>PAUCARBAMBA</t>
  </si>
  <si>
    <t>06 * FABRICACION DE FRENOS (PARA VEHICULOS AUTOMOTORES)</t>
  </si>
  <si>
    <t>07 * FABRICACION DE RADIADORES</t>
  </si>
  <si>
    <t>00 * FABRICACION DE APARATOS DE USO DOMESTICO N.C.P.</t>
  </si>
  <si>
    <t>01 * FABRICACION DE ABRELATAS</t>
  </si>
  <si>
    <t>02 * FABRICACION DE AFILADORAS DE CUCHILLOS</t>
  </si>
  <si>
    <t>03 * FABRICACION DE ASADORES</t>
  </si>
  <si>
    <t>04 * FABRICACION DE ASPIRADORAS</t>
  </si>
  <si>
    <t>05 * FABRICACION DE CAFETERAS Y TETERAS</t>
  </si>
  <si>
    <t>2930 * FABRICACION DE APARATOS DE USO DOMESTICO N.C.P.</t>
  </si>
  <si>
    <t>01 * FABRICACION DE DESINFECTANTES</t>
  </si>
  <si>
    <t>22 * FABRICACION DE PISTOLAS ASPERSORAS</t>
  </si>
  <si>
    <t>23 * FABRICACION DE VENTILADORES DE USO INDUSTRIAL</t>
  </si>
  <si>
    <t>24 * FABRICACION DE VITRINAS REFRIGERADAS</t>
  </si>
  <si>
    <t>25 * FABRICACION DE OTROS TIPOS DE MAQUINARIA NO ESPECIFICADO</t>
  </si>
  <si>
    <t>26 * REPARACIONES</t>
  </si>
  <si>
    <t>2921</t>
  </si>
  <si>
    <t>2921 * FABRICACION DE MAQUINARIA AGROPECUARIA Y FORESTAL</t>
  </si>
  <si>
    <t>00 * FABRICACION DE MAQUINARIA AGROPECUARIA Y FORESTAL</t>
  </si>
  <si>
    <t>01 * FABRICACION DE MAQUINAS ACLARADORAS</t>
  </si>
  <si>
    <t>11 * FABRICACION DE COHETES</t>
  </si>
  <si>
    <t>12 * FABRICACION DE ESCOPETAS</t>
  </si>
  <si>
    <t>13 * FABRICACION DE ESCOPETAS DE AIRE COMPRIMIDO</t>
  </si>
  <si>
    <t>14 * FABRICACION DE FUSILES</t>
  </si>
  <si>
    <t>15 * FABRICACION DE GRANADAS</t>
  </si>
  <si>
    <t>CONDURIRI</t>
  </si>
  <si>
    <t>HUANCANE</t>
  </si>
  <si>
    <t>12 * FABRICACION DE PAPEL AUTOCOPIA</t>
  </si>
  <si>
    <t>13 * FABRICACION DE PAPEL CARBON</t>
  </si>
  <si>
    <t>AWAJUN</t>
  </si>
  <si>
    <t>COLCAMAR</t>
  </si>
  <si>
    <t>CONILA</t>
  </si>
  <si>
    <t>INGUILPATA</t>
  </si>
  <si>
    <t>LONGUITA</t>
  </si>
  <si>
    <t>LONYA CHICO</t>
  </si>
  <si>
    <t>VELILLE</t>
  </si>
  <si>
    <t>ESPINAR</t>
  </si>
  <si>
    <t>CONDOROMA</t>
  </si>
  <si>
    <t>OCORURO</t>
  </si>
  <si>
    <t>PALLPATA</t>
  </si>
  <si>
    <t>PICHIGUA</t>
  </si>
  <si>
    <t>ALTO PICHIGUA</t>
  </si>
  <si>
    <t>LA CONVENCION</t>
  </si>
  <si>
    <t>SANTA ANA</t>
  </si>
  <si>
    <t>01 * FUNDICION DE PRODUCTOS ACABADOS O SEMIACABADOS DE HIERRO Y DE ACERO</t>
  </si>
  <si>
    <t>2732</t>
  </si>
  <si>
    <t>2732 * FUNDICION DE METALES NO FERROSOS</t>
  </si>
  <si>
    <t>00 * FABRICACION DE JABONES Y DETERGENTES, PREPARADOS PARA LIMPIAR Y PULIR, PERFUMES Y PREPARADOS DE TOCADOR</t>
  </si>
  <si>
    <t>09 * FABRICACION DE ESPIGONES Y MUELLES</t>
  </si>
  <si>
    <t>05 * FABRICACION DE PARTES, PIEZAS Y ACCESORIOS DE MOTOCICLETAS</t>
  </si>
  <si>
    <t>3592</t>
  </si>
  <si>
    <t>DOCUMENTACION A PRESENTARSE AL MINISTERIO DE LA PRODUCCION</t>
  </si>
  <si>
    <r>
      <t xml:space="preserve">b) </t>
    </r>
    <r>
      <rPr>
        <sz val="10"/>
        <rFont val="Arial"/>
        <family val="2"/>
      </rPr>
      <t xml:space="preserve">Seleccionar la actividad principal en la parte desplegada y hacer "Click" en esta línea. Observe que también se ha seleccionado el código CIIU a 4 dígitos.  </t>
    </r>
  </si>
  <si>
    <t>10 * SOC. CIVIL DE RESP.LTDA</t>
  </si>
  <si>
    <t>04 * FABRICACION DE APARATOS DE ACONDICIONAMIENTO DE AIRE</t>
  </si>
  <si>
    <t>05 * FABRICACION DE BALANZAS DE USO DOMESTICO Y COMERCIAL</t>
  </si>
  <si>
    <t>06 * FABRICACION DE BALANZAS DE PLATAFORMA PORTATIL Y MOVIL</t>
  </si>
  <si>
    <t>07 * FABRICACION DE BALANZAS EQUIPADAS CON CALCULADORAS</t>
  </si>
  <si>
    <t>Resolución Jefatural del INEI N° 149 - 2007, que autoriza la ejecución de la "Encuesta Económica Anual de la Estadística Manufacturera 2006".</t>
  </si>
  <si>
    <t>11 * FABRICACION DE CEDAZOS Y CRIBAS MANUALES</t>
  </si>
  <si>
    <t>00 * FABRICACION DE MOTORES Y TURBINAS EXCEPTO MOTORES PARA AERONAVES, VEHICULOS AUTOMOTORES Y MOTOCICLETAS</t>
  </si>
  <si>
    <t>2005</t>
  </si>
  <si>
    <t>40 * FABRICACION DE PIEDRAS LITOGRAFICAS</t>
  </si>
  <si>
    <t>41 * FABRICACION DE PRENSAS CORRIENTES DE PLATINA DE CILINDRO Y ROTATIVA</t>
  </si>
  <si>
    <t>42 * FABRICACION DE SECADORAS CENTRIFUGAS PARA ROPA</t>
  </si>
  <si>
    <t xml:space="preserve">I.   Instrucciones generales </t>
  </si>
  <si>
    <t>II. Instrucciones específicas</t>
  </si>
  <si>
    <t>IDENTIFICACIÓN Y UBICACIÓN DE LA EMPRESA</t>
  </si>
  <si>
    <r>
      <t xml:space="preserve">Recuadro razón social o nombre de la empresa: </t>
    </r>
    <r>
      <rPr>
        <sz val="10"/>
        <rFont val="Arial"/>
        <family val="2"/>
      </rPr>
      <t>Registre la razón social que corresponda y que figure en el RUC.</t>
    </r>
  </si>
  <si>
    <r>
      <t>Recuadro Año de inicio.</t>
    </r>
    <r>
      <rPr>
        <sz val="10"/>
        <rFont val="Arial"/>
        <family val="2"/>
      </rPr>
      <t xml:space="preserve">- Registre el año que la empresa inicio sus actividades en el País, sin tener en consideración los </t>
    </r>
  </si>
  <si>
    <r>
      <t>Recuadro: Dirección electrónica.-</t>
    </r>
    <r>
      <rPr>
        <sz val="10"/>
        <rFont val="Arial"/>
        <family val="2"/>
      </rPr>
      <t xml:space="preserve"> Si la empresa tiene correo electrónico, anotar la dirección electrónica correspondiente.</t>
    </r>
  </si>
  <si>
    <r>
      <t>Recuadro: Registro unificado.-</t>
    </r>
    <r>
      <rPr>
        <sz val="10"/>
        <rFont val="Arial"/>
        <family val="2"/>
      </rPr>
      <t xml:space="preserve"> Si la empresa tiene Registro Unificado anote el número.</t>
    </r>
  </si>
  <si>
    <t>05 * FABRICACION DE APARATOS DE REPRODUCCION DE CASSETTES</t>
  </si>
  <si>
    <t>09 * FABRICACION DE INSTRUMENTOS Y APARATOS ODONTOLOGICOS</t>
  </si>
  <si>
    <t>10 * FABRICACION DE JERINGAS</t>
  </si>
  <si>
    <t>11 * FABRICACION DE REFLECTORES</t>
  </si>
  <si>
    <t>2893 * FABRICACION DE ARTICULOS DE CUCHILLERIA, HERRAMIENTAS DE MANO Y ARTICULOS DE FERRETERIA</t>
  </si>
  <si>
    <t>10 * FABRICACION DE HERRAMIENTAS DE MANO PARA EBANISTERIA Y CARPINTERIA</t>
  </si>
  <si>
    <t>11 * FABRICACION DE HERRAMIENTAS DE MANO PARA LA AGRICULTURA</t>
  </si>
  <si>
    <t>12 * FABRICACION DE HERRAMIENTAS DE HERRERIA, INCLUSO CUADROS DE FORJA Y YUNQUES</t>
  </si>
  <si>
    <t>13 * FABRICACION DE HOJAS DE AFEITAR</t>
  </si>
  <si>
    <t>27 * FABRICACION DE TELESCOPIOS</t>
  </si>
  <si>
    <t>3330</t>
  </si>
  <si>
    <t>3330 * FABRICACION DE RELOJES</t>
  </si>
  <si>
    <t>00 * FABRICACION DE RELOJES</t>
  </si>
  <si>
    <t>01 * FABRICACION DE APARATOS PARA MEDIR LA HORA DEL DIA</t>
  </si>
  <si>
    <t>02 * FABRICACION DE APARATOS PARA MEDIR INTERVALOS DE TIEMPO</t>
  </si>
  <si>
    <t>03 * FABRICACION DE CAJAS DE METALES PRECIOSOS</t>
  </si>
  <si>
    <t>04 * FABRICACION DE CAJAS PARA RELOJES</t>
  </si>
  <si>
    <t>05 * FABRICACION DE CORREAS, CINTAS Y PULSERAS DE METAL</t>
  </si>
  <si>
    <t>06 * FABRICACION DE CORREAS DE METAL PRECIOSO PARA RELOJES DE BOLSILLO O DE PULSERA</t>
  </si>
  <si>
    <t>07 * FABRICACION DE PIEZAS DE RELOJES</t>
  </si>
  <si>
    <t>08 * FABRICACION DE MECANISMOS DE RELOJERIA</t>
  </si>
  <si>
    <t>ALTO NANAY</t>
  </si>
  <si>
    <t>FERNANDO LORES</t>
  </si>
  <si>
    <t>INDIANA</t>
  </si>
  <si>
    <t>02 * FABRICACION DE RECIPIENTES DE METAL PARA GAS COMPRIMIDO O LICUADO.</t>
  </si>
  <si>
    <t>03 * FABRICACION DE TANQUES DEPOSITOS Y RECIPIENTES SIMILARES DE METAL QUE NO SEAN DE ACERO, HIERRO O ALUMINIO.</t>
  </si>
  <si>
    <t>2813</t>
  </si>
  <si>
    <t>3312 * FABRICACION DE INSTRUMENTOS Y APARATOS PARA MEDIR, VERIFICAR, ENSAYAR, NAVEGAR Y OTROS FINES, EXCEPTO EL EQUIPO DE CONTROL DE PROCESOS INDUSTRIALES</t>
  </si>
  <si>
    <t>00 * FABRICACION DE INSTRUMENTOS Y APARATOS PARA MEDIR, VERIFICAR, ENSAYAR, NAVEGAR Y OTROS FINES, EXCEPTO EL EQUIPO DE CONTROL DE PROCESOS INDUSTRIALES</t>
  </si>
  <si>
    <t>01 * FABRICACION DE APARATOS DE RADAR Y DE CONTROL REMOTO</t>
  </si>
  <si>
    <t>02 * FABRICACION DE APARATOS PARA EL ANALISIS DE GASES</t>
  </si>
  <si>
    <t>PASTAZA</t>
  </si>
  <si>
    <t>TENIENTE CESAR LOPEZ ROJAS</t>
  </si>
  <si>
    <t>NAUTA</t>
  </si>
  <si>
    <t>10 * CONSTRUCCION Y REPARACION DE KAYAKS</t>
  </si>
  <si>
    <t>11 * CONSTRUCCION Y REPARACION DE MOTONAVES</t>
  </si>
  <si>
    <t>08 * FABRICACION DE MAQUINAS CLASIFICADORAS DE CORRESPONDENCIA</t>
  </si>
  <si>
    <t>01 * SOCIEDAD ANONIMA (ORDINARIA)</t>
  </si>
  <si>
    <t>COTAPARACO</t>
  </si>
  <si>
    <t>HUAYLLAPAMPA</t>
  </si>
  <si>
    <t>LLACLLIN</t>
  </si>
  <si>
    <t>MARCA</t>
  </si>
  <si>
    <t>PAMPAS CHICO</t>
  </si>
  <si>
    <t>PARARIN</t>
  </si>
  <si>
    <t>TAPACOCHA</t>
  </si>
  <si>
    <t>TICAPAMPA</t>
  </si>
  <si>
    <t>SANTA</t>
  </si>
  <si>
    <t>CHIMBOTE</t>
  </si>
  <si>
    <t>MARISCAL RAMON CASTILLA</t>
  </si>
  <si>
    <t>17 * FABRICACION DE MARCOS PARA VENTANA</t>
  </si>
  <si>
    <t>18 * FABRICACION DE MATERIALES DE CONSTRUCCION COMPUESTO DE SUSTANCIAS VEGETALES (POR EJM, LANA DE MADERA, PAJA, CAÑAS Y JUNCOS)</t>
  </si>
  <si>
    <t>19 * FABRICACION DE MEZCLAS PREPARADAS PARA HORMIGON Y MORTERO</t>
  </si>
  <si>
    <t>20 * FABRICACION DE MUEBLES</t>
  </si>
  <si>
    <t>21 * FABRICACION DE PLANCHAS</t>
  </si>
  <si>
    <t>22 * FABRICACION DE POSTES</t>
  </si>
  <si>
    <t>09 * FABRICACION DE JABON EN FORMA DE BARRAS, PASTILLAS, PANES, PIEZAS MOLDEADAS, LIQUIDOS, PASTA Y EN OTRAS FORMAS</t>
  </si>
  <si>
    <t>16 * FABRICACION DE MAQUINAS PARA LIMPIAR EN SECO</t>
  </si>
  <si>
    <t>17 * FABRICACION DE MAQUINAS PARA LAVAR Y SECAR</t>
  </si>
  <si>
    <t>YURIMAGUAS</t>
  </si>
  <si>
    <t>BALSAPUERTO</t>
  </si>
  <si>
    <t>CAHUAPANAS</t>
  </si>
  <si>
    <t>JEBEROS</t>
  </si>
  <si>
    <t>MANSERICHE</t>
  </si>
  <si>
    <t>MORONA</t>
  </si>
  <si>
    <t>03 * FABRICACION DE TURBOCALDERAS Y MOTORES ESTACIONARIOS DE VAPOR CON CALDERA INTEGRAL.</t>
  </si>
  <si>
    <t>04 * FABRICACION DE VALVULAS</t>
  </si>
  <si>
    <t>05 * FABRICACION DE TURBINAS DE VAPOR DE AGUA Y DE OTROS TIPOS DE VAPOR</t>
  </si>
  <si>
    <t>06 * FABRICACION DE TURBINAS HIDRAULICAS, RUEDAS HIDRAULICAS Y MAQUINARIA PARA SU REGULACION</t>
  </si>
  <si>
    <t>RAZÓN SOCIAL O NOMBRE DE LA EMPRESA</t>
  </si>
  <si>
    <t>TIPO DE VÍA</t>
  </si>
  <si>
    <t>CORREO ELECTRÓNICO (EMAIL)</t>
  </si>
  <si>
    <t>PÁGINA WEB</t>
  </si>
  <si>
    <t xml:space="preserve">U B I C A C I Ó N    G E O G R Á F I C A  </t>
  </si>
  <si>
    <t>52 * FABRICACION DE TUBOS FLEXIBLES</t>
  </si>
  <si>
    <t>53</t>
  </si>
  <si>
    <t>53 * FABRICACION DE TUERCAS</t>
  </si>
  <si>
    <t>54</t>
  </si>
  <si>
    <t>54 * FABRICACION DE VAJILLAS DE MESA</t>
  </si>
  <si>
    <t>55</t>
  </si>
  <si>
    <t>55 * FABRICACION DE ARTESANIA METALICA</t>
  </si>
  <si>
    <t>56</t>
  </si>
  <si>
    <t>56 * HOJALATERIA</t>
  </si>
  <si>
    <t>57</t>
  </si>
  <si>
    <t>Capítulos del 2 al 4,  6,  8 y  9</t>
  </si>
  <si>
    <t>LUYA VIEJO</t>
  </si>
  <si>
    <t>MARIA</t>
  </si>
  <si>
    <t>OCALLI</t>
  </si>
  <si>
    <t>OCUMAL</t>
  </si>
  <si>
    <t>PISUQUIA</t>
  </si>
  <si>
    <t>PROVIDENCIA</t>
  </si>
  <si>
    <t xml:space="preserve">La información proporcionada por las fuentes, tiene carácter secreto, no podrá ser revelada en forma individualizada, aunque mediare orden administrativa o judicial. Sólo podrá ser divulgada o </t>
  </si>
  <si>
    <t xml:space="preserve">Tipo de Procesador:  Mínimo 486 </t>
  </si>
  <si>
    <t>Impresora: De preferencia Laser o de inyección de tinta</t>
  </si>
  <si>
    <t>Utilice versión del Windows: 95  ó  mayor</t>
  </si>
  <si>
    <t>Utilice versión del Paquete Excel: 97  ó  mayor</t>
  </si>
  <si>
    <t>DESCRIPCION</t>
  </si>
  <si>
    <t>02 * FABRICACION DE PAPEL DE PERGAMINO VEGETAL</t>
  </si>
  <si>
    <t>03 * FABRICACION DE PAPEL DE CALCAR TRASPARENTES Y TRASLUCIDOS</t>
  </si>
  <si>
    <t>04 * FABRICACION DE PAPEL PARA ENVOLVER</t>
  </si>
  <si>
    <t>SAN ANTONIO DE CHUCA  2/</t>
  </si>
  <si>
    <t>MAJES</t>
  </si>
  <si>
    <t>JESUS NAZARENO</t>
  </si>
  <si>
    <t>08 * SOCIEDAD COLECTIVA</t>
  </si>
  <si>
    <t>NUEVOS</t>
  </si>
  <si>
    <t>IMPUESTO GENERAL A LAS VENTAS</t>
  </si>
  <si>
    <t>IMPUESTO SELECTIVO AL CONSUMO</t>
  </si>
  <si>
    <t>MAGDALENA DE CAO</t>
  </si>
  <si>
    <t>PAIJAN</t>
  </si>
  <si>
    <t>RAZURI</t>
  </si>
  <si>
    <t>MORCOLLA</t>
  </si>
  <si>
    <t>PAICO</t>
  </si>
  <si>
    <t>SAN PEDRO DE LARCAY</t>
  </si>
  <si>
    <t>ELIAS SOPLIN VARGAS</t>
  </si>
  <si>
    <t>NUEVA CAJAMARCA</t>
  </si>
  <si>
    <t>TONGOD</t>
  </si>
  <si>
    <t>UNION AGUA BLANCA</t>
  </si>
  <si>
    <t>SAN PABLO</t>
  </si>
  <si>
    <t>SAN BERNARDINO</t>
  </si>
  <si>
    <t>TUMBADEN</t>
  </si>
  <si>
    <t>ANDABAMBA</t>
  </si>
  <si>
    <t>OLMOS</t>
  </si>
  <si>
    <t>PACORA</t>
  </si>
  <si>
    <t>TUCUME</t>
  </si>
  <si>
    <t>LIMA</t>
  </si>
  <si>
    <t>ANCON</t>
  </si>
  <si>
    <t>ATE</t>
  </si>
  <si>
    <t>BARRANCO</t>
  </si>
  <si>
    <t>CARABAYLLO</t>
  </si>
  <si>
    <t>CHACLACAYO</t>
  </si>
  <si>
    <t>TIEMPO TRABAJADO</t>
  </si>
  <si>
    <t>NIEPOS</t>
  </si>
  <si>
    <t>SAN GREGORIO</t>
  </si>
  <si>
    <t>SAN BARTOLO</t>
  </si>
  <si>
    <t>SAN BORJA</t>
  </si>
  <si>
    <t>00 * ACTIVIDADES DE SERVICIOS RELACIONADOS CON LA IMPRESION</t>
  </si>
  <si>
    <t>MOTUPE</t>
  </si>
  <si>
    <t>21 * FABRICACION DE MAQUINAS PARA PRODUCIR BALDOSAS, LADRILLOS, PASTA DE CERAMICA, TUBOS</t>
  </si>
  <si>
    <t>22 * FABRICACION DE MAQUINAS PARA ENCUADERNACION</t>
  </si>
  <si>
    <t>01 * FABRICACION DE AEROGRAMAS</t>
  </si>
  <si>
    <t>02 * FABRICACION DE BANDEJAS</t>
  </si>
  <si>
    <t>03 * FABRICACION DE BLOQUES PLANCHAS Y FILTRANTES DE PASTA DE PAPEL</t>
  </si>
  <si>
    <t>04 * FABRICACION DE CAJAS</t>
  </si>
  <si>
    <t>1912 * FABRICACION DE MALETAS, BOLSOS DE MANO Y ARTICULOS SIMILARES Y DE ARTICULOS DE TALABARTERIA Y GUARNICIONERIA</t>
  </si>
  <si>
    <t>3592 * FABRICACION DE BICICLETAS Y DE SILLONES DE RUEDAS PARA INVALIDOS</t>
  </si>
  <si>
    <t>12 * FABRICACION DE LOS ESMALTES Y EL VIDRIO</t>
  </si>
  <si>
    <t>13 * FABRICACION DE MASILLAS</t>
  </si>
  <si>
    <t>14 * FABRICACION DE OPACIFICANTES PREPARADOS</t>
  </si>
  <si>
    <t>15 * FABRICACION DE PIGMENTOS PREPARADOS</t>
  </si>
  <si>
    <t>16 * FABRICACION DE PINTURAS</t>
  </si>
  <si>
    <t>02 * FABRICACION DE PLASTICOS EN FORMA PRIMARIA, INCLUSO POLIMEROS DE ETILENO, DE POLIPROPILENO Y DE OTRAS OLEFINAS DE ESTIROLENO, DE CLARURO VINILO Y DE OTRAS OLEFINAS HALOGENODAS DE ACETATO DE VINILO Y OTROS POLIMEROS DE VINILO</t>
  </si>
  <si>
    <t>43</t>
  </si>
  <si>
    <t>TELEFONO</t>
  </si>
  <si>
    <t>FAX</t>
  </si>
  <si>
    <t>AÑO INICIO</t>
  </si>
  <si>
    <t>ORGJ</t>
  </si>
  <si>
    <t>MOYA</t>
  </si>
  <si>
    <t>NUEVO OCCORO</t>
  </si>
  <si>
    <t>SAN PEDRO DE CASTA</t>
  </si>
  <si>
    <t>SAN PEDRO DE HUANCAYRE</t>
  </si>
  <si>
    <t>SANGALLAYA</t>
  </si>
  <si>
    <t>SANTA CRUZ DE COCACHACRA</t>
  </si>
  <si>
    <t>SANTA EULALIA</t>
  </si>
  <si>
    <t>SANTIAGO DE ANCHUCAYA</t>
  </si>
  <si>
    <t>SANTIAGO DE TUNA</t>
  </si>
  <si>
    <t>16 * CONSTRUCCION Y REPARACION DE EMBARCACIONES NO MOTORIZADOS (GABARRAS)</t>
  </si>
  <si>
    <t>03 * PRODUCCION DE MEZCLAS DE CAUCHO SINTETICO (RESINAS SINTETICAS)</t>
  </si>
  <si>
    <t>Dirección: Calle 1 Oeste Nº 060 - 6º piso,, Urb. Corpac-San Isidro-Lima</t>
  </si>
  <si>
    <t>Horario: Lunes a Viernes de 8:30 a 17:00 horas</t>
  </si>
  <si>
    <r>
      <t xml:space="preserve">   </t>
    </r>
    <r>
      <rPr>
        <b/>
        <sz val="10"/>
        <rFont val="Arial"/>
        <family val="2"/>
      </rPr>
      <t>pcordova@produce.gob.pe</t>
    </r>
  </si>
  <si>
    <t>Ing. WALTER MERMA CRUZ</t>
  </si>
  <si>
    <t>Director Regional de Producción</t>
  </si>
  <si>
    <t>Jr. Ortiz Arrieta Nº 1250 Local Sub Región de Desarrollo V - Chachapoyas</t>
  </si>
  <si>
    <t>041 – 778277</t>
  </si>
  <si>
    <t>produce_amazonas@produce.gob.pe</t>
  </si>
  <si>
    <t xml:space="preserve">Av. José Pardo Nº 347  - Chimbote  </t>
  </si>
  <si>
    <t>Telf: 043 - 328780/ 043 – 321451</t>
  </si>
  <si>
    <t>Produce_ancash@produce.gob.pe</t>
  </si>
  <si>
    <t xml:space="preserve">Director Regional de Producción </t>
  </si>
  <si>
    <t xml:space="preserve">Jr. Andahuaylas Nº 201-3º piso, Abancay </t>
  </si>
  <si>
    <t>Telf: 083 – 321695</t>
  </si>
  <si>
    <t>2695 * FABRICACION DE ARTICULOS DE HORMIGON, CEMENTO Y YESO</t>
  </si>
  <si>
    <t>00 * FABRICACION DE ARTICULOS DE HORMIGON, CEMENTO Y YESO</t>
  </si>
  <si>
    <r>
      <t>a)  Por Correo electrónico.-</t>
    </r>
    <r>
      <rPr>
        <sz val="10"/>
        <rFont val="Arial"/>
        <family val="2"/>
      </rPr>
      <t xml:space="preserve"> Las Empresas que tienen acceso a Internet, enviaran los archivos texto (TXT) generados y archivo excel, al correo electrónico del sector correspondiente (Ver anexo Nº 01), desde el cual, se confirmará la recepción y la validez de la información proporcionada Información de la Oficina Sectorial de Estadística del Ministerio de la Producción para la coordinación de la distribución y recepción de los formularios  electrónicos.</t>
    </r>
  </si>
  <si>
    <r>
      <t>b)  Entrega directa.-</t>
    </r>
    <r>
      <rPr>
        <sz val="10"/>
        <rFont val="Arial"/>
        <family val="2"/>
      </rPr>
      <t xml:space="preserve"> Las empresas que no les sea posible entregar los archivos texto (TXT) a través del correo electrónico, se apersonaran a la Oficina General de la Tecnología de la Información y Estadística del Ministerio de la Producción en Lima y para el resto del País  a las Direcciones Regionales de la Producción a nivel nacional (ver relación), portando un disquete o CD conteniendo los archivos texto generados y archivo excel del formulario electrónico.</t>
    </r>
  </si>
  <si>
    <t>Blgo. JOSÉ ANTONIO MONZÓN MENDOZA</t>
  </si>
  <si>
    <t>Ing.  ANASTASIO TAIPE HUAMANI</t>
  </si>
  <si>
    <r>
      <t xml:space="preserve">Dirección: </t>
    </r>
    <r>
      <rPr>
        <sz val="10"/>
        <rFont val="Helvetica"/>
        <family val="2"/>
      </rPr>
      <t xml:space="preserve">Calle 1 Oeste Nº 60 - 6º piso, Urb. Corpac-San Isidro-Lima </t>
    </r>
  </si>
  <si>
    <r>
      <t>Horario</t>
    </r>
    <r>
      <rPr>
        <sz val="10"/>
        <rFont val="Helvetica"/>
        <family val="2"/>
      </rPr>
      <t xml:space="preserve"> : Lunes a viernes de 8.30 a 17.00  horas.</t>
    </r>
  </si>
  <si>
    <r>
      <t>En Provincias</t>
    </r>
    <r>
      <rPr>
        <sz val="10"/>
        <rFont val="Helvetica"/>
        <family val="2"/>
      </rPr>
      <t>: Direcciones  Regionales de la Producción</t>
    </r>
  </si>
  <si>
    <r>
      <t>Central Telefónica</t>
    </r>
    <r>
      <rPr>
        <sz val="10"/>
        <rFont val="Helvetica"/>
        <family val="2"/>
      </rPr>
      <t>:</t>
    </r>
    <r>
      <rPr>
        <b/>
        <sz val="10"/>
        <color indexed="10"/>
        <rFont val="Helvetica"/>
        <family val="2"/>
      </rPr>
      <t xml:space="preserve"> </t>
    </r>
    <r>
      <rPr>
        <b/>
        <sz val="11"/>
        <color indexed="10"/>
        <rFont val="Helvetica"/>
        <family val="2"/>
      </rPr>
      <t>415-1111 anexo 648 - 647</t>
    </r>
  </si>
  <si>
    <r>
      <t xml:space="preserve">Km. 4,5 </t>
    </r>
    <r>
      <rPr>
        <sz val="8"/>
        <color indexed="8"/>
        <rFont val="Tahoma"/>
        <family val="2"/>
      </rPr>
      <t xml:space="preserve">Carretera Pimentel -  Chiclayo  </t>
    </r>
  </si>
  <si>
    <r>
      <t>Jr. Ramirez Hurtado Nº 645 - Iquitos</t>
    </r>
    <r>
      <rPr>
        <sz val="8"/>
        <color indexed="8"/>
        <rFont val="Tahoma"/>
        <family val="2"/>
      </rPr>
      <t xml:space="preserve"> </t>
    </r>
  </si>
  <si>
    <r>
      <t xml:space="preserve"> </t>
    </r>
    <r>
      <rPr>
        <b/>
        <sz val="8"/>
        <rFont val="Tahoma"/>
        <family val="2"/>
      </rPr>
      <t>APURIMAC</t>
    </r>
  </si>
  <si>
    <r>
      <t>Av. Mariano Lino Urquieta s/n - Ilo</t>
    </r>
    <r>
      <rPr>
        <sz val="8"/>
        <color indexed="8"/>
        <rFont val="Tahoma"/>
        <family val="2"/>
      </rPr>
      <t xml:space="preserve"> </t>
    </r>
  </si>
  <si>
    <r>
      <t>Telf: 073 - 331830</t>
    </r>
    <r>
      <rPr>
        <sz val="8"/>
        <rFont val="Tahoma"/>
        <family val="2"/>
      </rPr>
      <t xml:space="preserve"> </t>
    </r>
  </si>
  <si>
    <r>
      <t xml:space="preserve">Director Regional </t>
    </r>
    <r>
      <rPr>
        <sz val="8"/>
        <color indexed="8"/>
        <rFont val="Tahoma"/>
        <family val="2"/>
      </rPr>
      <t>de Producción</t>
    </r>
  </si>
  <si>
    <r>
      <t xml:space="preserve">Telf: </t>
    </r>
    <r>
      <rPr>
        <sz val="8"/>
        <rFont val="Tahoma"/>
        <family val="2"/>
      </rPr>
      <t>042 – 562036</t>
    </r>
  </si>
  <si>
    <r>
      <t>Director Regional de Producción</t>
    </r>
    <r>
      <rPr>
        <sz val="8"/>
        <rFont val="Tahoma"/>
        <family val="2"/>
      </rPr>
      <t xml:space="preserve"> </t>
    </r>
  </si>
  <si>
    <r>
      <t>Telf: 072 – 522440</t>
    </r>
    <r>
      <rPr>
        <sz val="8"/>
        <rFont val="Tahoma"/>
        <family val="2"/>
      </rPr>
      <t xml:space="preserve"> </t>
    </r>
  </si>
  <si>
    <r>
      <t>Telf: 044 - 461170 / 044 –</t>
    </r>
    <r>
      <rPr>
        <sz val="8"/>
        <rFont val="Tahoma"/>
        <family val="2"/>
      </rPr>
      <t xml:space="preserve"> 461067</t>
    </r>
  </si>
  <si>
    <t>Ing. ESMILTON PLASCENCIA OBANDO</t>
  </si>
  <si>
    <t>Produce_apurimac@produce.gob.pe</t>
  </si>
  <si>
    <t>Ing. WASHINGTON COELLO TAIVO</t>
  </si>
  <si>
    <t>Ing. TEODOCIO SULDAVILLA HUAYLLANI</t>
  </si>
  <si>
    <t>Ing. MARILU CORBERA LA TORRE</t>
  </si>
  <si>
    <t>Ing. CARLOS ALCOCER VELIZ</t>
  </si>
  <si>
    <t>Blgo. LUIS ALBERTO SHIMOKAWA SHIGUIYAMA</t>
  </si>
  <si>
    <t>Blgo. ALAND ROBERTO ALARCÓN VASQUEZ</t>
  </si>
  <si>
    <t>Blgo.  TULIO CORREA GIRON</t>
  </si>
  <si>
    <t>Blgo. SEGUNDO SUYON CASAS</t>
  </si>
  <si>
    <t xml:space="preserve">Ing. HERNAN PACHAS GUEVARA </t>
  </si>
  <si>
    <t>Eco.  LELIS SANTOS HINOSTROZA</t>
  </si>
  <si>
    <t>Ing.  FERMIN SAAVEDRA CANO</t>
  </si>
  <si>
    <t>Sr. JOSÉ DAVID VELEZVIA DIAZ</t>
  </si>
  <si>
    <t>Ing. ANGEL LÓPEZ MALAVERRY</t>
  </si>
  <si>
    <t>Ing. IGOR SANZ LUDEÑA</t>
  </si>
  <si>
    <t>Blgo.  FITIS CORNEJO OLAYA</t>
  </si>
  <si>
    <t>Blgo. MARIANO REBAZA ALFARO</t>
  </si>
  <si>
    <t>Correo Electrónico: rfigueroa@produce.gob.pe  y  rquispe@produce.gob.pe</t>
  </si>
  <si>
    <r>
      <t>Página Web:</t>
    </r>
    <r>
      <rPr>
        <sz val="9"/>
        <color indexed="23"/>
        <rFont val="Arial"/>
        <family val="2"/>
      </rPr>
      <t xml:space="preserve"> </t>
    </r>
    <r>
      <rPr>
        <b/>
        <u/>
        <sz val="9"/>
        <color indexed="23"/>
        <rFont val="Arial"/>
        <family val="2"/>
      </rPr>
      <t>WWW.PRODUCE.GOB.PE</t>
    </r>
  </si>
  <si>
    <r>
      <t>En Provincias:</t>
    </r>
    <r>
      <rPr>
        <sz val="9"/>
        <rFont val="Arial"/>
        <family val="2"/>
      </rPr>
      <t xml:space="preserve"> Direcciones Regionales de la Producción</t>
    </r>
  </si>
  <si>
    <r>
      <t>Correo Electrónico:</t>
    </r>
    <r>
      <rPr>
        <b/>
        <sz val="9"/>
        <color indexed="12"/>
        <rFont val="Arial"/>
        <family val="2"/>
      </rPr>
      <t xml:space="preserve"> rfigueroa@produce.gob.pe    y   rquispe@produce.gob.pe </t>
    </r>
  </si>
  <si>
    <r>
      <t xml:space="preserve">Central Telefónica: </t>
    </r>
    <r>
      <rPr>
        <b/>
        <sz val="11"/>
        <color indexed="10"/>
        <rFont val="Arial"/>
        <family val="2"/>
      </rPr>
      <t>415-1111 anexos 648 y 647</t>
    </r>
    <r>
      <rPr>
        <b/>
        <sz val="9"/>
        <rFont val="Arial"/>
        <family val="2"/>
      </rPr>
      <t xml:space="preserve"> </t>
    </r>
  </si>
  <si>
    <t>26 * FABRICACION DE PROYECTORES CINEMATOGRAFICOS</t>
  </si>
  <si>
    <t>21 * FABRICACION DE PISTOLAS DE EMBOLO CAUTIVO</t>
  </si>
  <si>
    <t>22 * FABRICACION DE PISTOLAS DE MATARIFE</t>
  </si>
  <si>
    <t>23 * FABRICACION DE PISTOLAS DE AIRE Y GAS COMPRIMIDO</t>
  </si>
  <si>
    <t>24 * FABRICACION DE PISTOLAS PARA LANZAR BENGALAS DE SEÑALES</t>
  </si>
  <si>
    <t>25 * FABRICACION DE PROYECTILES</t>
  </si>
  <si>
    <t>02 * EMBOTELLADORAS DE GASEOSAS</t>
  </si>
  <si>
    <t>06 * PRODUCCION DE CUEROS CURTIDOS Y ADOBADOS (CURTIDAS VEGETAL, MINERAL Y QUIMICO)</t>
  </si>
  <si>
    <t>1912</t>
  </si>
  <si>
    <t>VILLA EL SALVADOR</t>
  </si>
  <si>
    <t>05 * FABRICACION DE CRISOLES (JOYAS Y ARTICULOS ANEXOS)</t>
  </si>
  <si>
    <t>06 * FABRICACION DE CUBIERTOS</t>
  </si>
  <si>
    <t>22 * FABRICACION DE PALAS MECANICAS</t>
  </si>
  <si>
    <t>06 * FABRICACION DE ARTEFACTOS DE LANZAMIENTO DE AERONAVES</t>
  </si>
  <si>
    <t>07 * FABRICACION DE DEPOSITOS DE COMBUSTIBLES</t>
  </si>
  <si>
    <t>08 * FABRICACION DE DIRIGIBLES</t>
  </si>
  <si>
    <t>09 * FABRICACION DE DISPOSITIVOS DE FRENADO SOBRE CUBIERTA</t>
  </si>
  <si>
    <t>10 * FABRICACION DE ESTATORREACTORES</t>
  </si>
  <si>
    <t>11 * FABRICACION DE FLOTADORES DE HIDROAVION</t>
  </si>
  <si>
    <t>12 * FABRICACION DE FUSELAJES</t>
  </si>
  <si>
    <t>13 * FABRICACION DE GLOBOS UTILIZADOS EN AERONAUTICA Y METEOROLOGIA</t>
  </si>
  <si>
    <t>42 * SOCIEDAD ANONIMA ABIERTA (S.A.A.)</t>
  </si>
  <si>
    <t>43 * SOCIEDAD ANONIMA CERRADA (S.A.C.)</t>
  </si>
  <si>
    <t>SELECCIONE</t>
  </si>
  <si>
    <t>11 * FABRICACION DE CALIBRADORAS Y CALIBRES</t>
  </si>
  <si>
    <t>12 * FABRICACION DE CINTAS GRADUADAS</t>
  </si>
  <si>
    <t>13 * FABRICACION DE COLORIMETROS</t>
  </si>
  <si>
    <t>14 * FABRICACION DE COMPARADORES OPTICOS</t>
  </si>
  <si>
    <t>03 * FABRICACION DE CUBIERTAS NEUMATICAS</t>
  </si>
  <si>
    <t>04 * FABRICACION DE CUBIERTAS PARA EQUIPO Y MAQUINARIA MOVIL</t>
  </si>
  <si>
    <t>05 * FABRICACION DE CUBIERTAS SOLIDAS Y MULLIDAS</t>
  </si>
  <si>
    <t>18 * FABRICACION DE MAQUINAS PARA FABRICAR O REPARAR CALZADO U OTROS ARTICULOS DE CUERO O PIEL</t>
  </si>
  <si>
    <t>19 * FABRICACION DE MAQUINAS PARA CURTIR PIEL O CUEROS</t>
  </si>
  <si>
    <t>ANGASMARCA</t>
  </si>
  <si>
    <t>CACHICADAN</t>
  </si>
  <si>
    <t>MOLLEBAMBA</t>
  </si>
  <si>
    <t>QUIRUVILCA</t>
  </si>
  <si>
    <t>SANTA CRUZ DE CHUCA</t>
  </si>
  <si>
    <t>SITABAMBA</t>
  </si>
  <si>
    <t>PADRE MARQUEZ</t>
  </si>
  <si>
    <t>SARAYACU</t>
  </si>
  <si>
    <t>VARGAS GUERRA</t>
  </si>
  <si>
    <t>MADRE DE DIOS</t>
  </si>
  <si>
    <t>TAMBOPATA</t>
  </si>
  <si>
    <t>LABERINTO</t>
  </si>
  <si>
    <t>37 * FABRICACION DE PRENSADORAS PARA LA ELABORACION DE SIDRA, JUGOS, ETC.</t>
  </si>
  <si>
    <t>38 * FABRICACION DE SEPARADORES ASPIRADORES</t>
  </si>
  <si>
    <t>39 * FABRICACION DE SEPARADORES CICLONICOS</t>
  </si>
  <si>
    <t>40 * FABRICACION DE TRITURADORAS PARA LA ELABORACION DE SIDRA, JUGOS, ETC.</t>
  </si>
  <si>
    <t>41 * REPARACION DE MAQUINARIA PARA LA ELABORACION DE ALIMENTOS, BEBIDA Y TABACO</t>
  </si>
  <si>
    <t>2926</t>
  </si>
  <si>
    <t>2926 * FABRICACION DE MAQUINARIA PARA LA ELABORACION DE PRODUCTOS TEXTILES, PRENDAS DE VESTIR Y CUEROS</t>
  </si>
  <si>
    <t>00 * FABRICACION DE MAQUINARIA PARA LA ELABORACION DE PRODUCTOS TEXTILES, PRENDAS DE VESTIR Y CUEROS</t>
  </si>
  <si>
    <t>07 * IMPRESION DE MAPAS</t>
  </si>
  <si>
    <t>08 * IMPRESION DE NAIPES</t>
  </si>
  <si>
    <t>09 * IMPRESION DE PAPEL MONEDA</t>
  </si>
  <si>
    <t>10 * IMPRESION DE PARTITURAS</t>
  </si>
  <si>
    <t>11 * IMPRESION DE PERIODICOS</t>
  </si>
  <si>
    <t>12 * IMPRESION DE PUBLICACIONES PERIODICAS</t>
  </si>
  <si>
    <t>13 * IMPRESION DE REVISTAS</t>
  </si>
  <si>
    <t>02 * SERVICIOS RELACIONADOS CON PIEDRAS LITOGRAFICAS IMPRESAS</t>
  </si>
  <si>
    <t>03 * PRODUCCION DE CARACTERES DE IMPRENTA COMPUESTOS, PLANCHAS Y CILINDROS DE IMPRESION PREPARADOS</t>
  </si>
  <si>
    <t>2230</t>
  </si>
  <si>
    <t>2230 * REPRODUCCION DE GRABACIONES</t>
  </si>
  <si>
    <t>00 * REPRODUCCION DE GRABACIONES</t>
  </si>
  <si>
    <t>01 * CINTAS DE COMPUTADORAS A PARTIR DE GRABACIONES ORIGINALES</t>
  </si>
  <si>
    <t>09 * FABRICACION DE BOCINAS</t>
  </si>
  <si>
    <t>10 * FABRICACION DE BUJIAS DE CHISPA PARA MOTORES DE EXPLOSION</t>
  </si>
  <si>
    <t>11 * FABRICACION DE BUJIAS DE INCANDESCENCIA PARA MOTORES DIESEL</t>
  </si>
  <si>
    <t>13 * PRODUCCION DE MUELAS DE MOLINO</t>
  </si>
  <si>
    <t>14 * PRODUCCION DE PIEDRAS DE AMOLAR Y DE PULIMENTAR</t>
  </si>
  <si>
    <t>2710</t>
  </si>
  <si>
    <t>2710 * INDUSTRIAS BASICAS DE HIERRO Y DE ACERO</t>
  </si>
  <si>
    <t>CHINGALPO</t>
  </si>
  <si>
    <t>HUAYLLABAMBA</t>
  </si>
  <si>
    <t>QUICHES</t>
  </si>
  <si>
    <t>07 * PRODUCCION DE CUEROS CURTIDOS SIN DEPILAR</t>
  </si>
  <si>
    <t>08 * PRODUCCION DE PIELES CURTIDAS Y ADOBADOS SIN DEPILAR</t>
  </si>
  <si>
    <t>09 * PRODUCCION DE PIELES FINAS ADOBADOS</t>
  </si>
  <si>
    <t>10 * FABRICACION DE PIELES ARTIFICIALES Y ARTICULOS CONFECCIONADOS CON ESTAS PIELES</t>
  </si>
  <si>
    <t>1911</t>
  </si>
  <si>
    <t>1911 * CURTIDO Y ADOBO DE CUEROS</t>
  </si>
  <si>
    <t>00 * CURTIDO Y ADOBO DE CUEROS</t>
  </si>
  <si>
    <t>01 * FABRICACION DE CUEROS DE CHAROL</t>
  </si>
  <si>
    <t>3420 * FABRICACION DE CARROCERIAS PARA VEHICULOS AUTOMOTORES, FABRICACION DE REMOLQUES Y SEMIRREMOLQUES</t>
  </si>
  <si>
    <t>37 * FABRICACION DE PLUMEROS</t>
  </si>
  <si>
    <t>FIDEL OLIVAS ESCUDERO</t>
  </si>
  <si>
    <t>MORROPE</t>
  </si>
  <si>
    <t>32 * FABRICACION DE SARTENES</t>
  </si>
  <si>
    <t>33 * FABRICACION DE SECADORAS</t>
  </si>
  <si>
    <t>34 * FABRICACION DE SECADORAS DE CABELLO</t>
  </si>
  <si>
    <t>2694 * FABRICACION DE CEMENTO, CAL Y YESO</t>
  </si>
  <si>
    <t>16 * FABRICACION DE HIELO</t>
  </si>
  <si>
    <t>2412</t>
  </si>
  <si>
    <t>2412 * FABRICACION DE ABONOS Y COMPUESTOS DE NITROGENO</t>
  </si>
  <si>
    <t>00 * FABRICACION DE ABONOS Y COMPUESTOS DE NITROGENO</t>
  </si>
  <si>
    <t>01 * FABRICACION DE ABONOS FOSFATADOS Y POTASICOS PUROS</t>
  </si>
  <si>
    <t>01 * FABRICACION DE BANDEJAS DE MADERA</t>
  </si>
  <si>
    <t>02 * FABRICACION DE BARRICAS, CUBAS Y TINAS</t>
  </si>
  <si>
    <t>03 * FABRICACION DE BARRILES</t>
  </si>
  <si>
    <t>04 * FABRICACION DE CAJAS Y CAJONES</t>
  </si>
  <si>
    <t>05 * FABRICACION DE CARRETES DE MADERA</t>
  </si>
  <si>
    <t>06 * FABRICACION DE ENVASES DE MADERA</t>
  </si>
  <si>
    <t>07 * FABRICACION DE JAULAS</t>
  </si>
  <si>
    <t>08 * FABRICACION DE PALETAS</t>
  </si>
  <si>
    <t>09 * FABRICACION DE TONELES</t>
  </si>
  <si>
    <t>2029</t>
  </si>
  <si>
    <t>2519 * FABRICACION DE OTROS PRODUCTOS DE CAUCHO</t>
  </si>
  <si>
    <t>02 * FABRICACION DE AEROPLANOS MOTORIZADOS DE ALA FIJA</t>
  </si>
  <si>
    <t>09 * FABRICACION DE PAPEL TELA</t>
  </si>
  <si>
    <t>SAN MIGUEL DE CHACCRAMPA</t>
  </si>
  <si>
    <t>SANTA MARIA DE CHICMO</t>
  </si>
  <si>
    <t>TALAVERA</t>
  </si>
  <si>
    <t>TUMAY HUARACA</t>
  </si>
  <si>
    <t>YANAHUARA</t>
  </si>
  <si>
    <t>YARABAMBA</t>
  </si>
  <si>
    <t>YURA</t>
  </si>
  <si>
    <t>CARUMAS</t>
  </si>
  <si>
    <t>CUCHUMBAYA</t>
  </si>
  <si>
    <t>SAMEGUA</t>
  </si>
  <si>
    <t>TORATA</t>
  </si>
  <si>
    <t>GENERAL SANCHEZ CERRO</t>
  </si>
  <si>
    <t>OMATE</t>
  </si>
  <si>
    <t>CHOJATA</t>
  </si>
  <si>
    <t>COALAQUE</t>
  </si>
  <si>
    <t>LA CAPILLA</t>
  </si>
  <si>
    <t>LLOQUE</t>
  </si>
  <si>
    <t xml:space="preserve">Clave 01 al 03. - Sírvase informar los datos de los días, meses y horas trabajadas. </t>
  </si>
  <si>
    <t>PERSONAL OCUPADO Y REMUNERACIONES PAGADAS</t>
  </si>
  <si>
    <t>CAPITULO 3:</t>
  </si>
  <si>
    <t>CAPITULO 4:</t>
  </si>
  <si>
    <t>02 * FABRICACION DE CONVERTIDORES ESTATICOS</t>
  </si>
  <si>
    <t>01 * FABRICACION DE ASCENSORES</t>
  </si>
  <si>
    <t>02 * FABRICACION DE BASTIDORES ELEVADORES MOVILES</t>
  </si>
  <si>
    <t>SAN JUAN DE LOPECANCHA</t>
  </si>
  <si>
    <t>OLLARAYA</t>
  </si>
  <si>
    <t>LONGOTEA</t>
  </si>
  <si>
    <t>MANCOS</t>
  </si>
  <si>
    <t>15 * FABRICACION DE PASTA DE MADERA: PROCESOS FISICO, QUIMICO (SOLUBLE Y NO SOLUBLE: BLANQUEADA, SEMIBLANQUEADA Y SIN BLANQUE</t>
  </si>
  <si>
    <t>41 * FABRICACION DE TIOVIVOS, COLUMPIOS</t>
  </si>
  <si>
    <t>42 * FABRICACION DE VAPORIZADORES DE PERFUME</t>
  </si>
  <si>
    <t>14 * FABRICACION DE TRACTORES PARA SEMIRREMOLQUES</t>
  </si>
  <si>
    <t>2691</t>
  </si>
  <si>
    <t>2691 * FABRICACION DE PRODUCTOS DE CERAMICA NO REFRACTARIA PARA USO NO ESTRUCTURAL</t>
  </si>
  <si>
    <t>00 * FABRICACION DE PRODUCTOS DE CERAMICA NO REFRACTARIA PARA USO NO ESTRUCTURAL</t>
  </si>
  <si>
    <t>01 * FABRICACION DE ARTICULOS DE CERAMICA</t>
  </si>
  <si>
    <t>03 * FABRICACION DE ALMOHADILLAS ENTINTADAS</t>
  </si>
  <si>
    <t>04 * FABRICACION DE APARATOS PARA IMPRIMIR MEMBRETES EN RELIEVE</t>
  </si>
  <si>
    <t>05 * FABRICACION DE BARBAS POSTIZAS</t>
  </si>
  <si>
    <t>06 * FABRICACION DE BARRACAS DE TIRO AL BLANCO</t>
  </si>
  <si>
    <t>07 * FABRICACION DE BARREDORES MECANICOS</t>
  </si>
  <si>
    <t>08 * FABRICACION DE BASTONES</t>
  </si>
  <si>
    <t>09 * FABRICACION DE BOTONES</t>
  </si>
  <si>
    <t>18 * FABRICACION DE TRACTORES EQUIPADOS CON CABESTANTES</t>
  </si>
  <si>
    <t>04 * FABRICACION DE IMPRESORAS OFFSET</t>
  </si>
  <si>
    <t>2922 * FABRICACION DE MAQUINAS HERRAMIENTA</t>
  </si>
  <si>
    <t>00 * FABRICACION DE MAQUINAS HERRAMIENTA</t>
  </si>
  <si>
    <t>IHUARI</t>
  </si>
  <si>
    <t>LAMPIAN</t>
  </si>
  <si>
    <t>PACARAOS</t>
  </si>
  <si>
    <t>CAP. 3</t>
  </si>
  <si>
    <t>NOMBRE DE LAS PRINCIPALES MATERIAS PRIMAS</t>
  </si>
  <si>
    <t>CAP.  8</t>
  </si>
  <si>
    <t>ICHUPAMPA</t>
  </si>
  <si>
    <t>LARI</t>
  </si>
  <si>
    <t>LLUTA</t>
  </si>
  <si>
    <t>MACA</t>
  </si>
  <si>
    <t>MADRIGAL</t>
  </si>
  <si>
    <t>SIBAYO</t>
  </si>
  <si>
    <t>TAPAY</t>
  </si>
  <si>
    <t>TISCO</t>
  </si>
  <si>
    <t>TUTI</t>
  </si>
  <si>
    <t>03 * FABRICACION DE ARTICULOS DE USO RELIGIOSO</t>
  </si>
  <si>
    <t>04 * FABRICACION DE COPELAS</t>
  </si>
  <si>
    <t>15 * FABRICACION DE ESTUFAS</t>
  </si>
  <si>
    <t>16 * FABRICACION DE EXPRIMIDORAS</t>
  </si>
  <si>
    <t>14 * ARTICULOS Y EQUIPO PARA RAQUETAS</t>
  </si>
  <si>
    <t>15 * FABRICACION DE LOSETAS</t>
  </si>
  <si>
    <t>18 * FABRICACION DE HORNOS ELECTRICOS</t>
  </si>
  <si>
    <t>19 * FABRICACION DE LAVADORAS</t>
  </si>
  <si>
    <t>20 * FABRICACION DE LAVAPLATOS</t>
  </si>
  <si>
    <t>21 * FABRICACION DE LICUADORAS</t>
  </si>
  <si>
    <t>22 * FABRICACION DE LUSTRADORAS</t>
  </si>
  <si>
    <t>3.1 EMPLEADOS</t>
  </si>
  <si>
    <t>3.2 OBREROS</t>
  </si>
  <si>
    <t>4. PROPIETARIO</t>
  </si>
  <si>
    <t>5. PERSONAL NO REMUNERADO</t>
  </si>
  <si>
    <t>2. PERSONAL PERMANENTE (03+04)</t>
  </si>
  <si>
    <t>3. PERSONAL EVENTUAL (06+07)</t>
  </si>
  <si>
    <t>T O T A L (01+02+05+08)</t>
  </si>
  <si>
    <t>NUEVOS SOLES  S/.</t>
  </si>
  <si>
    <t>Capítulo 5, 7 y Observaciones</t>
  </si>
  <si>
    <t>REGLA</t>
  </si>
  <si>
    <t>REGLA 05B1/2 - 05AB1/2</t>
  </si>
  <si>
    <r>
      <t xml:space="preserve">menores </t>
    </r>
    <r>
      <rPr>
        <sz val="10"/>
        <rFont val="Arial"/>
        <family val="2"/>
      </rPr>
      <t xml:space="preserve">a S/. 300 000 nuevos soles, ubicadas dentro del territorio nacional, </t>
    </r>
    <r>
      <rPr>
        <b/>
        <sz val="10"/>
        <rFont val="Arial"/>
        <family val="2"/>
      </rPr>
      <t>que se dedican a la transformación mecánica</t>
    </r>
  </si>
  <si>
    <t xml:space="preserve">o química de sustancias inorgánicas u orgánicas en productos nuevos; incluye también los procesos de montaje </t>
  </si>
  <si>
    <t>RECTA</t>
  </si>
  <si>
    <t>SAN CARLOS</t>
  </si>
  <si>
    <t>SHIPASBAMBA</t>
  </si>
  <si>
    <t>VALERA</t>
  </si>
  <si>
    <t>YAMBRASBAMBA</t>
  </si>
  <si>
    <t>COISHCO</t>
  </si>
  <si>
    <t>MACATE</t>
  </si>
  <si>
    <t>MORO</t>
  </si>
  <si>
    <t>SAMANCO</t>
  </si>
  <si>
    <t>NUEVO CHIMBOTE</t>
  </si>
  <si>
    <t>SIHUAS</t>
  </si>
  <si>
    <t>ACOBAMBA</t>
  </si>
  <si>
    <t>SANTA ROSA</t>
  </si>
  <si>
    <t>TOTORA</t>
  </si>
  <si>
    <t>VISTA ALEGRE</t>
  </si>
  <si>
    <t>24 * FABRICACION DE GRAPAS</t>
  </si>
  <si>
    <t>25 * FABRICACION DE HEBILLAS</t>
  </si>
  <si>
    <t>26 * FABRICACION DE HELICES PARA BARCOS</t>
  </si>
  <si>
    <t>27 * FABRICACION DE LAVADOS - LAVATORIOS (DE METAL)</t>
  </si>
  <si>
    <t>28 * FABRICACION DE LETREROS</t>
  </si>
  <si>
    <t>29 * FABRICACION DE MACHETES</t>
  </si>
  <si>
    <t>44 * FABRICACION DE TELEMETROS</t>
  </si>
  <si>
    <t>45 * FABRICACION DE TEODOLITOS</t>
  </si>
  <si>
    <t>46 * FABRICACION DE TERMOMETROS</t>
  </si>
  <si>
    <t>19 * PRODUCCION DE HIERRO ESPONJOSO</t>
  </si>
  <si>
    <t>20 * PRODUCCION DE LINGOTES DE ACERO Y DE ACERO DE ALEACION</t>
  </si>
  <si>
    <t>21 * PRODUCCION DE PALMETICOS DE ACERO O HIERRO</t>
  </si>
  <si>
    <t>22 * PRODUCCION DE TOCHOS DE ACERO Y HIERRO</t>
  </si>
  <si>
    <t>2720</t>
  </si>
  <si>
    <t>ASUNCION</t>
  </si>
  <si>
    <t>BALSAS</t>
  </si>
  <si>
    <t>CHETO</t>
  </si>
  <si>
    <t>CHILIQUIN</t>
  </si>
  <si>
    <t>CHUQUIBAMBA</t>
  </si>
  <si>
    <t>GRANADA</t>
  </si>
  <si>
    <t>HUANCAS</t>
  </si>
  <si>
    <t>14 * IMPRESION DE REVISTAS ESPECIALIZADAS</t>
  </si>
  <si>
    <t>15 * IMPRESION DE SELLOS POSTALES</t>
  </si>
  <si>
    <t>07 * FABRICACION DE CARROS</t>
  </si>
  <si>
    <t>08 * FABRICACION DE CARROS PARA ROCIAR Y ESPOLVOREAR</t>
  </si>
  <si>
    <t>09 * FABRICACION DE CARROZAS FUNEBRES</t>
  </si>
  <si>
    <t>10 * FABRICACION DE PORTACARGAS</t>
  </si>
  <si>
    <t>2222 * ACTIVIDADES DE SERVICIOS RELACIONADOS CON LA IMPRESION</t>
  </si>
  <si>
    <r>
      <t xml:space="preserve">» "Formulario no tiene errores", </t>
    </r>
    <r>
      <rPr>
        <sz val="8"/>
        <rFont val="Arial"/>
        <family val="2"/>
      </rPr>
      <t xml:space="preserve"> que se genera al corregir los errores de validación o  cuando el formulario no ha  </t>
    </r>
  </si>
  <si>
    <r>
      <t>La generación de archivos TXT, se realiza en el Menú Formulario  con la opción "</t>
    </r>
    <r>
      <rPr>
        <b/>
        <sz val="8"/>
        <color indexed="10"/>
        <rFont val="Arial"/>
        <family val="2"/>
      </rPr>
      <t>GENERAR ARCHIVOS</t>
    </r>
    <r>
      <rPr>
        <sz val="8"/>
        <rFont val="Arial"/>
        <family val="2"/>
      </rPr>
      <t xml:space="preserve">", siguiendo las pautas siguientes: </t>
    </r>
  </si>
  <si>
    <r>
      <t>a)  Hacer "Click" en la opción</t>
    </r>
    <r>
      <rPr>
        <b/>
        <sz val="8"/>
        <color indexed="10"/>
        <rFont val="Arial"/>
        <family val="2"/>
      </rPr>
      <t xml:space="preserve"> "GENERAR ARCHIVOS"</t>
    </r>
    <r>
      <rPr>
        <sz val="8"/>
        <rFont val="Arial"/>
        <family val="2"/>
      </rPr>
      <t xml:space="preserve"> del Menú Formulario. La pantalla </t>
    </r>
    <r>
      <rPr>
        <b/>
        <sz val="10"/>
        <rFont val="Arial"/>
        <family val="2"/>
      </rPr>
      <t/>
    </r>
  </si>
  <si>
    <r>
      <t>archivos y cierra la aplicación... ¿Desea continuar ...?"</t>
    </r>
    <r>
      <rPr>
        <sz val="8"/>
        <rFont val="Arial"/>
        <family val="2"/>
      </rPr>
      <t>. Hacer "Click" en si.</t>
    </r>
  </si>
  <si>
    <t>del Ministerio de la Producción o a las Direcciones Regionales Subregionales o Zonales del sector.</t>
  </si>
  <si>
    <t>05 * FABRICACION DE CONDENSADORES ELECTRICOS DE CAPACIDAD FIJA VARIABLE O REGULABLE</t>
  </si>
  <si>
    <t>26 * FABRICACION DE GENERADORES</t>
  </si>
  <si>
    <t>08 * FABRICACION DE PERFILES DE ACERO O HIERRO</t>
  </si>
  <si>
    <t>05 * FABRICACION DE LAMINADO PLANO DE ACERO</t>
  </si>
  <si>
    <t>06 * FABRICACION DE LAMINADO TABULAR DE ACERO</t>
  </si>
  <si>
    <t>07 * FABRICACION DE MATERIAL DE ACERO O HIERRO PARA VIAS DE FERROCARRIL Y DE TRANVIA</t>
  </si>
  <si>
    <t>03 * FABRICACION DE DESCARGADORES MECANICOS DE CENIZAS</t>
  </si>
  <si>
    <t>04 * FABRICACION DE EQUIPO INDUSTRIAL PARA CALENTAMIENTO POR INDUCCION DIELECTRICO</t>
  </si>
  <si>
    <t>12 * FABRICACION DE TORNOS DE DENTISTA,ETC.</t>
  </si>
  <si>
    <t>13 * FABRICACION DE APARATOS ORTOPEDICOS</t>
  </si>
  <si>
    <t>33 * FABRICACION DE MAQUINAS PASTEURIZADORAS, CONDENSADORAS Y DE COCCION DE LECHE.</t>
  </si>
  <si>
    <t>34 * FABRICACION DE MAQUINAS PRENSADORAS DE QUESO</t>
  </si>
  <si>
    <t>31 * FABRICACION DE MAQUINAS PARA DEPOSITAR TORTAS</t>
  </si>
  <si>
    <t>32 * FABRICACION DE MAQUINAS PARTIDORAS DE GUISANTES</t>
  </si>
  <si>
    <t>SALAMANCA</t>
  </si>
  <si>
    <t>12 * FABRICACION DE CABEZALES, ALZADORES ELECTROMAGNETICOS</t>
  </si>
  <si>
    <t>00 * FABRICACION DE BICICLETAS Y DE SILLONES DE RUEDAS PARA INVALIDOS</t>
  </si>
  <si>
    <t>01 * FABRICACION DE BICICLETAS CON SIDECAR</t>
  </si>
  <si>
    <t>02 * FABRICACION DE BICICLETAS DE CARRERA</t>
  </si>
  <si>
    <t>03 * FABRICACION DE BICICLETAS NO MOTORIZADAS</t>
  </si>
  <si>
    <t>36 * REPARACION DE MAQ. PARA LA ELAB. DE PRODUCT. TEXTILES, PREND. DE VESTIR Y CUEROS</t>
  </si>
  <si>
    <t>2927</t>
  </si>
  <si>
    <t>2927 * FABRICACION DE ARMAS Y MUNICIONES</t>
  </si>
  <si>
    <t>07 * FABRICACION DE CAÑONES MOVILES</t>
  </si>
  <si>
    <t>08 * FABRICACION DE CARABINAS</t>
  </si>
  <si>
    <t>HUACULLANI</t>
  </si>
  <si>
    <t>KELLUYO</t>
  </si>
  <si>
    <t>PISACOMA</t>
  </si>
  <si>
    <t>POMATA</t>
  </si>
  <si>
    <t>ZEPITA</t>
  </si>
  <si>
    <t>EL COLLAO</t>
  </si>
  <si>
    <t>ILAVE</t>
  </si>
  <si>
    <t>PILCUYO</t>
  </si>
  <si>
    <t>00 * FABRICACION DE MAQUINARIA PARA LA ELABORACION DE ALIMENTOS, BEBIDAS Y TABACO</t>
  </si>
  <si>
    <t>01 * FABRICACION DE ACEPILLADORAS</t>
  </si>
  <si>
    <t>2912</t>
  </si>
  <si>
    <t>2912 * FABRICACION DE BOMBAS, COMPRESORES, GRIFOS Y VALVULAS</t>
  </si>
  <si>
    <t>00 * FABRICACION DE BOMBAS, COMPRESORES, GRIFOS Y VALVULAS</t>
  </si>
  <si>
    <t>01 * FABRICACION DE BOMBAS DE AIRE Y DE VACIO</t>
  </si>
  <si>
    <t xml:space="preserve">Indique para cada uno de ellos la cantidad y el valor total de lo producido. Las cantidades deberá declararlas en </t>
  </si>
  <si>
    <t>11 * FABRICACION DE TRANSMISORES Y RECEPTORES DE FOTOTELEGRAFIA</t>
  </si>
  <si>
    <t>12 * FABRICACION DE TEJIDOS DE MALLAS ANUDADAS</t>
  </si>
  <si>
    <t>13 * FABRICACION DE TEJIDOS ESTRECHOS, INCLUSO DE URDIMBRE</t>
  </si>
  <si>
    <t>14 * FABRICACION DE TEJIDOS RECUBIERTOS CON PLASTICO</t>
  </si>
  <si>
    <t>13 * FABRICACION DE TRANSMISORES PARA RADIOTELEFONIA Y RADIOTELEGRAFIA</t>
  </si>
  <si>
    <t>3230</t>
  </si>
  <si>
    <t>05 * FABRICACION DE MAQUINARIA PARA LA PREPARACION DE TABACO</t>
  </si>
  <si>
    <t>00 *SELECCIONE LA ORGANIZACIÓN JURIDICA</t>
  </si>
  <si>
    <t>06 * FABRICACION DE ESLINGAS - MAROMAS</t>
  </si>
  <si>
    <t>07 * FABRICACION DE HILOS DE FIBRAS TEXTILES REVESTIDOS O NO CON CAUCHO O PLASTICO</t>
  </si>
  <si>
    <t>08 * FABRICACION DE REDES DE CUERDA</t>
  </si>
  <si>
    <t>09 * FABRICACION DE REDES DE DEFENSA</t>
  </si>
  <si>
    <t>10 * FABRICACION DE REDES DE PESCA</t>
  </si>
  <si>
    <t>1729</t>
  </si>
  <si>
    <t>1729 * FABRICACION DE OTROS PRODUCTOS TEXTILES N.C.P.</t>
  </si>
  <si>
    <t>00 * FABRICACION DE OTROS PRODUCTOS TEXTILES N.C.P.</t>
  </si>
  <si>
    <t>OYOTUN</t>
  </si>
  <si>
    <t>PICSI</t>
  </si>
  <si>
    <t>PIMENTEL</t>
  </si>
  <si>
    <t>04 * FABRICACION DE CORTADORAS DE LAMINAS DE METAL</t>
  </si>
  <si>
    <t>05 * FABRICACION DE CORTADORAS EN TIRAS</t>
  </si>
  <si>
    <t>CHACAS</t>
  </si>
  <si>
    <t>ACOCHACA</t>
  </si>
  <si>
    <t>04 * FABRICACION DE OTROS ELEMENTOS, ISOTOPOS O COMPUESTOS RADIOACTIVOS</t>
  </si>
  <si>
    <t>08 * FABRICACION DE CATALEJOS</t>
  </si>
  <si>
    <t>SAN JOSE</t>
  </si>
  <si>
    <t>PATAZ</t>
  </si>
  <si>
    <t>ELEAZAR GUZMAN BARRON</t>
  </si>
  <si>
    <t>22 * FABRICACION DE FRUTOS ARTIFICIALES</t>
  </si>
  <si>
    <t>JAUJA</t>
  </si>
  <si>
    <t>ACOLLA</t>
  </si>
  <si>
    <t>APATA</t>
  </si>
  <si>
    <t>ATAURA</t>
  </si>
  <si>
    <t>CANCHAYLLO</t>
  </si>
  <si>
    <t>TABLAS</t>
  </si>
  <si>
    <t>O. J.</t>
  </si>
  <si>
    <t>C. I. I. U.</t>
  </si>
  <si>
    <t>3692 * FABRICACION DE INSTRUMENTOS DE MUSICA</t>
  </si>
  <si>
    <t>00 * FABRICACION DE INSTRUMENTOS DE MUSICA</t>
  </si>
  <si>
    <t>01 * FABRICACION DE ACORDEONES</t>
  </si>
  <si>
    <t>02 * FABRICACION DE ARMONICOS</t>
  </si>
  <si>
    <t>03 * FABRICACION DE ARMONIOS E INSTRUMENTOS DE TECLADO CON LENGUETAS METALICAS</t>
  </si>
  <si>
    <t>04 * FABRICACION DE CAJAS DE MUSICA</t>
  </si>
  <si>
    <t>05 * FABRICACION DE CASTAÑUELAS</t>
  </si>
  <si>
    <t>06 * FABRICACION DE CUERNOS DE LLAMADA</t>
  </si>
  <si>
    <t>07 * FABRICACION DE INSTRUMENTOS DE CUERDA PROVISTOS DE TECLADO</t>
  </si>
  <si>
    <t>08 * FABRICACION DE INSTRUMENTOS DE VIENTO</t>
  </si>
  <si>
    <t>09 * FABRICACION DE ORGANILLOS</t>
  </si>
  <si>
    <t>Pagina Web:  WWW.PRODUCE.GOB.PE</t>
  </si>
  <si>
    <t>12 * FABRICACION DE PAJAROS CANTORES MECANICOS</t>
  </si>
  <si>
    <t>13 * FABRICACION DE PIANOLAS</t>
  </si>
  <si>
    <t>14 * FABRICACION DE SIERRAS MUSICALES</t>
  </si>
  <si>
    <t>15 * FABRICACION DE SILBATOS</t>
  </si>
  <si>
    <t>17 * FABRICACION DE COLUMPIOS</t>
  </si>
  <si>
    <t>18 * FABRICACION DE CORCHETES DE PRESION</t>
  </si>
  <si>
    <t>19 * FABRICACION DE ENCENDEDORES DE CIGARRILLOS</t>
  </si>
  <si>
    <t>Formulario sin información</t>
  </si>
  <si>
    <t>09 * ARTICULOS Y EQUIPO PARA GUANTES</t>
  </si>
  <si>
    <t>33 * FABRICACION DE MAQUINAS PEINADORAS DE LANA</t>
  </si>
  <si>
    <t>34 * FABRICACION DE MAQUINAS TRANSFORMADORAS DE HILACHAS EN FIBRAS</t>
  </si>
  <si>
    <t>35 * FABRICACION DE MAQUINAS URDIDORAS</t>
  </si>
  <si>
    <t>08 * IMPRESION DE METAL Y DE ARTICULOS DE METAL</t>
  </si>
  <si>
    <t>09 * LIMPIEZA CON CHORRO DE ARENA DE METAL Y ARTICULOS DE METAL</t>
  </si>
  <si>
    <t>20 * FABRICACION DE SULFAMIDAS</t>
  </si>
  <si>
    <t>31 * FABRICACION DE MICROMETROS</t>
  </si>
  <si>
    <t>SAN JUAN DE ISCOS</t>
  </si>
  <si>
    <t>SAN JUAN DE JARPA</t>
  </si>
  <si>
    <t>05 * FABRICACION DE CONMUTADORES (DE TRANSMISORES DE RADIO Y TELEVISION Y DE APARATOS PARA TELEFONIA Y TELEGRAFIA CON HILOS)</t>
  </si>
  <si>
    <t>06 * FABRICACION DE CONTROLES AUTOMATICOS Y NO AUTOMATICOS</t>
  </si>
  <si>
    <t>07 * FABRICACION DE GRABADORES DE TIPO MORSE</t>
  </si>
  <si>
    <t>08 * FABRICACION DE MANIPULADORES MORSE O DE TIPO MORSE</t>
  </si>
  <si>
    <t>09 * FABRICACION DE RECEPTORES-IMPRESORAS</t>
  </si>
  <si>
    <t>10 * FABRICACION DE TELEFONOS</t>
  </si>
  <si>
    <t>13 * FABRICACION DE CHASIS EQUIPADOS CON MOTORES PARA VEHICULOS</t>
  </si>
  <si>
    <t>19 * FABRICACION DE CUENTA REVOLUCIONES</t>
  </si>
  <si>
    <t>20 * FABRICACION DE DETECTORES</t>
  </si>
  <si>
    <t>21 * FABRICACION DE DIAFONOMETROS</t>
  </si>
  <si>
    <t>22 * FABRICACION DE HIDROMETROS</t>
  </si>
  <si>
    <t>23 * FABRICACION DE INSTRUMENTOS DE DIBUJO</t>
  </si>
  <si>
    <t>24 * FABRICACION DE INSTRUMENTOS DE TRAZADO O CALCULO MATEMATICO</t>
  </si>
  <si>
    <t>25 * FABRICACION DE INSTRUMENTOS PARA MEDIR Y VERIFICAR EL FLUJO, EL NIVEL, LA PRESION Y OTRAS VARIABLES DE LIQUIDOS O GASES</t>
  </si>
  <si>
    <t>26 * FABRICACION DE MAQUINAS Y APARATOS PARA DETERMINAR LA RESISTENCIA AL DESGASTE DE PRODUCTOS TEXTILES</t>
  </si>
  <si>
    <t>iv) Hacer "Click" en el icono copiar de la barra de herramientas o  utilice las teclas (CTRL+C)</t>
  </si>
  <si>
    <t>02 * FABRICACION DE MAQUINAS BATANES DE ALGODON</t>
  </si>
  <si>
    <t>17 * FABRICACION DE PREPARADOS PARA LA HIGIENE BUCAL Y DENTAL - PRODUCTOS DENTRIFICOS</t>
  </si>
  <si>
    <t>SAN MIGUEL</t>
  </si>
  <si>
    <t>ANCO</t>
  </si>
  <si>
    <t>AYNA</t>
  </si>
  <si>
    <t>CHILCAS</t>
  </si>
  <si>
    <t>CHUNGUI</t>
  </si>
  <si>
    <t>LUIS CARRANZA</t>
  </si>
  <si>
    <t>TAMBO</t>
  </si>
  <si>
    <t>LUCANAS</t>
  </si>
  <si>
    <t>RELACION</t>
  </si>
  <si>
    <t>QUISQUI</t>
  </si>
  <si>
    <t>SAN FRANCISCO DE CAYRAN</t>
  </si>
  <si>
    <t>08 * FABRICACION DE BRAZOS Y CABEZAS ACUSTICOS DE FONOCAPTORES</t>
  </si>
  <si>
    <t>09 * FABRICACION DE BURILES PARA MATRICES DE DISCOS GRAMAFONICOS</t>
  </si>
  <si>
    <t>10 * FABRICACION DE FONOCAPTORES</t>
  </si>
  <si>
    <t>11 * FABRICACION DE GIRADISCOS</t>
  </si>
  <si>
    <t>12 * FABRICACION DE GRABADORES DE CASETTES</t>
  </si>
  <si>
    <t>13 * FABRICACION DE GRABADORES DE CINTA MAGNETICA</t>
  </si>
  <si>
    <t>22 * FABRICACION DE CORCHETES (PRODUCTO ELABORADO DE METAL)</t>
  </si>
  <si>
    <t>23 * FABRICACION DE ESPADAS</t>
  </si>
  <si>
    <t>15 * FABRICACION DE CONTADORES DE CONSUMO DE ELECTRICIDAD</t>
  </si>
  <si>
    <t>16 * FABRICACION DE CONTADORES DE CONSUMO DE AGUA</t>
  </si>
  <si>
    <t>17 * FABRICACION DE CONTADORES DE GAS</t>
  </si>
  <si>
    <t>30 * FABRICACION DE MARCOS PARA CUADROS</t>
  </si>
  <si>
    <t>31 * FABRICACION DE MUELLES</t>
  </si>
  <si>
    <t>32 * FABRICACION DE MUELLES DE BALLESTA</t>
  </si>
  <si>
    <t>33 * FABRICACION DE MUELLES HELICOIDALES</t>
  </si>
  <si>
    <t>37 * FABRICACION DE PLATAFORMA GIRATAORIAS DE VIAS DE FERROCARRIL</t>
  </si>
  <si>
    <t>00 * FABRICACION DE ARTICULOS CONFECCIONADOS DE MATERIAS TEXTILES, EXCEPTO PRENDAS DE VESTIR</t>
  </si>
  <si>
    <t>01 * FABRICACION DE ALMOHADAS</t>
  </si>
  <si>
    <t>04 * FABRICACION DE MALETAS</t>
  </si>
  <si>
    <t>05 * FABRICACION DE HILADOS DE PAPEL</t>
  </si>
  <si>
    <t>06 * FABRICACION DE HILADOS O HILOS</t>
  </si>
  <si>
    <t>06 * FABRICACION DE RECALENTADORES</t>
  </si>
  <si>
    <t>07 * FABRICACION DE RECOLECTORES DE VAPOR</t>
  </si>
  <si>
    <t>Identificación y Ubicación de la Empresa  (Capitulo 1)</t>
  </si>
  <si>
    <t>AREQUIPA</t>
  </si>
  <si>
    <t>ALTO SELVA ALEGRE</t>
  </si>
  <si>
    <t>CAYMA</t>
  </si>
  <si>
    <t>SAN JOSE DE USHUA</t>
  </si>
  <si>
    <t>SARA SARA</t>
  </si>
  <si>
    <t>SUCRE</t>
  </si>
  <si>
    <t>QUEROBAMBA</t>
  </si>
  <si>
    <t>BELEN</t>
  </si>
  <si>
    <t>CHALCOS</t>
  </si>
  <si>
    <t>CHILCAYOC</t>
  </si>
  <si>
    <t>CAMILACA</t>
  </si>
  <si>
    <t>Si no hubiera más espacio en el capitulo 7 incluya en este cuadro el resto de productos elaborados.</t>
  </si>
  <si>
    <t>YANAQUIHUA</t>
  </si>
  <si>
    <t>ISLAY</t>
  </si>
  <si>
    <t>MOLLENDO</t>
  </si>
  <si>
    <t>18 * FABRICACION DE VOLQUETES</t>
  </si>
  <si>
    <t>3420</t>
  </si>
  <si>
    <t>03 * FABRICACION DE HECTOGRAFOS</t>
  </si>
  <si>
    <t>23 * FABRICACION DE EMBRAGUES (EQUIPO ELECTRICO)</t>
  </si>
  <si>
    <t>CHOCO</t>
  </si>
  <si>
    <t>HUANCARQUI</t>
  </si>
  <si>
    <t>MACHAGUAY</t>
  </si>
  <si>
    <t>ORCOPAMPA</t>
  </si>
  <si>
    <t>PAMPACOLCA</t>
  </si>
  <si>
    <t>TIPAN</t>
  </si>
  <si>
    <t>09 * FABRICACION DE CATGUT Y OTROS PRODUCTOS PARA SUTURAS</t>
  </si>
  <si>
    <t>HUAMBO</t>
  </si>
  <si>
    <t>LIMABAMBA</t>
  </si>
  <si>
    <t>LONGAR</t>
  </si>
  <si>
    <t>MARISCAL BENAVIDES</t>
  </si>
  <si>
    <t>MILPUC</t>
  </si>
  <si>
    <t>OMIA</t>
  </si>
  <si>
    <t>3.-</t>
  </si>
  <si>
    <t>1.-</t>
  </si>
  <si>
    <t xml:space="preserve"> R.U.C.</t>
  </si>
  <si>
    <t>LIMBANI</t>
  </si>
  <si>
    <t>18 * FABRICACION DE MAQUINAS EMPAQUETADORAS</t>
  </si>
  <si>
    <t>19 * FABRICACION DE MAQUINAS ENGRAPADORAS</t>
  </si>
  <si>
    <t>CARLOS FERMIN FITZCARRALD</t>
  </si>
  <si>
    <t>NEPEÑA</t>
  </si>
  <si>
    <t>SAN JUAN DE CHACÑA</t>
  </si>
  <si>
    <t>SAÑAYCA</t>
  </si>
  <si>
    <t>OBSERVACIONES</t>
  </si>
  <si>
    <t>CHAVIÑA</t>
  </si>
  <si>
    <t>OCAÑA</t>
  </si>
  <si>
    <t>CORONEL CASTAÑEDA</t>
  </si>
  <si>
    <t>HUACAÑA</t>
  </si>
  <si>
    <t>ENCAÑADA</t>
  </si>
  <si>
    <t>30 * FABRICACION DE JUEGOS DE CABLES</t>
  </si>
  <si>
    <t>31 * FABRICACION DE LAMPARAS O LUCES DE ESTACIONAMIENTO</t>
  </si>
  <si>
    <t>25 * FABRICACION DE MAQUINAS PARA RETORCER JUNTOS DOS O MAS HILOS</t>
  </si>
  <si>
    <t>26 * FABRICACION DE MAQUINAS PARA TRANSFORMAR LAS MECHAS EN HILOS</t>
  </si>
  <si>
    <t>27 * FABRICACION DE MAQUINAS PARA BLANQUEAR</t>
  </si>
  <si>
    <t>28 * FABRICACION DE MAQUINAS PARA LAVAR</t>
  </si>
  <si>
    <t>43 * FABRICACION DE VELAS</t>
  </si>
  <si>
    <t>44 * FABRICACION DE FOSFOROS</t>
  </si>
  <si>
    <t>45 * FABRICACION DE OTROS PRODUCTOS NO N.C.</t>
  </si>
  <si>
    <t>3710</t>
  </si>
  <si>
    <t>3710 * RECICLAMIENTO DE DESPERDICIOS Y DESECHOS METALICOS</t>
  </si>
  <si>
    <t>27 * FABRICACION DE MAQUINAS Y APARATOS PARA DETERMINAR LA DUREZA Y OTRAS PROPIEDADES DE LOS METALES</t>
  </si>
  <si>
    <t>18 * FABRICACION DE CONTADORES DE RADIACION</t>
  </si>
  <si>
    <t>Número de días trabajados en la producción</t>
  </si>
  <si>
    <t>Número de horas trabajadas por día</t>
  </si>
  <si>
    <t>Número de meses trabajados en el año</t>
  </si>
  <si>
    <t>MAYO</t>
  </si>
  <si>
    <t>NOVIEMBRE</t>
  </si>
  <si>
    <t>GASTOS POR</t>
  </si>
  <si>
    <t>MATERIAS PRIMAS Y OTROS INSUMOS</t>
  </si>
  <si>
    <t>TOTAL CARGAS DE PERSONAL</t>
  </si>
  <si>
    <t>SERV. PRESTADOS POR TERCEROS</t>
  </si>
  <si>
    <t>OTROS IMPUESTOS A LAS VENTAS</t>
  </si>
  <si>
    <t>HUAYLLATI</t>
  </si>
  <si>
    <t>MAMARA</t>
  </si>
  <si>
    <t>MICAELA BASTIDAS</t>
  </si>
  <si>
    <t>PATAYPAMPA</t>
  </si>
  <si>
    <t>PROGRESO</t>
  </si>
  <si>
    <t>CHIMBAN</t>
  </si>
  <si>
    <t>CHOROPAMPA</t>
  </si>
  <si>
    <t>CONCHAN</t>
  </si>
  <si>
    <t>HUAMBOS</t>
  </si>
  <si>
    <t>LAJAS</t>
  </si>
  <si>
    <t>MIRACOSTA</t>
  </si>
  <si>
    <t>PACCHA</t>
  </si>
  <si>
    <t>PION</t>
  </si>
  <si>
    <t>QUEROCOTO</t>
  </si>
  <si>
    <t>3130 * FABRICACION DE HILOS Y CABLES AISLADOS</t>
  </si>
  <si>
    <t>00 * FABRICACION DE HILOS Y CABLES AISLADOS</t>
  </si>
  <si>
    <t>01 * FABRICACION DE HILOS Y CABLES</t>
  </si>
  <si>
    <t>02 * FABRICACION DE PLACAS DE METAL AISLADA</t>
  </si>
  <si>
    <t>07 * FABRICACION DE CONVERTIDORES E INTENSIFICADORES DE IMAGEN</t>
  </si>
  <si>
    <t>08 * FABRICACION DE CRISTALES, PIEZA ELECTRICOS MONTADOS</t>
  </si>
  <si>
    <r>
      <t xml:space="preserve">y expresada en Nuevos Soles, no considere céntimos. </t>
    </r>
    <r>
      <rPr>
        <b/>
        <sz val="10"/>
        <rFont val="Arial"/>
        <family val="2"/>
      </rPr>
      <t>EN VALORES HISTORICOS</t>
    </r>
  </si>
  <si>
    <t>30 * FABRICACION DE VEHICULOS PARA LA RECUPERACION DE TANQUES, ETC.</t>
  </si>
  <si>
    <t>31 * REPARACION Y MANTENIMIENTO</t>
  </si>
  <si>
    <t>2929</t>
  </si>
  <si>
    <t>HUANCARAMA</t>
  </si>
  <si>
    <t>HUANCARAY</t>
  </si>
  <si>
    <t>HUAYANA</t>
  </si>
  <si>
    <t>KISHUARA</t>
  </si>
  <si>
    <t>03 * EMPRESAS DEL ESTADO</t>
  </si>
  <si>
    <t>04 * FABRICACION DE APARATOS PARA MEDIR Y VERIFICAR MAGNITUDES</t>
  </si>
  <si>
    <t>05 * FABRICACION DE APARATOS PARA VERIFICAR LA CORRIENTE</t>
  </si>
  <si>
    <t>06 * FABRICACION DE APARATOS PARA VERIFICAR EL VOLTAJE O LA RESISTENCIA</t>
  </si>
  <si>
    <t>07 * FABRICACION DE BALANZAS</t>
  </si>
  <si>
    <t>CATAC</t>
  </si>
  <si>
    <t>11 * FABRICACION DE MAQUINAS DESENGRASADORAS Y CARBONIZADORAS DE LANA</t>
  </si>
  <si>
    <t>12 * FABRICACION DE MAQUINAS DESMOTADORAS DE ALGODON</t>
  </si>
  <si>
    <t>13 * FABRICACION DE MAQUINAS DEVANADORAS</t>
  </si>
  <si>
    <t>14 * FABRICACION DE MAQUINAS TUNDIDORAS</t>
  </si>
  <si>
    <t>15 * FABRICACION DE MAQUINAS MECHERAS</t>
  </si>
  <si>
    <t>05 * FABRICACION DE LAMPARAS FLUORESCENTES</t>
  </si>
  <si>
    <t>06 * FABRICACION DE LAMPARAS DE FILAMENTO INCANDESCENTE</t>
  </si>
  <si>
    <t>07 * FABRICACION DE LAMPARAS DE RAYOS ULTRAVIOLETAS O INFRARROJOS</t>
  </si>
  <si>
    <t>08 * FABRICACION DE RAYOS REFLECTORES SELLADOS</t>
  </si>
  <si>
    <t>3190</t>
  </si>
  <si>
    <t>20 * FABRICACION DE ESCOBAS Y ESCOBILLOS</t>
  </si>
  <si>
    <t>21 * FABRICACION DE FLORES ARTIFICIALES</t>
  </si>
  <si>
    <t>36 * FABRICACION DE PANELES INDICADORES</t>
  </si>
  <si>
    <t>37 * FABRICACION DE PARTES ELECTRONICAS DE MOTORES</t>
  </si>
  <si>
    <t>38 * FABRICACION DE PIEZAS AISLANTES PARA APARATOS O EQUIPOS ELECTRICOS</t>
  </si>
  <si>
    <t>39 * FABRICACION DE PORTA HERRAMIENTAS</t>
  </si>
  <si>
    <t>40 * FABRICACION DE REGULADORES DE VOLTAJE</t>
  </si>
  <si>
    <r>
      <t>Recuadro: Registro industrial nuevo.-</t>
    </r>
    <r>
      <rPr>
        <sz val="10"/>
        <rFont val="Arial"/>
        <family val="2"/>
      </rPr>
      <t xml:space="preserve"> Anote el número del Registro Industrial nuevo.</t>
    </r>
  </si>
  <si>
    <r>
      <t>Recuadro: Registro industrial anterior.-</t>
    </r>
    <r>
      <rPr>
        <sz val="10"/>
        <rFont val="Arial"/>
        <family val="2"/>
      </rPr>
      <t xml:space="preserve"> Anote el número del Registro Industrial Anterior.</t>
    </r>
  </si>
  <si>
    <r>
      <t xml:space="preserve">Recuadro: Página web.- </t>
    </r>
    <r>
      <rPr>
        <sz val="10"/>
        <rFont val="Arial"/>
        <family val="2"/>
      </rPr>
      <t>Si la empresa tiene página web, anotar el URL (dirección de internet) correspondiente.</t>
    </r>
  </si>
  <si>
    <r>
      <t>Recuadro: Ubicación geográfica.-</t>
    </r>
    <r>
      <rPr>
        <sz val="10"/>
        <rFont val="Arial"/>
        <family val="2"/>
      </rPr>
      <t xml:space="preserve"> Seleccione el Departamento, Provincia y Distrito donde funciona la Oficina Principal de la Empresa.</t>
    </r>
  </si>
  <si>
    <r>
      <t>Recuadro: CIIU - Actividad principal.-</t>
    </r>
    <r>
      <rPr>
        <sz val="10"/>
        <rFont val="Arial"/>
        <family val="2"/>
      </rPr>
      <t xml:space="preserve"> </t>
    </r>
  </si>
  <si>
    <t>Actividad principal es aquella actividad manufacturera que genera los mayores ingresos a la empresa, según el tipo de productos que fabrica y/o servicios prestados.</t>
  </si>
  <si>
    <t>Ventana de selección de CIIU a 4 dígitos</t>
  </si>
  <si>
    <t>Ventana de selección de CIIU a 2 dígitos adicionales</t>
  </si>
  <si>
    <r>
      <t xml:space="preserve">Ejemplo: Si la empresa se dedica a la fabricación de instrumentos de musica, deberá seleccionar la actividad económica: </t>
    </r>
    <r>
      <rPr>
        <b/>
        <sz val="10"/>
        <rFont val="Arial"/>
        <family val="2"/>
      </rPr>
      <t>3692 "Fabricación de instrumentos de música"</t>
    </r>
    <r>
      <rPr>
        <sz val="10"/>
        <rFont val="Arial"/>
        <family val="2"/>
      </rPr>
      <t xml:space="preserve">, y luego seleccionar la actividad  especifica : </t>
    </r>
    <r>
      <rPr>
        <b/>
        <sz val="10"/>
        <rFont val="Arial"/>
        <family val="2"/>
      </rPr>
      <t>04 "Fabricación de cajas de música"</t>
    </r>
  </si>
  <si>
    <r>
      <t>Recuadro: Describa la actividad principal de la empresa.-</t>
    </r>
    <r>
      <rPr>
        <sz val="10"/>
        <rFont val="Arial"/>
        <family val="2"/>
      </rPr>
      <t xml:space="preserve"> Ingrese en forma literal la actividad principal de la empresa. Ejemplo: Fabricación de instrumentos de música. </t>
    </r>
  </si>
  <si>
    <r>
      <t>Recuadro: Organización jurídica.-</t>
    </r>
    <r>
      <rPr>
        <sz val="10"/>
        <rFont val="Arial"/>
        <family val="2"/>
      </rPr>
      <t xml:space="preserve"> </t>
    </r>
  </si>
  <si>
    <t>PRODUCCIÓN ANUAL</t>
  </si>
  <si>
    <t>TOTAL DE ACTIVO FIJO E INVERSIÓN</t>
  </si>
  <si>
    <t>III. Lugares de distribución y recepción de los formularios</t>
  </si>
  <si>
    <t>COMO DEVOLVER LA INFORMACIÓN SOLICITADA</t>
  </si>
  <si>
    <t>Ingreso de información:</t>
  </si>
  <si>
    <t>2.  Para la validacion de la informacion (Verificación de la informacion ingresada)</t>
  </si>
  <si>
    <t>3. Para la grabación de archivos</t>
  </si>
  <si>
    <t>APONGO</t>
  </si>
  <si>
    <t>ASQUIPATA</t>
  </si>
  <si>
    <t>CANARIA</t>
  </si>
  <si>
    <t>CAYARA</t>
  </si>
  <si>
    <t>COLCA</t>
  </si>
  <si>
    <t>HUAMANQUIQUIA</t>
  </si>
  <si>
    <t>HUANCARAYLLA</t>
  </si>
  <si>
    <t>HUAYA</t>
  </si>
  <si>
    <t>SARHUA</t>
  </si>
  <si>
    <t>VILCANCHOS</t>
  </si>
  <si>
    <t>VILCAS HUAMAN</t>
  </si>
  <si>
    <t>ACCOMARCA</t>
  </si>
  <si>
    <t>CARHUANCA</t>
  </si>
  <si>
    <t>CONCEPCION</t>
  </si>
  <si>
    <t>HUAMBALPA</t>
  </si>
  <si>
    <t>SAURAMA</t>
  </si>
  <si>
    <t>VISCHONGO</t>
  </si>
  <si>
    <t>CAJAMARCA</t>
  </si>
  <si>
    <t>CHETILLA</t>
  </si>
  <si>
    <t>COSPAN</t>
  </si>
  <si>
    <t>JESUS</t>
  </si>
  <si>
    <t>LLACANORA</t>
  </si>
  <si>
    <t>MATARA</t>
  </si>
  <si>
    <t>NAMORA</t>
  </si>
  <si>
    <t>CAJABAMBA</t>
  </si>
  <si>
    <t>CACHACHI</t>
  </si>
  <si>
    <t>CONDEBAMBA</t>
  </si>
  <si>
    <t>SITACOCHA</t>
  </si>
  <si>
    <t>CELENDIN</t>
  </si>
  <si>
    <t>CHUMUCH</t>
  </si>
  <si>
    <t>CORTEGANA</t>
  </si>
  <si>
    <t>HUASMIN</t>
  </si>
  <si>
    <t>JORGE CHAVEZ</t>
  </si>
  <si>
    <t>JOSE GALVEZ</t>
  </si>
  <si>
    <t>33 * FABRICACION DE SISTEMAS DIGITALES PROVISTOS DE DISPOSITIVOS PERIFERICOS</t>
  </si>
  <si>
    <t>34 * FABRICACION DE TRAZADORES DE GRAFICO</t>
  </si>
  <si>
    <t>01 * FABRICACION DE QUEMADORES DE COMBUSTIBLE LIQUIDO, SOLIDO O GASEOSO</t>
  </si>
  <si>
    <t>02 * FABRICACION DE CARGADORES MECANICOS</t>
  </si>
  <si>
    <t>00 * DESTILACION, RECTIFICACION Y MEZCLA DE BEBIDAS ALCOHOLICAS, PRODUCCION DE ALCOHOL ETILICO A PARTIR DE SUSTANCIAS FERMENTADAS</t>
  </si>
  <si>
    <t>04 * FABRICACION DE HILADOS DE YUTE, DE FIBRA DE COCO</t>
  </si>
  <si>
    <t>05 * FABRICACION DE TAPICES,ETC.</t>
  </si>
  <si>
    <t>1723</t>
  </si>
  <si>
    <t>1723 * FABRICACION DE CUERDAS, CORDELES, BRAMANTES Y REDES</t>
  </si>
  <si>
    <t>35 * FABRICACION DE MAQUINARIA DE OFICINA CONTABILIDAD E INFORMATICA</t>
  </si>
  <si>
    <t>36 * FABRICACION DE FRANQUENA CORRESPONDENCIA</t>
  </si>
  <si>
    <t>37 * FABRICACION DE MAQUINAS DE PROCESAMIENTO ANALOGICO DE DATOS PROVISTAS DE ELEMENTOS ANALOGICOS</t>
  </si>
  <si>
    <t>05 * FABRICACION DE ARBOLES DE TRANSMISION</t>
  </si>
  <si>
    <t>06 * FABRICACION DE ARBOLES DE LEVAS</t>
  </si>
  <si>
    <t>07 * FABRICACION DE BOLAS</t>
  </si>
  <si>
    <t>08 * FABRICACION DE CADENAS DE ESLABONES ARTICULADOS</t>
  </si>
  <si>
    <t>09 * FABRICACION DE CAJAS DE COJINETES</t>
  </si>
  <si>
    <t>21 * FABRICACION DE TABLETAS</t>
  </si>
  <si>
    <t>22 * FABRICACION DE UNGUENTOS</t>
  </si>
  <si>
    <t>23 * FABRICACION DE VENDAJES PARA FRACTURAS</t>
  </si>
  <si>
    <t>24 * FABRICACION DE VITAMINAS BASICAS, ETC.</t>
  </si>
  <si>
    <t>25 * FABRICACION DE OTROS PRODUCTOS NO ESPECIFICADOS EN ITEMS ANTERIORES</t>
  </si>
  <si>
    <t>2424</t>
  </si>
  <si>
    <t>2424 * FABRICACION DE JABONES Y DETERGENTES, PREPARADOS PARA LIMPIAR Y PULIR, PERFUMES Y PREPARADOS DE TOCADOR</t>
  </si>
  <si>
    <t>11 * FABRICACION DE COJINETES DE BOLA Y DE RODILLO Y OTRAS PARTES DE COJINETES</t>
  </si>
  <si>
    <t>12 * FABRICACION DE COJINETES SIMPLES PARA EJES</t>
  </si>
  <si>
    <t>13 * FABRICACION DE CHUMACERAS</t>
  </si>
  <si>
    <t>14 * FABRICACION DE EMBRAGUES, EMBRAGUES CENTRIFUGOS AUTOMATICOS Y DE AIRE COMPRIMIDO</t>
  </si>
  <si>
    <t>15 * FABRICACION DE ENGRANAJES</t>
  </si>
  <si>
    <t>1551</t>
  </si>
  <si>
    <t>1552</t>
  </si>
  <si>
    <t>04 * FABRICACION DE CARGADORAS DE CUCHARON</t>
  </si>
  <si>
    <t>05 * FABRICACION DE COMPACTADORAS</t>
  </si>
  <si>
    <t>MAGDALENA</t>
  </si>
  <si>
    <t>MARISCAL CASTILLA</t>
  </si>
  <si>
    <t>MOLINOPAMPA</t>
  </si>
  <si>
    <t>MONTEVIDEO</t>
  </si>
  <si>
    <t>OLLEROS</t>
  </si>
  <si>
    <t>QUINJALCA</t>
  </si>
  <si>
    <t>SAN FRANCISCO DE DAGUAS</t>
  </si>
  <si>
    <t>SAN ISIDRO DE MAINO</t>
  </si>
  <si>
    <t>SOLOCO</t>
  </si>
  <si>
    <t>SONCHE</t>
  </si>
  <si>
    <t>BAGUA</t>
  </si>
  <si>
    <t>LA PECA</t>
  </si>
  <si>
    <t>ARAMANGO</t>
  </si>
  <si>
    <t>COPALLIN</t>
  </si>
  <si>
    <t>EL PARCO</t>
  </si>
  <si>
    <t>IMAZA</t>
  </si>
  <si>
    <t>03 * FABRICACION DE ACIDOS INORGANICOS EXCEPTO ACIDO NITRICO</t>
  </si>
  <si>
    <t>04 * FABRICACION DE AIRE LIQUIDO O COMPRIMIDO</t>
  </si>
  <si>
    <t>05 * FABRICACION DE ALCALIS</t>
  </si>
  <si>
    <t>06 * FABRICACION DE BENCENO</t>
  </si>
  <si>
    <t>07 * FABRICACION DE COLORANTES ORGANICOS SINTETICOS</t>
  </si>
  <si>
    <t>08 * FABRICACION DE GASES INDUSTRIALES</t>
  </si>
  <si>
    <t>09 * FABRICACION DE GASES REFRIGERANTES</t>
  </si>
  <si>
    <t>10 * FABRICACION DE MATERIAS COLORANTES DE ORIGEN VEGETAL O ANIMAL</t>
  </si>
  <si>
    <t>03 * IMPRESION DE CARTELES</t>
  </si>
  <si>
    <t>04 * IMPRESION DE CATALOGOS</t>
  </si>
  <si>
    <t>05 * IMPRESION DE DIARIOS, FORMULARIOS COMERCIALES ETC. PARA PAPELERIAS</t>
  </si>
  <si>
    <r>
      <t xml:space="preserve">»  </t>
    </r>
    <r>
      <rPr>
        <sz val="8"/>
        <rFont val="Arial"/>
        <family val="2"/>
      </rPr>
      <t>"</t>
    </r>
    <r>
      <rPr>
        <b/>
        <sz val="8"/>
        <rFont val="Arial"/>
        <family val="2"/>
      </rPr>
      <t>Formulario tiene ... errores"</t>
    </r>
    <r>
      <rPr>
        <sz val="8"/>
        <rFont val="Arial"/>
        <family val="2"/>
      </rPr>
      <t>,  que contabiliza la cantidad de errores cometidos al ingresar la  información.</t>
    </r>
  </si>
  <si>
    <t>18 * FABRICACION DE MATERIAL ESCOLAR Y DE OFICINA</t>
  </si>
  <si>
    <t>19 * FABRICACION DE PELICULAS</t>
  </si>
  <si>
    <t>CATAHUASI</t>
  </si>
  <si>
    <t>25 * FABRICACION DE FRENOS (EQUIPO ELECTRICO)</t>
  </si>
  <si>
    <t>04 * FABRICACION DE ARTICULOS DE MARQUETERIA Y TARACEA</t>
  </si>
  <si>
    <t>05 * FABRICACION DE ARTICULOS DE MOBLAJE DEL TIPO APLIQUE</t>
  </si>
  <si>
    <t>06 * FABRICACION DE CANILLAS DE BOBINAS</t>
  </si>
  <si>
    <t>07 * FABRICACION DE CARRETES PARA HILOS DE COSER Y ARTICULOS SIMILARES DE MADERA TORNEADA</t>
  </si>
  <si>
    <t>08 * FABRICACION DE CESTOS ARTICULOS DE MIMBRE</t>
  </si>
  <si>
    <t>09 * FABRICACION DE ESTATUILLAS Y OTROS ADORNOS</t>
  </si>
  <si>
    <t>10 * FABRICACION DE ESTERAS O PERSIANAS EXCEPTO DE MATERIAL TEXTIL</t>
  </si>
  <si>
    <t>11 * FABRICACION DE HERRAMIENTAS</t>
  </si>
  <si>
    <t>08 * FABRICACION DE MAQUINAS DE ARRASTRE POR TRACTOR Y DE TRACCION ANIMAL</t>
  </si>
  <si>
    <t>09 * FABRICACION DE MAQUINAS DESBROZADORAS</t>
  </si>
  <si>
    <t>10 * FABRICACION DE MAQUINAS ENFARDADORAS</t>
  </si>
  <si>
    <t>11 * FABRICACION DE MAQUINAS ESPARCIDORAS DE ESTIERCOL</t>
  </si>
  <si>
    <t>12 * FABRICACION DE MAQUINAS ORDEÑADORAS</t>
  </si>
  <si>
    <t>13 * FABRICACION DE MAQUINAS PARA LIMPIAR,  SELECCIONAR HUEVOS, FRUTAS, ETC.</t>
  </si>
  <si>
    <t>14 * FABRICACION DE MAQUINAS SEGADORAS - TRILLADORAS</t>
  </si>
  <si>
    <t>15 * FABRICACION DE MAQUINAS SEMBRADORAS</t>
  </si>
  <si>
    <t>08 * FABRICACION DE JOYAS DE METALES PRECIOSOS</t>
  </si>
  <si>
    <t>09 * FABRICACION DE COMBINACIONES, JOYAS DE METALES Y PIEDRAS PRECIOSAS</t>
  </si>
  <si>
    <t>10 * FABRICACION DE JOYAS DE PIEDRAS PRECIOSAS</t>
  </si>
  <si>
    <t>11 * FABRICACION DE MEDALLAS</t>
  </si>
  <si>
    <t>10 * FABRICACION DE CIGUEÑALES</t>
  </si>
  <si>
    <t>08 * FABRICACION DE BALANZAS PARA LA PESADA CONTINUA DE SOLIDOS Y LIQUIDOS</t>
  </si>
  <si>
    <t>09 * FABRICACION DE BALANZAS PARA VEHICULOS</t>
  </si>
  <si>
    <t>17 * FABRICACION DE LAVADOS (DE PLASTICO)</t>
  </si>
  <si>
    <t>06 * FABRICACION DE COBRIAS Y COBRESTANTES Y GATOS</t>
  </si>
  <si>
    <t>CORCULLA</t>
  </si>
  <si>
    <t>LAMPA</t>
  </si>
  <si>
    <t>MARCABAMBA</t>
  </si>
  <si>
    <t>OYOLO</t>
  </si>
  <si>
    <t>CONDORCANQUI</t>
  </si>
  <si>
    <t>NIEVA</t>
  </si>
  <si>
    <t>HUALMAY</t>
  </si>
  <si>
    <t>PACCHO</t>
  </si>
  <si>
    <t>Telf: 053 – 782801</t>
  </si>
  <si>
    <t>15 * FABRICACION DE MOTORES DE ANTENA</t>
  </si>
  <si>
    <t>16 * FABRICACION DE PLATOS PARA GIRADISCOS</t>
  </si>
  <si>
    <t>17 * FABRICACION DE RECEPTORES DE RADIO</t>
  </si>
  <si>
    <t>18 * FABRICACION DE RECEPTORES DE RADIO CON DISPOSITIVOS DE GRABACION</t>
  </si>
  <si>
    <t>08 * FABRICACION DE RUEDAS</t>
  </si>
  <si>
    <t>09 * FABRICACION DE SILENCIADORES</t>
  </si>
  <si>
    <t>SANTA LUCIA</t>
  </si>
  <si>
    <t>PACUCHA</t>
  </si>
  <si>
    <t>27 * FABRICACION DE MAQUINAS MEZCLADORAS PARA LA ELABORACION DE PAN, MACARRONES, ESPAGUETIS.</t>
  </si>
  <si>
    <t>28 * FABRICACION DE MAQUINAS MOLDEADORAS PARA LA ELABORACION DE ALIMENTOS, BEBIDAS Y TABACO</t>
  </si>
  <si>
    <t>29 * FABRICACION DE MAQUINAS MOLDEADORAS DE QUESO</t>
  </si>
  <si>
    <t>30 * FABRICACION DE MAQUINAS PARA EL CALENTAMIENTO O ENFRIAMIENTO DE ALIMENTOS.</t>
  </si>
  <si>
    <t>00 * FABRICACION DE ARMAS Y MUNICIONES</t>
  </si>
  <si>
    <t>01 * FABRICACION DE AMETRALLADORAS LIGEROS</t>
  </si>
  <si>
    <t>02 * FABRICACION DE AMETRALLADORAS PESADAS</t>
  </si>
  <si>
    <t>03 * FABRICACION DE ARMAS PESADAS</t>
  </si>
  <si>
    <t>04 * FABRICACION DE ARMAS PORTATILES</t>
  </si>
  <si>
    <t>05 * FABRICACION DE ARMAS QUE DISPARAN BALAS DE FOGUEO</t>
  </si>
  <si>
    <t>06 * FABRICACION DE BOMBAS</t>
  </si>
  <si>
    <t>00 * FABRICACION DE PRODUCTOS FARMACEUTICOS, SUSTANCIAS QUIMICAS MEDICINALES Y PRODUCTOS BOTANICOS</t>
  </si>
  <si>
    <t>01 * FABRICACION DE ACIDO SALICILICO Y SUS SALES Y ESTERES</t>
  </si>
  <si>
    <t>02 * FABRICACION DE ALCALOIDES VEGETALES</t>
  </si>
  <si>
    <t>03 * FABRICACION DE AMPOLLAS</t>
  </si>
  <si>
    <t>04 * FABRICACION DE AMPOLLETAS</t>
  </si>
  <si>
    <t>05 * FABRICACION DE ANTIBIOTICOS</t>
  </si>
  <si>
    <t>06 * FABRICACION DE APOSITOS QUIRURGICOS</t>
  </si>
  <si>
    <t>07 * FABRICACION DE AZUCAR QUIMICAMENTE PURA</t>
  </si>
  <si>
    <t>08 * FABRICACION DE CAPSULAS</t>
  </si>
  <si>
    <t>23 * FABRICACION DE PULSORREACTORES</t>
  </si>
  <si>
    <t>24 * FABRICACION DE ROTORES DE HELICOPTERO</t>
  </si>
  <si>
    <t>25 * FABRICACION DE TRENES DE ATERRIZAJE</t>
  </si>
  <si>
    <t>26 * FABRICACION DE TURBORREACTORES O TURBOHELICES</t>
  </si>
  <si>
    <t>10 * FABRICACION DE TUBOS DE ESCAPE</t>
  </si>
  <si>
    <t>COASA</t>
  </si>
  <si>
    <t>CORANI</t>
  </si>
  <si>
    <t>CRUCERO</t>
  </si>
  <si>
    <t>TOTAL</t>
  </si>
  <si>
    <t>CODIGO DE CAP01</t>
  </si>
  <si>
    <t>CUYOCUYO</t>
  </si>
  <si>
    <t>23 * FABRICACION DE PALAS PARA TOPADORAS CORRIENTES</t>
  </si>
  <si>
    <t>24 * FABRICACION DE TOPADORAS CORRIENTES Y DE PALA ANGULAR</t>
  </si>
  <si>
    <t>18 * FABRICACION DE CASCOS</t>
  </si>
  <si>
    <t>21 * FABRICACION DE PIEZAS DE LAMPARAS</t>
  </si>
  <si>
    <t>22 * FABRICACION DE PLANCHAS DE PLASTICO</t>
  </si>
  <si>
    <t>publicada en forma innominada. La información suministrada, tampoco podrá ser utilizada para fines tributarios o policiales [...].</t>
  </si>
  <si>
    <t>3150 * FABRICACION DE LAMPARAS ELECTRICAS Y EQUIPO DE ILUMINACION</t>
  </si>
  <si>
    <t>00 * FABRICACION DE LAMPARAS ELECTRICAS Y EQUIPO DE ILUMINACION</t>
  </si>
  <si>
    <t>01 * FABRICACION DE ARCO (PARA LAMPARAS ELECTRICAS Y EQUIPO DE ILUMINACION)</t>
  </si>
  <si>
    <t>00 * FABRICACION DE HOJAS DE MADERA PARA ENCHAPADO; FABRICACION DE TABLEROS CONTRACHAPADOS, TABLEROS LAMINADOS, TABLEROS DE PARTICULAS Y OTROS TABLEROS Y PANELES</t>
  </si>
  <si>
    <t>01 * FABRICACION DE HOJAS DE MADERA PARA ENCHAPADO Y TABLEROS CONTRACHAPADOS</t>
  </si>
  <si>
    <t>02 * FABRICACION DE MADERA LAMINADA</t>
  </si>
  <si>
    <t>SAN ANTONIO DE ANTAPARCO</t>
  </si>
  <si>
    <t>SANTO TOMAS DE PATA</t>
  </si>
  <si>
    <t>SECCLLA</t>
  </si>
  <si>
    <t>CASTROVIRREYNA</t>
  </si>
  <si>
    <t>ARMA</t>
  </si>
  <si>
    <t>CURAHUASI</t>
  </si>
  <si>
    <t>HUANIPACA</t>
  </si>
  <si>
    <t>LAMBRAMA</t>
  </si>
  <si>
    <t>MOLLEBAYA</t>
  </si>
  <si>
    <t>PAUCARPATA</t>
  </si>
  <si>
    <t>POCSI</t>
  </si>
  <si>
    <t>POLOBAYA</t>
  </si>
  <si>
    <t>SABANDIA</t>
  </si>
  <si>
    <t>AURAHUA</t>
  </si>
  <si>
    <t>CAPILLAS</t>
  </si>
  <si>
    <t>CHUPAMARCA</t>
  </si>
  <si>
    <t>COCAS</t>
  </si>
  <si>
    <t>HUACHOS</t>
  </si>
  <si>
    <t>HUAMATAMBO</t>
  </si>
  <si>
    <t>MOLLEPAMPA</t>
  </si>
  <si>
    <t>TANTARA</t>
  </si>
  <si>
    <t>TICRAPO</t>
  </si>
  <si>
    <t>NOMBRE DE LOS PRODUCTOS INDUSTRIALES O ARTESANALES ELABORADOS
(En orden de importancia)</t>
  </si>
  <si>
    <t>SAN FRANCISCO DE RAVACAYCO</t>
  </si>
  <si>
    <t>UPAHUACHO</t>
  </si>
  <si>
    <t>PAUCAR DEL SARA SARA</t>
  </si>
  <si>
    <t>PAUSA</t>
  </si>
  <si>
    <t>COLTA</t>
  </si>
  <si>
    <t>Capítulo 03:  Remuneraciones</t>
  </si>
  <si>
    <t>Promedio</t>
  </si>
  <si>
    <t>Tipo de error</t>
  </si>
  <si>
    <t>Gerentes</t>
  </si>
  <si>
    <t>Empleados permanentes</t>
  </si>
  <si>
    <t>Obreros permanentes</t>
  </si>
  <si>
    <t>Empleados eventuales</t>
  </si>
  <si>
    <t>Obreros eventuales</t>
  </si>
  <si>
    <r>
      <t xml:space="preserve">Gastos materias primas (Cap. 04, Calave. 8) </t>
    </r>
    <r>
      <rPr>
        <b/>
        <sz val="9"/>
        <color indexed="12"/>
        <rFont val="Arial"/>
        <family val="2"/>
      </rPr>
      <t>&gt;=</t>
    </r>
    <r>
      <rPr>
        <sz val="8"/>
        <rFont val="Arial"/>
        <family val="2"/>
      </rPr>
      <t xml:space="preserve"> Consumo de materias primas (Cap.05, Clave. 8)</t>
    </r>
  </si>
  <si>
    <t>04 * FABRICACION DE LANA DE MADERA</t>
  </si>
  <si>
    <t>00 * ADOBO Y TEÑIDO DE PIELES, FABRICACION DE ARTICULOS DE PIEL</t>
  </si>
  <si>
    <t>14 * FABRICACION DE PARTES Y PIEZAS DE JOYAS O DE ARTICULOS DE ORFEBRERIA</t>
  </si>
  <si>
    <t>10 * FABRICACION DE INDUCTORES (DE TUBOS Y VALVULAS ELECTRONICAS)</t>
  </si>
  <si>
    <t>02 * FABRICACION DE ACETILENO</t>
  </si>
  <si>
    <t>CAP.9 : FACTORES QUE AFECTARON EL DESARROLLO</t>
  </si>
  <si>
    <t>18 * PRODUCCION DE HIERRO ESPECULAR Y FERROALEACIONES</t>
  </si>
  <si>
    <t>06 * IMPRESION DE LIBROS EN GENERAL</t>
  </si>
  <si>
    <t xml:space="preserve">             para proceder al ingreso de la información. </t>
  </si>
  <si>
    <r>
      <t xml:space="preserve">        1</t>
    </r>
    <r>
      <rPr>
        <sz val="8"/>
        <rFont val="Arial"/>
        <family val="2"/>
      </rPr>
      <t>.  Una vez abierto el formulario en el menu pricipal, hacer clic en el boton "Ingrese al formulario",</t>
    </r>
  </si>
  <si>
    <t xml:space="preserve">             luego en el menu del formulario debe ingresar a cada uno de los capitulos desde los botones que se encuentran al lado izquierdo  </t>
  </si>
  <si>
    <t>12 * FABRICACION DE MEDALLONES, SEAN O NO DE METALES PRECIOSOS</t>
  </si>
  <si>
    <t>13 * FABRICACION DE MONEDAS</t>
  </si>
  <si>
    <t>11 * FABRICACION DE TEJIDOS DE GRAN RESISTENCIA PARA CUERDAS DE NEUMATICOS</t>
  </si>
  <si>
    <t>00 * FABRICACION DE TEJIDOS Y ARTICULOS DE PUNTO Y GANCHILLO</t>
  </si>
  <si>
    <t>01 * FABRICACION DE ARTICULOS DE JERSEYS</t>
  </si>
  <si>
    <t>16 * FABRICACION DE MONTURAS Y MANGOS DE HERRAMIENTAS</t>
  </si>
  <si>
    <t>17 * FABRICACION DE PERCHAS PARA ROPA</t>
  </si>
  <si>
    <t>18 * FABRICACION DE TAPAS</t>
  </si>
  <si>
    <t>19 * FABRICACION DE UTENSILIOS DE COCINA Y PARA USO DOMESTICO, ETC.</t>
  </si>
  <si>
    <t>20 * FABRICACION DE ATAUDES</t>
  </si>
  <si>
    <t>2101</t>
  </si>
  <si>
    <t>2101 * FABRICACION DE PASTA DE MADERA, PAPEL Y CARTON</t>
  </si>
  <si>
    <t>00 * FABRICACION DE PASTA DE MADERA, PAPEL Y CARTON</t>
  </si>
  <si>
    <t>01 * FABRICACION DE PAPEL A MANO</t>
  </si>
  <si>
    <t>05 * REPRODUCCION DE DISCOS GRAMOFONICOS</t>
  </si>
  <si>
    <t>PACOBAMBA</t>
  </si>
  <si>
    <t>47 * FABRICACION DE TAMBORES (PARA TRANSPORTE DE MERCANCIA)</t>
  </si>
  <si>
    <t>48</t>
  </si>
  <si>
    <t>48 * FABRICACION DE TARROS</t>
  </si>
  <si>
    <t>49</t>
  </si>
  <si>
    <t>49 * FABRICACION DE TELAS DE ALAMBRE</t>
  </si>
  <si>
    <t>50</t>
  </si>
  <si>
    <t>50 * FABRICACION DE TORNILLOS</t>
  </si>
  <si>
    <t>51</t>
  </si>
  <si>
    <t>51 * FABRICACION DE TRENZAS</t>
  </si>
  <si>
    <t>52</t>
  </si>
  <si>
    <t>22 * FABRICACION DE MAQUINAS QUE UTILIZAN RAYOS LASER, U OTROS HACES DE LUZ, ONDAS ULTRA SONICAS, IMPULSOS MAGNETICOS O ARCOS DE PLASMA</t>
  </si>
  <si>
    <t>23 * FABRICACION DE MARTILLOS MECANICOS</t>
  </si>
  <si>
    <t>24 * FABRICACION DE MARTINETES</t>
  </si>
  <si>
    <t>LEONCIO PRADO</t>
  </si>
  <si>
    <t>HUATA</t>
  </si>
  <si>
    <t>MATO</t>
  </si>
  <si>
    <t>PAMPAROMAS</t>
  </si>
  <si>
    <t>SANTA CRUZ</t>
  </si>
  <si>
    <t>SANTO TORIBIO</t>
  </si>
  <si>
    <t>YURACMARCA</t>
  </si>
  <si>
    <t>NUEVO PROGRESO</t>
  </si>
  <si>
    <t>POLVORA</t>
  </si>
  <si>
    <t>14 * FABRICACION DE MAQUINAS DE AFEITAR</t>
  </si>
  <si>
    <r>
      <t>» Dejar en blanco los capítulos no aplicables a la empresa e indique el motivo en el capítulo "</t>
    </r>
    <r>
      <rPr>
        <b/>
        <sz val="10"/>
        <rFont val="Arial"/>
        <family val="2"/>
      </rPr>
      <t>Observaciones</t>
    </r>
    <r>
      <rPr>
        <sz val="10"/>
        <rFont val="Arial"/>
        <family val="2"/>
      </rPr>
      <t>".</t>
    </r>
  </si>
  <si>
    <t>RUPA-RUPA</t>
  </si>
  <si>
    <t>HERMILIO VALDIZAN</t>
  </si>
  <si>
    <t>JOSE CRESPO Y CASTILLO</t>
  </si>
  <si>
    <t>MARIANO DAMASO BERAUN</t>
  </si>
  <si>
    <t>HUACRACHUCO</t>
  </si>
  <si>
    <t>CHOLON</t>
  </si>
  <si>
    <t>SAN BUENAVENTURA</t>
  </si>
  <si>
    <t>PANAO</t>
  </si>
  <si>
    <t>CHAGLLA</t>
  </si>
  <si>
    <t>MOLINO</t>
  </si>
  <si>
    <t>PUERTO INCA</t>
  </si>
  <si>
    <t>SUBTANJALLA</t>
  </si>
  <si>
    <t>YANACANCHA</t>
  </si>
  <si>
    <t>TRUJILLO</t>
  </si>
  <si>
    <t>EL PORVENIR</t>
  </si>
  <si>
    <t>FLORENCIA DE MORA</t>
  </si>
  <si>
    <t>HUANCHACO</t>
  </si>
  <si>
    <t>SINSICAP</t>
  </si>
  <si>
    <t>USQUIL</t>
  </si>
  <si>
    <t>01 * ENCUADERNACION (CON PLASTICOS, CARTON, ETC)</t>
  </si>
  <si>
    <t>SAISA</t>
  </si>
  <si>
    <t>SAN PEDRO DE PALCO</t>
  </si>
  <si>
    <t>SANTA ANA DE HUAYCAHUACHO</t>
  </si>
  <si>
    <t>HUACAR</t>
  </si>
  <si>
    <t>SAN FRANCISCO</t>
  </si>
  <si>
    <t>SAN RAFAEL</t>
  </si>
  <si>
    <t>TOMAY KICHWA</t>
  </si>
  <si>
    <t>DOS DE MAYO</t>
  </si>
  <si>
    <t>CHUQUIS</t>
  </si>
  <si>
    <t>MARIAS</t>
  </si>
  <si>
    <t>PACHAS</t>
  </si>
  <si>
    <t>QUIVILLA</t>
  </si>
  <si>
    <t>LARAMATE</t>
  </si>
  <si>
    <t>10 * FABRICACION DE PAPEL Y CARTON SIN REVESTIR Y REVESTIDO A MAQUINA, EN ROLLOS Y EN HOJAS</t>
  </si>
  <si>
    <t>00 * FABRICACION DE PLASTICOS EN FORMAS PRIMARIAS Y DE CAUCHO SINTETICO</t>
  </si>
  <si>
    <t>01 * FABRICACION DE CAUCHO SINTETICO Y DE SUCEDANEOS DE CAUCHO</t>
  </si>
  <si>
    <t>Ley Nº23407 Ley General de Industrias</t>
  </si>
  <si>
    <t>12 * FABRICACION DE EXTRUSORAS</t>
  </si>
  <si>
    <t>13 * FABRICACION DE MAQUINARIA PARA EL TRATAMIENTO DE MINERALES</t>
  </si>
  <si>
    <t>14 * FABRICACION DE MAQUINAS DE MOLDEAMIENTO</t>
  </si>
  <si>
    <t>Art. 93°.</t>
  </si>
  <si>
    <t>LLAUTA</t>
  </si>
  <si>
    <t>OTOCA</t>
  </si>
  <si>
    <t>36 * FABRICACION DE MAQUINAS PULVERIZADORAS</t>
  </si>
  <si>
    <t>37 * FABRICACION DE MAQUINAS REFINADORAS</t>
  </si>
  <si>
    <t>38 * FABRICACION DE MAQUINAS TRANSFORMADORAS DE MATERIAS CELULOSICAS</t>
  </si>
  <si>
    <t>05 * FABRICACION DE CONTRAVENTANAS DE MADERA</t>
  </si>
  <si>
    <t>06 * FABRICACION DE ESCALERAS DE MADERA</t>
  </si>
  <si>
    <t>URACA</t>
  </si>
  <si>
    <t>VIRACO</t>
  </si>
  <si>
    <t>CAYLLOMA</t>
  </si>
  <si>
    <t>CHIVAY</t>
  </si>
  <si>
    <t>ACHOMA</t>
  </si>
  <si>
    <t>CABANACONDE</t>
  </si>
  <si>
    <t>SAN CRISTOBAL</t>
  </si>
  <si>
    <t>JACOBO HUNTER</t>
  </si>
  <si>
    <t>LA JOYA</t>
  </si>
  <si>
    <t>MARIANO MELGAR</t>
  </si>
  <si>
    <t>IGUAIN</t>
  </si>
  <si>
    <t>LURICOCHA</t>
  </si>
  <si>
    <t>SANTILLANA</t>
  </si>
  <si>
    <t>SIVIA</t>
  </si>
  <si>
    <t>LA MAR</t>
  </si>
  <si>
    <t>Capítulo 1 de este formulario, en el Capítulo 2, número de días trabajados anotar "Cero" y en "Observaciones" indicar el motivo de su paralización.</t>
  </si>
  <si>
    <t>SAN MIGUEL DE MAYOCC</t>
  </si>
  <si>
    <t>SAN PEDRO DE CORIS</t>
  </si>
  <si>
    <t>RIPAN</t>
  </si>
  <si>
    <t>SHUNQUI</t>
  </si>
  <si>
    <t>09 * FABRICACION DE PAPEL Y CARTON COMPUESTO POR EJEM. PAPEL LAMINADO CON BETUN</t>
  </si>
  <si>
    <t>2219 * OTRAS ACTIVIDADES DE EDICION</t>
  </si>
  <si>
    <t>00 * OTRAS ACTIVIDADES DE EDICION</t>
  </si>
  <si>
    <t>01 * EDICION DE CARTELES</t>
  </si>
  <si>
    <t>02 * EDICION DE FORMULARIOS</t>
  </si>
  <si>
    <t>25 * FABRICACION DE MAQUINAS PARA TRANSCRIPCION EN MATERIAL DE GRABACION DE DATOS CODIFICADOS</t>
  </si>
  <si>
    <t>26 * FABRICACION DE MAQUINAS PARA PROCESAR Y DESCIFRAR DATOS</t>
  </si>
  <si>
    <t>35 * FABRICACION DE TOSTADORAS</t>
  </si>
  <si>
    <t>24 * FABRICACION DE VASOS</t>
  </si>
  <si>
    <t>12 * FABRICACION DE MESAS Y CAJAS PARA EL CONTROL ELECTRICO</t>
  </si>
  <si>
    <t>3313 * FABRICACION DE EQUIPO DE CONTROL DE PROCESOS INDUSTRIALES</t>
  </si>
  <si>
    <t>08 * FABRICACION DE FUEGOS ARTIFICIALES</t>
  </si>
  <si>
    <t>09 * FABRICACION DE GELATINA Y DERIVADOS DE LA GELATINA</t>
  </si>
  <si>
    <t>UCHIZA</t>
  </si>
  <si>
    <t>2720 * FABRICACION DE PRODUCTOS PRIMARIOS DE METALES PRECIOSOS Y METALES NO FERROSOS</t>
  </si>
  <si>
    <t>00 * FABRICACION DE PRODUCTOS PRIMARIOS DE METALES PRECIOSOS Y METALES NO FERROSOS</t>
  </si>
  <si>
    <t>01 * FABRICACION DE ENCHAPE DE ORO</t>
  </si>
  <si>
    <t>02 * FABRICACION DE ENCHAPE DE PLATA</t>
  </si>
  <si>
    <t>03 * FABRICACION DE ENCHAPE DE PLATINO</t>
  </si>
  <si>
    <t>04 * FABRICACION DE POLVOS O ESCAMAS, HOJAS DELGADAS, PLANCHAS, BARRAS, ALAMBRES, ETC.</t>
  </si>
  <si>
    <t>05 * FABRICACION DE PRODUCTOS DE METALES COMUNES DE FERROSOS MEDIANTE LAMINADO, TREFIJADO Y EXTRUSION</t>
  </si>
  <si>
    <t>06 * FUNDICION Y REFINACION DE NIQUEL, ESTAÑO Y OTROS METALES COMUNES NO FERROSOS</t>
  </si>
  <si>
    <t>07 * PRODUCCION DE ALUMINIO Y MATAS DE NIQUEL Y COBRE</t>
  </si>
  <si>
    <t>13 * FABRICACION DE RESISTORES</t>
  </si>
  <si>
    <t>COMPRA DE MERCADERIAS</t>
  </si>
  <si>
    <t>02 * FABRICACION DE ARTICULOS DE CERAMICAS PARA LABORATORIOS, LA INDUSTRIA QUIMICA Y CERAMICA UTILIZADA EN LA AGRICULTURA</t>
  </si>
  <si>
    <t>»  Las celdas de color gris no permiten el ingreso de información.</t>
  </si>
  <si>
    <t>10 * FABRICACION DE CEMENTOS DENTALES</t>
  </si>
  <si>
    <t>11 * FABRICACION DE DERIVADOS DEL OPIO</t>
  </si>
  <si>
    <t>12 * FABRICACION DE GLUCOSIDOS</t>
  </si>
  <si>
    <t>13 * FABRICACION DE GUATAS MEDICINALES</t>
  </si>
  <si>
    <t>14 * FABRICACION DE PLASMAS</t>
  </si>
  <si>
    <t>Las multas serán aplicadas por el Organo Rector del Sistema Nacional de Estadística e Informática para fines del mejoramiento de la producción estadística.</t>
  </si>
  <si>
    <t>Art. 89°.</t>
  </si>
  <si>
    <t>A efecto de sancionar el incumplimiento de la información solicitada, se establece las multas siguientes:</t>
  </si>
  <si>
    <t xml:space="preserve">» En los capítulos cuya información exceda al número de filas que tenga la matriz del formulario, </t>
  </si>
  <si>
    <t>Consistencia de desigualdad</t>
  </si>
  <si>
    <t>00 * FUNDICION DE METALES NO FERROSOS</t>
  </si>
  <si>
    <t>01 * FUNDICION DE PRODUCTOS ACABADOS O SEMIACABADOS DE METALES NO FERROSOS</t>
  </si>
  <si>
    <t>2811</t>
  </si>
  <si>
    <t>2811 * FABRICACION DE PRODUCTOS METALICOS PARA USO ESTRUCTURAL</t>
  </si>
  <si>
    <t>00 * FABRICACION DE PRODUCTOS METALICOS PARA USO ESTRUCTURAL</t>
  </si>
  <si>
    <t>25 * FABRICACION DE TUBOS</t>
  </si>
  <si>
    <t>01 * FABRICACION DE CONMUTADORES (DE APARATOS DE DISTRIBUCION Y CONTROL DE ENERGIA ELECTRICA)</t>
  </si>
  <si>
    <t>02 * FABRICACION DE FUSIBLES</t>
  </si>
  <si>
    <t>00 * RECICLAMIENTO DE DESPERDICIOS Y DESECHOS METALICOS</t>
  </si>
  <si>
    <t>01 * PROCESAMIENTO DE ARTICULOS DE METAL USADOS O NO</t>
  </si>
  <si>
    <t>CHACAYAN</t>
  </si>
  <si>
    <t>GOYLLARISQUIZGA</t>
  </si>
  <si>
    <t>PAUCAR</t>
  </si>
  <si>
    <t>SAN PEDRO DE PILLAO</t>
  </si>
  <si>
    <t>SANTA ANA DE TUSI</t>
  </si>
  <si>
    <t>TAPUC</t>
  </si>
  <si>
    <t>OXAPAMPA</t>
  </si>
  <si>
    <t>CHONTABAMBA</t>
  </si>
  <si>
    <t>HUANCABAMBA</t>
  </si>
  <si>
    <t>PALCAZU</t>
  </si>
  <si>
    <t>POZUZO</t>
  </si>
  <si>
    <t>PUERTO BERMUDEZ</t>
  </si>
  <si>
    <t>VILLA RICA</t>
  </si>
  <si>
    <t>PIURA</t>
  </si>
  <si>
    <t>CATACAOS</t>
  </si>
  <si>
    <t>CURA MORI</t>
  </si>
  <si>
    <t>EL TALLAN</t>
  </si>
  <si>
    <t>LA ARENA</t>
  </si>
  <si>
    <t>LAS LOMAS</t>
  </si>
  <si>
    <t>TAMBO GRANDE</t>
  </si>
  <si>
    <t>AYABACA</t>
  </si>
  <si>
    <t>FRIAS</t>
  </si>
  <si>
    <t>PAPAS</t>
  </si>
  <si>
    <t>01 * FABRICACION DE ARTICULOS DE CERAMICA PARA AISLAMIENTO TERMICO</t>
  </si>
  <si>
    <t>02 * FABRICACION DE BLOQUES DE CERAMICA REFRACTARIA</t>
  </si>
  <si>
    <t>04 * FABRICACION DE CEMENTO REFRACTARIO</t>
  </si>
  <si>
    <t>05 * FABRICACION DE CRISOLES</t>
  </si>
  <si>
    <t>06 * FABRICACION DE LADRILLOS DE CERAMICA REFRACTARIA</t>
  </si>
  <si>
    <t>07 * FABRICACION DE LOSETAS DE CERAMICA REFRACTARIA</t>
  </si>
  <si>
    <t>08 * FABRICACION DE MUFLAS</t>
  </si>
  <si>
    <t>09 * FABRICACION DE PRODUCTOS DE CERAMICA RESISTENTES A ALTAS TEMPERATURAS DE LA METALURGIA</t>
  </si>
  <si>
    <t>10 * FABRICACION DE RETORTAS</t>
  </si>
  <si>
    <t>11 * FABRICACION DE TOBERAS</t>
  </si>
  <si>
    <t>2693</t>
  </si>
  <si>
    <t>2693 * FABRICACION DE PRODUCTOS DE ARCILLA Y CERAMICA NO REFRACTARIAS PARA USO ESTRUCTURAL</t>
  </si>
  <si>
    <t>2109 * FABRICACION DE OTROS ARTICULOS DE PAPEL Y CARTON</t>
  </si>
  <si>
    <t>00 * FABRICACION DE OTROS ARTICULOS DE PAPEL Y CARTON</t>
  </si>
  <si>
    <t>08 * PRODUCCION DE TEJIDOS DE PUNTO DE URDIMBRE Y DE TRAMA</t>
  </si>
  <si>
    <t>09 * FABRICACION DE OTROS PRODUCTOS</t>
  </si>
  <si>
    <t>1810</t>
  </si>
  <si>
    <t>1810 * FABRICACION DE PRENDAS DE VESTIR; EXCEPTO PRENDAS DE PIEL</t>
  </si>
  <si>
    <t>00 * FABRICACION DE PRENDAS DE VESTIR; EXCEPTO PRENDAS DE PIEL</t>
  </si>
  <si>
    <t>01 * FABRICACION DE CINTURONES</t>
  </si>
  <si>
    <t>02 * FABRICACION DE CORBATAS, CORBATINES</t>
  </si>
  <si>
    <t>03 * FABRICACION DE CHALES</t>
  </si>
  <si>
    <t>04 * FABRICACION DE GUANTES</t>
  </si>
  <si>
    <t>05 * FABRICACION DE PRENDAS DE VESTIR PARA BEBES Y NIÑOS</t>
  </si>
  <si>
    <t>01 * EXTRACCION DE BETUN DE PETROLEO</t>
  </si>
  <si>
    <t>CHAUPIMARCA</t>
  </si>
  <si>
    <t>HUACHON</t>
  </si>
  <si>
    <t>HUARIACA</t>
  </si>
  <si>
    <t>HUAYLLAY</t>
  </si>
  <si>
    <t>NINACACA</t>
  </si>
  <si>
    <t>PALLANCHACRA</t>
  </si>
  <si>
    <t>SIMON BOLIVAR</t>
  </si>
  <si>
    <t>15 * FABRICACION DE LENTES DE CONTACTO</t>
  </si>
  <si>
    <t>18 * FABRICACION DE RODILLOS</t>
  </si>
  <si>
    <t>LA MERCED</t>
  </si>
  <si>
    <t>SUCCHA</t>
  </si>
  <si>
    <t>ANTONIO RAYMONDI</t>
  </si>
  <si>
    <t>LLAMELLIN</t>
  </si>
  <si>
    <t>PARARCA</t>
  </si>
  <si>
    <t>SAN JAVIER DE ALPABAMBA</t>
  </si>
  <si>
    <t>SAN JUAN DE CUTERVO</t>
  </si>
  <si>
    <t>CAPITULO 9:</t>
  </si>
  <si>
    <t>FACTORES QUE AFECTARON EL DESARROLLO DE LA EMPRESA</t>
  </si>
  <si>
    <t>05 * PERCHADO DE PRODUCTOS TEXTILES</t>
  </si>
  <si>
    <t>06 * TEÑIDO DE PRODUCTOS TEXTILES</t>
  </si>
  <si>
    <t>07 * BORDADURIA</t>
  </si>
  <si>
    <t>1721</t>
  </si>
  <si>
    <t>3591 * FABRICACION DE MOTOCICLETAS</t>
  </si>
  <si>
    <t>00 * FABRICACION DE MOTOCICLETAS</t>
  </si>
  <si>
    <t>01 * FABRICACION DE MOTOCICLETAS</t>
  </si>
  <si>
    <t>03 * FABRICACION DE CABLES DE FIBRA OPTICA</t>
  </si>
  <si>
    <t>3140</t>
  </si>
  <si>
    <t>3140 * FABRICACION DE ACUMULADORES DE PILAS Y BATERIAS PRIMARIAS</t>
  </si>
  <si>
    <t>07 * FABRICACION DE LOSETAS PARA CAÑONES DE CHIMENEAS</t>
  </si>
  <si>
    <t>09 * FABRICACION DE PIEZAS DE VIDRIO PARA JOYAS DE FANTASIA (PERO NO LAS JOYAS DE FANTASIA EN SI)</t>
  </si>
  <si>
    <t>02 * FABRICACION DE MAQUINAS ASPERSORAS DE USO AGRICOLA</t>
  </si>
  <si>
    <t>03 * FABRICACION DE MAQUINAS AUTOPROPULSADA</t>
  </si>
  <si>
    <t>04 * FABRICACION DE MAQUINAS BINADORAS</t>
  </si>
  <si>
    <t>05 * FABRICACION DE MAQUINAS CON TRACCION ANIMAL</t>
  </si>
  <si>
    <t>14 * PRODUCCION DE COMPONENTES DE EDIFICIOS PREFABRICADOS PRINCIPALMENTE DE MADERA</t>
  </si>
  <si>
    <t>2023</t>
  </si>
  <si>
    <t>2023 * FABRICACION DE RECIPIENTES DE MADERA</t>
  </si>
  <si>
    <t>00 * FABRICACION DE RECIPIENTES DE MADERA</t>
  </si>
  <si>
    <t>12 * FABRICACION DE PRODUCTOS CURTIENTES SINTETICOS</t>
  </si>
  <si>
    <t>13 * FABRICACION DE TOLUENO</t>
  </si>
  <si>
    <t>14 * FABRICACION DE XILENO</t>
  </si>
  <si>
    <t>15 * FABRICACION DE LEJIAS Y OTRAS SUSTANCIAS QUIMICAS BASICAS NO CLASIFICADAS EN OTRA PARTE</t>
  </si>
  <si>
    <t>08 * CONSTRUCCION Y REPARACION DE BUQUES DE TRANSPORTE DE TROPA</t>
  </si>
  <si>
    <t>09 * CONSTRUCCION Y REPARACION DE BUQUES FACTORIA</t>
  </si>
  <si>
    <t>10 * CONSTRUCCION Y REPARACION DE BUQUES FARO</t>
  </si>
  <si>
    <t>1721 * FABRICACION DE ARTICULOS CONFECCIONADOS DE MATERIAS TEXTILES, EXCEPTO PRENDAS DE VESTIR</t>
  </si>
  <si>
    <t>01 * FABRICACION DE CALDERAS Y RADIADORES PARA CALEFACCION CENTRAL.</t>
  </si>
  <si>
    <t>01 * FABRICACION DE EQUIPO AUXILIAR DE MAQUINAS TEXTILES.</t>
  </si>
  <si>
    <t>a) Personas Naturales: desde el 1 % hasta el 50% de la UIT vigente a la fecha de cancelación</t>
  </si>
  <si>
    <t>b) Personas Jurídicas: desde el 10 % de la UIT hasta 10 UIT a la fecha de cancelación</t>
  </si>
  <si>
    <t>Art. 97°.</t>
  </si>
  <si>
    <t>05 * FABRICACION DE BALDOSAS</t>
  </si>
  <si>
    <t>06 * FABRICACION DE CAÑOS</t>
  </si>
  <si>
    <t>07 * FABRICACION DE CISTERNAS</t>
  </si>
  <si>
    <t>08 * FABRICACION DE ESTATUAS</t>
  </si>
  <si>
    <t>llenar el</t>
  </si>
  <si>
    <r>
      <t>Clave 01 al 11.-  Sírvase informar el número promedio de trabajadores eventuales y permanentes en el mes de</t>
    </r>
    <r>
      <rPr>
        <b/>
        <sz val="9"/>
        <rFont val="Arial"/>
        <family val="2"/>
      </rPr>
      <t xml:space="preserve"> mayo y noviembre</t>
    </r>
    <r>
      <rPr>
        <sz val="9"/>
        <rFont val="Arial"/>
        <family val="2"/>
      </rPr>
      <t xml:space="preserve">. </t>
    </r>
  </si>
  <si>
    <t>TICLACAYAN</t>
  </si>
  <si>
    <t>TINYAHUARCO</t>
  </si>
  <si>
    <t>05 * CORTE, TALLADO Y ACABADO DE LA PIEDRA PARA CONSTRUCCION DE TECHOS</t>
  </si>
  <si>
    <t>2699</t>
  </si>
  <si>
    <t>05 * FABRICACION DE MAQUINAS DE PLANCHAR</t>
  </si>
  <si>
    <t>06 * FABRICACION DE MAQUINAS DE COSER</t>
  </si>
  <si>
    <t>07 * FABRICACION DE MAQUINAS DE BATANES DE MASO Y DE TAMBOR</t>
  </si>
  <si>
    <t>08 * FABRICACION DE MAQUINAS DE GLASEAR Y GRANEAR CUEROS</t>
  </si>
  <si>
    <t>09 * FABRICACION DE MAQUINAS DEPILADORAS DE PIEL</t>
  </si>
  <si>
    <t>10 * FABRICACION DE MAQUINAS DESCARNADORAS</t>
  </si>
  <si>
    <t>LOS BAÑOS DEL INCA</t>
  </si>
  <si>
    <t>CHANCAYBAÑOS</t>
  </si>
  <si>
    <t>QUIÑOTA</t>
  </si>
  <si>
    <t>KOSÑIPATA</t>
  </si>
  <si>
    <t>ASCENSION</t>
  </si>
  <si>
    <t>09 * FABRICACION DE ESMALTES</t>
  </si>
  <si>
    <t>10 * FABRICACION DE ESMALTES VITRIFICABLES</t>
  </si>
  <si>
    <t>01 * FABRICACION DE ANODOS DE GALVANOPLASTIA</t>
  </si>
  <si>
    <t>02 * FABRICACION DE ARTICULOS DE TOCADOR</t>
  </si>
  <si>
    <t>»  Las celdas de color verde contienen sumas que se han efectuado en forma automática.</t>
  </si>
  <si>
    <t>SAN JUAN DE LURIGANCHO</t>
  </si>
  <si>
    <t>SAN JUAN DE MIRAFLORES</t>
  </si>
  <si>
    <t>SAN MARTIN DE PORRES</t>
  </si>
  <si>
    <t>SANTA ANITA</t>
  </si>
  <si>
    <t>SANTA MARIA DEL MAR</t>
  </si>
  <si>
    <t>00 * FABRICACION DE CARROCERIAS PARA VEHICULOS AUTOMOTORES, FABRICACION DE REMOLQUES Y SEMIRREMOLQUES</t>
  </si>
  <si>
    <t>01 * FABRICACION DE CARROCERIAS (PARA VEHICULOS AUTOMOTORES Y SEMIRREMOLQUES)</t>
  </si>
  <si>
    <t>02 * FABRICACION DE CARROCERIAS DE ACERO</t>
  </si>
  <si>
    <t>03 * FABRICACION DE CARROCERIAS DE ALIACION</t>
  </si>
  <si>
    <t>04 * FABRICACION DE CARROCERIAS DE MONOCASCO</t>
  </si>
  <si>
    <t>05 * FABRICACION DE CARROCERIAS PARA VEHICULOS SIN CHASIS</t>
  </si>
  <si>
    <t>06 * FABRICACION DE CARROCERIAS PARA VEHICULOS DE TURISMO</t>
  </si>
  <si>
    <t>07 * FABRICACION DE CONTENEDORES</t>
  </si>
  <si>
    <t>2699 * FABRICACION DE OTROS PRODUCTOS MINERALES NO METALICOS N.C.P.</t>
  </si>
  <si>
    <t>00 * FABRICACION DE OTROS PRODUCTOS MINERALES NO METALICOS N.C.P.</t>
  </si>
  <si>
    <t>MACHE</t>
  </si>
  <si>
    <t>PARANDAY</t>
  </si>
  <si>
    <t>SALPO</t>
  </si>
  <si>
    <t>CHAPARRA</t>
  </si>
  <si>
    <t>HUANUHUANU</t>
  </si>
  <si>
    <t>JAQUI</t>
  </si>
  <si>
    <t>LOMAS</t>
  </si>
  <si>
    <t>QUICACHA</t>
  </si>
  <si>
    <t>YAUCA</t>
  </si>
  <si>
    <t>CASTILLA</t>
  </si>
  <si>
    <t>APLAO</t>
  </si>
  <si>
    <t>ANDAGUA</t>
  </si>
  <si>
    <t>AYO</t>
  </si>
  <si>
    <t>CHACHAS</t>
  </si>
  <si>
    <t>CHILCAYMARCA</t>
  </si>
  <si>
    <t>04 * FABRICACION DE ENVOLTURAS DE VIDRIO</t>
  </si>
  <si>
    <t>01 * FABRICACION DE ARTICULOS DE HILADOS Y TELAS DE ASBESTO COMO ROPA, CALZADO, CORDONES, CORDELES, PAPEL, ETC.</t>
  </si>
  <si>
    <t>02 * FABRICACION DE ARTICULOS DE MICA</t>
  </si>
  <si>
    <t>03 * FABRICACION DE ARTICULOS DE TURBA Y DE GRAFITO (QUE NO SEAN ARTICULOS ELECTRICOS)</t>
  </si>
  <si>
    <t>02 * EDICION DE REVISTAS HUMORISTICAS</t>
  </si>
  <si>
    <t>03 * EDICION DE REVISTAS INDUSTRIALES</t>
  </si>
  <si>
    <t>04 * EDICION DE REVISTAS TECNICAS</t>
  </si>
  <si>
    <t>05 * EDICION DE OTRAS PUBLICACIONES PERIODICAS</t>
  </si>
  <si>
    <t>2213</t>
  </si>
  <si>
    <t>CHARACATO</t>
  </si>
  <si>
    <t>CHIGUATA</t>
  </si>
  <si>
    <t>VITOC</t>
  </si>
  <si>
    <t>SAN ANTONIO</t>
  </si>
  <si>
    <t>COLQUIOC</t>
  </si>
  <si>
    <t>HUALLANCA</t>
  </si>
  <si>
    <t>HUASTA</t>
  </si>
  <si>
    <t>HUAYLLACAYAN</t>
  </si>
  <si>
    <t>LA PRIMAVERA</t>
  </si>
  <si>
    <t>MANGAS</t>
  </si>
  <si>
    <t>PACLLON</t>
  </si>
  <si>
    <t>SAN MIGUEL DE CORPANQUI</t>
  </si>
  <si>
    <t>TICLLOS</t>
  </si>
  <si>
    <t>CARHUAZ</t>
  </si>
  <si>
    <t>ACOPAMPA</t>
  </si>
  <si>
    <t>AMASHCA</t>
  </si>
  <si>
    <t>ANTA</t>
  </si>
  <si>
    <t>ATAQUERO</t>
  </si>
  <si>
    <t>CAP.3 : PERSONAL OCUPADO Y REMUNERACIONES</t>
  </si>
  <si>
    <t>CAP.4 : INGRESOS Y GASTOS</t>
  </si>
  <si>
    <t>URUBAMBA</t>
  </si>
  <si>
    <t>CHINCHERO</t>
  </si>
  <si>
    <t>MACHUPICCHU</t>
  </si>
  <si>
    <t>MARAS</t>
  </si>
  <si>
    <t>OLLANTAYTAMBO</t>
  </si>
  <si>
    <t>YUCAY</t>
  </si>
  <si>
    <t>HUANCAVELICA</t>
  </si>
  <si>
    <t>ACOBAMBILLA</t>
  </si>
  <si>
    <t>ACORIA</t>
  </si>
  <si>
    <t>CONAYCA</t>
  </si>
  <si>
    <t>CUENCA</t>
  </si>
  <si>
    <t>HUACHOCOLPA</t>
  </si>
  <si>
    <t>HUAYLLAHUARA</t>
  </si>
  <si>
    <t>IZCUCHACA</t>
  </si>
  <si>
    <t>LARIA</t>
  </si>
  <si>
    <t>MANTA</t>
  </si>
  <si>
    <t>41</t>
  </si>
  <si>
    <t>42</t>
  </si>
  <si>
    <t>RAGASH</t>
  </si>
  <si>
    <t>SAN JUAN</t>
  </si>
  <si>
    <t>SICSIBAMBA</t>
  </si>
  <si>
    <t>YUNGAY</t>
  </si>
  <si>
    <t>CASCAPARA</t>
  </si>
  <si>
    <t>INCAHUASI</t>
  </si>
  <si>
    <t>MANUEL ANTONIO MESONES MURO</t>
  </si>
  <si>
    <t>PITIPO</t>
  </si>
  <si>
    <t>CHOCHOPE</t>
  </si>
  <si>
    <t>ILLIMO</t>
  </si>
  <si>
    <t>JAYANCA</t>
  </si>
  <si>
    <t>MOCHUMI</t>
  </si>
  <si>
    <t>AYACUCHO</t>
  </si>
  <si>
    <t>HUAMANGA</t>
  </si>
  <si>
    <t>ACOCRO</t>
  </si>
  <si>
    <t>ACOS VINCHOS</t>
  </si>
  <si>
    <t>CARMEN ALTO</t>
  </si>
  <si>
    <t>PACAYCASA</t>
  </si>
  <si>
    <t>CAP. 5</t>
  </si>
  <si>
    <t>29 * FABRICACION DE MAQUINAS PARA DESENRROLLLAR TELAS</t>
  </si>
  <si>
    <t>13 * FABRICACION DE MANTELES</t>
  </si>
  <si>
    <t>47 * FABRICACION DE TERMOSTATOS</t>
  </si>
  <si>
    <t>48 * FABRICACION DE VISCOSIMETROS</t>
  </si>
  <si>
    <t>49 * FABRICACION DE INSTRUMENTOS PARA VERIFICAR RELOJES O PIEZAS DE RELOJES (EXCEPTO EQUIPO DE CONTROL DE PROCESOS INDUSTRIALES)</t>
  </si>
  <si>
    <t>3313</t>
  </si>
  <si>
    <t>03 * FABRICACION DE HERBICIDAS</t>
  </si>
  <si>
    <t>04 * FABRICACION DE INSECTICIDAS</t>
  </si>
  <si>
    <t>05 * FABRICACION DE PRODUCTOS ANTIGERMINANTES</t>
  </si>
  <si>
    <t>06 * FABRICACION DE PRODUCTOS REGULADORES DEL CRECIMIENTO DE PLANTAS</t>
  </si>
  <si>
    <t>07 * FABRICACION DE RATICIDAS</t>
  </si>
  <si>
    <t>II. Instrucciones Específicas a Nivel de Empresa</t>
  </si>
  <si>
    <t>III. Lugares de Distribución y Recepción de los Formularios</t>
  </si>
  <si>
    <t>1.1 TENGA EN CUENTA LO SIGUIENTE:</t>
  </si>
  <si>
    <t xml:space="preserve">» La información Económica - Financiera, será presentada según las normas del Plan Contable General Revisado (PCGR) </t>
  </si>
  <si>
    <t>13 * FABRICACION DE ESTATUILLAS Y OTROS ARTICULOS ORNAMENTALES (PRODUCTOS DE PLASTICO)</t>
  </si>
  <si>
    <t>14 * FABRICACION DE GARRAFONES</t>
  </si>
  <si>
    <t>1.- DISKETTE CONTENIENDO  EL ARCHIVO EXCEL  Y  LOS  ARCHIVOS TXT.   (Vea el Manual de Instalación)</t>
  </si>
  <si>
    <t xml:space="preserve">C I I U  -  A C T I V I D A D     P R I N C I P A L  </t>
  </si>
  <si>
    <t>16 * SUCESION EN DIVISA</t>
  </si>
  <si>
    <t>22 * COOPERATIVAS DE SERVICIOS</t>
  </si>
  <si>
    <t>20 * FABRICACION DE MAQUINAS PARA LA MANUFACTURA O EL ACABADO DE FIELTRO</t>
  </si>
  <si>
    <t>21 * FABRICACION DE MAQUINAS PARA LA CONFECCION DE SOMBREROS DE FIELTRO</t>
  </si>
  <si>
    <t>22 * FABRICACION DE MAQUINAS PARA APLICAR LA PASTA AL TEJIDO</t>
  </si>
  <si>
    <t>23 * FABRICACION DE MAQUINAS PARA PLEGAR, CORTAR O CALAR TELAS</t>
  </si>
  <si>
    <t>24 * FABRICACION DE MAQUINAS PARA HACER TEJIDOS DE MALLAS ANUDADAS, TULES, ETC.</t>
  </si>
  <si>
    <t>07 * GRABADURA DE METAL Y DE ARTICULOS DE METAL</t>
  </si>
  <si>
    <t>02 * FABRICACION DE CUEROS REGENERADOS A SABER, PLANCHAS, HOJAS Y TIRAS QUE CONTIENEN CUERO O FIBRA DE CUERO.</t>
  </si>
  <si>
    <t>DEAN VALDIVIA</t>
  </si>
  <si>
    <t>MEJIA</t>
  </si>
  <si>
    <t>CHEPEN</t>
  </si>
  <si>
    <t>PACANGA</t>
  </si>
  <si>
    <t>CALAMARCA</t>
  </si>
  <si>
    <t>SAN PEDRO DE CAJAS</t>
  </si>
  <si>
    <t>TAPO</t>
  </si>
  <si>
    <t>LA OROYA</t>
  </si>
  <si>
    <t>CHACAPALPA</t>
  </si>
  <si>
    <t>HUAY-HUAY</t>
  </si>
  <si>
    <t>MARCAPOMACOCHA</t>
  </si>
  <si>
    <t>MOROCOCHA</t>
  </si>
  <si>
    <t>SANTA BARBARA DE CARHUACAYAN</t>
  </si>
  <si>
    <t>SANTA ROSA DE SACCO</t>
  </si>
  <si>
    <t>SUITUCANCHA</t>
  </si>
  <si>
    <t>CHUPACA</t>
  </si>
  <si>
    <t>05 * FABRICACION DE OTROS ARTICULOS DE CUERO NATURAL Y CUERO REGENERADO NO CLASIFICADOS EN OTRA PARTE</t>
  </si>
  <si>
    <t>1920</t>
  </si>
  <si>
    <t>1920 * FABRICACION DE CALZADO</t>
  </si>
  <si>
    <t>00 * FABRICACION DE CALZADO</t>
  </si>
  <si>
    <t>01 * FABRICACION DE BOTINES</t>
  </si>
  <si>
    <t>00 * FABRICACION DE OTROS PRODUCTOS DE CAUCHO</t>
  </si>
  <si>
    <t>01 * FABRICACION DE ARTICULOS DE VESTUARIO (ADORNOS DE ACRILICO)</t>
  </si>
  <si>
    <t>02 * FABRICACION DE ARTICULOS HIGIENICOS Y FARMACEUTICOS</t>
  </si>
  <si>
    <t>03 * FABRICACION DE CAÑOS</t>
  </si>
  <si>
    <t>04 * FABRICACION DE CINTAS TRANSPORTADORAS Y DE TRANSMISION</t>
  </si>
  <si>
    <t>05 * FABRICACION DE CORREAS</t>
  </si>
  <si>
    <t>06 * FABRICACION DE LAMINAS</t>
  </si>
  <si>
    <t>SECRETO ESTADISTICO Y CONFIDENCIALIDAD DE LA INFORMACION</t>
  </si>
  <si>
    <t>1541 * ELABORACION DE PRODUCTOS DE PANADERIA</t>
  </si>
  <si>
    <t>04 * FABRICACION DE AUXILIO CARRETERA</t>
  </si>
  <si>
    <t>08 * FABRICACION DE OTROS PRODUCTOS QUIMICOS PARA USO AGROPECUARIO N.C.P.</t>
  </si>
  <si>
    <t>00 * ELABORACION DE PRODUCTOS DE PANADERIA</t>
  </si>
  <si>
    <t>03 * FABRICACION DE TABLEROS DE PARTICULAS Y DE FIBRA</t>
  </si>
  <si>
    <t>23 * FABRICACION DE MAQUINAS DE AFEITAR ELECTRICA</t>
  </si>
  <si>
    <t>24 * FABRICACION DE MOLEDORAS</t>
  </si>
  <si>
    <t>25 * FABRICACION DE PARRILLAS ELECTRICAS</t>
  </si>
  <si>
    <t>26 * FABRICACION DE PEINES ELECTRICOS DE CABELLO</t>
  </si>
  <si>
    <t>27 * FABRICACION DE PICADORA</t>
  </si>
  <si>
    <t>11 * FABRICACION DE VOLANTES (PARTES, PIEZAS Y ACCESORIOS PARA VEHICULOS AUTOMOTORES Y SUS MOTORES)</t>
  </si>
  <si>
    <t>11 * FABRICACION DE CEPILLOS ELECTRICOS DE CABELLO</t>
  </si>
  <si>
    <t>12 * FABRICACION DE COCINA ELECTRICA</t>
  </si>
  <si>
    <t>13 * FABRICACION DE COCINILLAS ELECTRICAS</t>
  </si>
  <si>
    <t>12 * FABRICACION DE VALVULAS Y ACCESORIOS SIMILARES PARA TUBOS, CALDERAS, TANQUES</t>
  </si>
  <si>
    <t>13 * REPARACION DE BOMBAS, COMPRENSORAS, GRIFOS Y VALVULAS</t>
  </si>
  <si>
    <t>2913</t>
  </si>
  <si>
    <t>SANTIAGO DE SURCO</t>
  </si>
  <si>
    <t>SURQUILLO</t>
  </si>
  <si>
    <t>TINICACHI</t>
  </si>
  <si>
    <t>MARANURA</t>
  </si>
  <si>
    <t>QUELLOUNO</t>
  </si>
  <si>
    <t>MARCAPATA</t>
  </si>
  <si>
    <t>OCONGATE</t>
  </si>
  <si>
    <t>QUIQUIJANA</t>
  </si>
  <si>
    <t>AV. ARGENTINA 2345</t>
  </si>
  <si>
    <t>OLLACHEA</t>
  </si>
  <si>
    <t>SAN GABAN</t>
  </si>
  <si>
    <t>USICAYOS</t>
  </si>
  <si>
    <t>JULI</t>
  </si>
  <si>
    <t>DESAGUADERO</t>
  </si>
  <si>
    <t>CODDPTO</t>
  </si>
  <si>
    <t>CODPROV</t>
  </si>
  <si>
    <t>CODDIST</t>
  </si>
  <si>
    <t>??</t>
  </si>
  <si>
    <t>NOMDPTO</t>
  </si>
  <si>
    <t>NOMPROV</t>
  </si>
  <si>
    <t>NOMDIST</t>
  </si>
  <si>
    <t>AMAZONAS</t>
  </si>
  <si>
    <t>I. Instrucciones Generales</t>
  </si>
  <si>
    <t>ECHARATE</t>
  </si>
  <si>
    <t>SAN JOSE DE LOURDES</t>
  </si>
  <si>
    <t>TABACONAS</t>
  </si>
  <si>
    <t>PEDRO GALVEZ</t>
  </si>
  <si>
    <t>CHANCAY</t>
  </si>
  <si>
    <t>CHORRILLOS</t>
  </si>
  <si>
    <t>CIENEGUILLA</t>
  </si>
  <si>
    <t>EL AGUSTINO</t>
  </si>
  <si>
    <t>JESUS MARIA</t>
  </si>
  <si>
    <t>LA MOLINA</t>
  </si>
  <si>
    <t>LINCE</t>
  </si>
  <si>
    <t>LOS OLIVOS</t>
  </si>
  <si>
    <t>LURIGANCHO</t>
  </si>
  <si>
    <t>LURIN</t>
  </si>
  <si>
    <t>MAGDALENA DEL MAR</t>
  </si>
  <si>
    <t>PACHACAMAC</t>
  </si>
  <si>
    <t>PUCUSANA</t>
  </si>
  <si>
    <t>PUENTE PIEDRA</t>
  </si>
  <si>
    <t>CALLAHUANCA</t>
  </si>
  <si>
    <t>00 * FABRICACION DE PINTURAS, BARNICES Y PRODUCTOS DE REVESTIMIENTO SIMILARES, TINTAS DE IMPRENTA Y MASILLAS</t>
  </si>
  <si>
    <t>01 * FABRICACION DE BARNICES</t>
  </si>
  <si>
    <t>02 * FABRICACION DE BARNICES PARA VIDRIAR</t>
  </si>
  <si>
    <t>03 * FABRICACION DE BARNIZ PREPARADO</t>
  </si>
  <si>
    <t>SAYAN</t>
  </si>
  <si>
    <t>VEGUETA</t>
  </si>
  <si>
    <t>09 * FABRICACION DE MAQUINAS CORTADORAS (DE OTROS TIPOS DE MAQUINARIA DE USO ESPECIAL)</t>
  </si>
  <si>
    <t>CALETA DE CARQUIN</t>
  </si>
  <si>
    <t>CARAMPOMA</t>
  </si>
  <si>
    <t>CHICLA</t>
  </si>
  <si>
    <t>04 * FABRICACION DE PAÑOS PARA PULIMENTO INDUSTRIAL</t>
  </si>
  <si>
    <t>05 * FABRICACION DE PUFES SIN RELLENO</t>
  </si>
  <si>
    <t>06 * FABRICACION DE PRENDAS DE VESTIR DE PIEL</t>
  </si>
  <si>
    <t>17 * FABRICACION DE VAJILLAS</t>
  </si>
  <si>
    <t>18 * PRODUCCION DE PERLAS LABRADAS</t>
  </si>
  <si>
    <t>19 * PRODUCCION DE PIEDRAS DE CALIDAD IDUSTRIAL</t>
  </si>
  <si>
    <t>20 * PRODUCCION DE PIEDRAS PRECIOSAS Y SEMIPRECIOSAS SINTETICAS</t>
  </si>
  <si>
    <t>21 * PRODUCCION DE PIEDRAS RECONSTRUIDAS</t>
  </si>
  <si>
    <t>3692</t>
  </si>
  <si>
    <t>04 * FABRICACION DE COLORES PREPARADOS</t>
  </si>
  <si>
    <t>1532 * ELABORACION DE ALMIDONES Y DE PRODUCTOS DERIVADOS DEL ALMIDON</t>
  </si>
  <si>
    <t>00 * ELABORACION DE ALMIDONES Y DE PRODUCTOS DERIVADOS DEL ALMIDON</t>
  </si>
  <si>
    <t>01 * ACTIVIDADES DE ENGRASE, DESCARMADURA, BLANQUEADO Y DESPINZADO DE PIELES</t>
  </si>
  <si>
    <t>02 * FABRICACION DE ACCESORIOS Y CONJUNTOS DE PELETERIA</t>
  </si>
  <si>
    <t>03 * FABRICACION DE ALFOMBRAS</t>
  </si>
  <si>
    <t>27 * FABRICACION DE MAQUINAS PERFORADORA DE OFICINA, CONTABILIDAD E INFORMATICA</t>
  </si>
  <si>
    <t>28 * FABRICACION DE MAQUINAS SACAPUNTAS DE LAPIZ</t>
  </si>
  <si>
    <t>29 * FABRICACION DE MAQUINAS TERMOCOPIADORAS</t>
  </si>
  <si>
    <t>30 * FABRICACION DE PERFORADORAS</t>
  </si>
  <si>
    <t>21 * FABRICACION DE TIENDAS DE CAMPAÑA</t>
  </si>
  <si>
    <t>22 * FABRICACION DE TOLDOS</t>
  </si>
  <si>
    <t>23 * FABRICACION DE VELOS</t>
  </si>
  <si>
    <t>1722</t>
  </si>
  <si>
    <t>1722 * FABRICACION DE TAPICES Y ALFOMBRAS</t>
  </si>
  <si>
    <t>00 * FABRICACION DE TAPICES Y ALFOMBRAS</t>
  </si>
  <si>
    <t>01 * FABRICACION DE ALFOMBRAS</t>
  </si>
  <si>
    <t>04 * FABRICACION DE ELECTRODOS DE GRAFITO, TIZA DE PIZARRON, MOLDES DE FUNDICION, ETC.</t>
  </si>
  <si>
    <t>CAUJUL</t>
  </si>
  <si>
    <t>COCHAMARCA</t>
  </si>
  <si>
    <t>Son fuentes de información estadística del Sistema Nacional de Estadística, las personas naturales o jurídicas  que se encuentran en el país, las que están obligadas a suministrar, la información de uso</t>
  </si>
  <si>
    <t>04 * FABRICACION DE SACOS Y BOLSAS</t>
  </si>
  <si>
    <t>05 * SOBRES PARA DISCOS GRAMOFONICOS</t>
  </si>
  <si>
    <t>06 * OTROS ENVASES DE PAPEL O CARTON</t>
  </si>
  <si>
    <t>2109</t>
  </si>
  <si>
    <t>24 * FABRICACION DE MAQUINAS PARA SERIGRAFIA</t>
  </si>
  <si>
    <t>04 * ENCHAPADO DE METAL Y DE ARTICULOS DE METAL</t>
  </si>
  <si>
    <t>05 * ENDURECIMIENTO DEL METAL Y DE ARTICULOS DE METAL</t>
  </si>
  <si>
    <t>06 * ESMERILADO Y OTROS TRATAMIENTOS AL METAL</t>
  </si>
  <si>
    <t>02 * FABRICACION DE APARATOS PARA TELEFONIA Y TELEGRAFIA CON HILOS</t>
  </si>
  <si>
    <t>16 * FABRICACION DE LANZAPROYECTILES, LANZACOHETES Y TUBOS LANZATORPEDOS</t>
  </si>
  <si>
    <t>17 * FABRICACION DE MINAS</t>
  </si>
  <si>
    <t>02 * FABRICACION DE CILINDROS DE METAL PULIDO Y GRANEADO</t>
  </si>
  <si>
    <t>NAVAN</t>
  </si>
  <si>
    <t>PACHANGARA</t>
  </si>
  <si>
    <t>ALIS</t>
  </si>
  <si>
    <t>SANTA CATALINA</t>
  </si>
  <si>
    <t>29 * CENTROS EDUCATIVOS PARTICULARES</t>
  </si>
  <si>
    <t>30 * ESCUELA EDUCACION PROFESIONAL (EPSEP)</t>
  </si>
  <si>
    <t>31 * UNIVERSIDADES</t>
  </si>
  <si>
    <t>02 * FABRICACION DE BARANDAS DE MADERA</t>
  </si>
  <si>
    <t>03 * FABRICACION DE BLOQUES O LISTONES ENSAMBLADOS PARA PISOS DE PARQUET</t>
  </si>
  <si>
    <t>INGRESOS Y GASTOS</t>
  </si>
  <si>
    <t>Informe el total de cargas de personal, servicios prestados por terceros y cargas diversas de gestión.</t>
  </si>
  <si>
    <t>CAPITULO 5:</t>
  </si>
  <si>
    <t>27 * FABRICACION DE PRENSAS PARA TABLEROS DE PARTICULAS</t>
  </si>
  <si>
    <t>28 * FABRICACION DE PRENSAS HIDRAULICAS</t>
  </si>
  <si>
    <t>29 * FABRICACION DE REMACHADORAS</t>
  </si>
  <si>
    <t>30 * FABRICACION DE TALADROS ROTATORIOS O DE PERCUSION</t>
  </si>
  <si>
    <t xml:space="preserve">Av. Panamericana Norte S/N  Km. 1 - Tumbes </t>
  </si>
  <si>
    <t>Direcciones  Regionales de la Producción</t>
  </si>
  <si>
    <t>11 * FABRICACION DE CENTRIFUGADORAS DISTINTAS DE LAS DESCREMADORAS Y DE LAS SECADORAS DE ROPA</t>
  </si>
  <si>
    <t>11 * FABRICACION DE MICROEMSAMBLADORES ELECTRONICOS</t>
  </si>
  <si>
    <t>12 * FABRICACION DE REOSTATOS Y POTENCIOMETROS (EXCEPTO RESISTORES PARA CALEFACCION)</t>
  </si>
  <si>
    <t>02 * FABRICACION DE CALZADO CON MATERIA PRIMA DE CUERO, CAUCHO, PLASTICO, MATERIAL TEXTIL, MADERA</t>
  </si>
  <si>
    <t>08 * CONSTRUCCION Y REPARACION DE CHALANAS</t>
  </si>
  <si>
    <t xml:space="preserve">Av. Hipólito Unanue Nº 1269 - Tacna </t>
  </si>
  <si>
    <t>Telf: 052 – 746040</t>
  </si>
  <si>
    <t>Produce_tacna@produce.gob.pe</t>
  </si>
  <si>
    <t>Av. San Martín Nº 240 – Piso 2 – Pisco Pueblo</t>
  </si>
  <si>
    <t>01 * FABRICACION DE BETUNES Y CREMAS PARA EL CALZADO</t>
  </si>
  <si>
    <t>09 * FABRICACION DE MOTORES UNIVERSALES DE CORRIENTES</t>
  </si>
  <si>
    <t>10 * FABRICACION DE OTROS CONVERTIDORES ESTATICOS</t>
  </si>
  <si>
    <t>PARDO MIGUEL</t>
  </si>
  <si>
    <t>POSIC</t>
  </si>
  <si>
    <t>SAN FERNANDO</t>
  </si>
  <si>
    <t>YORONGOS</t>
  </si>
  <si>
    <t>YURACYACU</t>
  </si>
  <si>
    <t>TARAPOTO</t>
  </si>
  <si>
    <t>ALBERTO LEVEAU</t>
  </si>
  <si>
    <t>CACATACHI</t>
  </si>
  <si>
    <t>CHAZUTA</t>
  </si>
  <si>
    <t>CHIPURANA</t>
  </si>
  <si>
    <t>HUIMBAYOC</t>
  </si>
  <si>
    <t>JUAN GUERRA</t>
  </si>
  <si>
    <t>LA BANDA DE SHILCAYO</t>
  </si>
  <si>
    <t>MORALES</t>
  </si>
  <si>
    <t>PAPAPLAYA</t>
  </si>
  <si>
    <t>SAUCE</t>
  </si>
  <si>
    <t>SHAPAJA</t>
  </si>
  <si>
    <t>TOCACHE</t>
  </si>
  <si>
    <t>Clave 01 al 05.-  Sirvase informar el monto de los impuestos pagados durante el año y el monto a deducir (crédito fiscal).</t>
  </si>
  <si>
    <t>CAPITULO 7:</t>
  </si>
  <si>
    <t>14 * FABRICACION DE MANTAS ELECTRICAS</t>
  </si>
  <si>
    <t>34 * FABRICACION DE MAGNETOS DE ENCENDIDO</t>
  </si>
  <si>
    <t>35 * FABRICACION DE MOTORES DE ARRANQUE</t>
  </si>
  <si>
    <t>ANCO-HUALLO</t>
  </si>
  <si>
    <t>CASMA</t>
  </si>
  <si>
    <t>BUENA VISTA ALTA</t>
  </si>
  <si>
    <t>COMANDANTE NOEL</t>
  </si>
  <si>
    <t>YAUTAN</t>
  </si>
  <si>
    <t>CORONGO</t>
  </si>
  <si>
    <t>ACO</t>
  </si>
  <si>
    <t>39 * FABRICACION DE SELLOS PARA FECHAR O NUMERAR</t>
  </si>
  <si>
    <t>SAPOSOA</t>
  </si>
  <si>
    <t>ALTO SAPOSOA</t>
  </si>
  <si>
    <t>EL ESLABON</t>
  </si>
  <si>
    <t>PISCOYACU</t>
  </si>
  <si>
    <t>SACANCHE</t>
  </si>
  <si>
    <t>TINGO DE SAPOSOA</t>
  </si>
  <si>
    <t>LAMAS</t>
  </si>
  <si>
    <t>18 * FABRICACION DE PREPARADOS PARA ONDULAR Y ALISAR EL CABELLO - REACONDICIONADORES DEL CABELLO</t>
  </si>
  <si>
    <t>19 * FABRICACION DE PRODUCTOS PARA MANICURO Y PEDICURO</t>
  </si>
  <si>
    <t>2429</t>
  </si>
  <si>
    <t>2429 * FABRICACION DE OTROS PRODUCTOS QUIMICOS N.C.P.</t>
  </si>
  <si>
    <t>00 * EDICION DE LIBROS, FOLLETOS, PARTITURAS Y OTRAS PUBLICACIONES</t>
  </si>
  <si>
    <t>01 * EDICION DE ATLAS Y MAPAS</t>
  </si>
  <si>
    <t>02 * EDICION DE FOLLETOS</t>
  </si>
  <si>
    <t>NANDINA</t>
  </si>
  <si>
    <t>Unidad de medida</t>
  </si>
  <si>
    <t>PRODUCCION</t>
  </si>
  <si>
    <t>07 * CONSTRUCCION Y REPARACION DE BUQUES DE GUERRA</t>
  </si>
  <si>
    <t>00 * FABRICACION DE ACUMULADORES DE PILAS Y BATERIAS PRIMARIAS</t>
  </si>
  <si>
    <t>01 * FABRICACION DE ACUMULADORES ELECTRICOS</t>
  </si>
  <si>
    <t>36 * FABRICACION DE VENTILADORES</t>
  </si>
  <si>
    <t>3000</t>
  </si>
  <si>
    <t>3000 * FABRICACION DE MAQUINARIA DE OFICINA, CONTABILIDAD E INFORMATICA</t>
  </si>
  <si>
    <t>00 * FABRICACION DE MAQUINARIA DE OFICINA, CONTABILIDAD E INFORMATICA</t>
  </si>
  <si>
    <t>01 * FABRICACION DE CAJAS REGISTRADORAS</t>
  </si>
  <si>
    <t>12 * FABRICACION DE ACUMULADORES DE NIQUEL-HIERRO U OTRO TIPO</t>
  </si>
  <si>
    <t>3150</t>
  </si>
  <si>
    <t>3694</t>
  </si>
  <si>
    <t>3694 * FABRICACION DE JUEGOS Y JUGUETES</t>
  </si>
  <si>
    <t>00 * FABRICACION DE JUEGOS Y JUGUETES</t>
  </si>
  <si>
    <t>01 * FABRICACION DE EQUIPO AUTOMATICO PARA JUEGO DE BOLOS</t>
  </si>
  <si>
    <t>02 * FABRICACION DE INSTRUMENTOS MUSICALES DE JUGUETE</t>
  </si>
  <si>
    <t>03 * FABRICACION DE MESAS DE BILLAR</t>
  </si>
  <si>
    <t>04 * FABRICACION DE MESAS DE PIMBALL</t>
  </si>
  <si>
    <t>05 * FABRICACION DE MESAS PARA JUEGO DE CASINO</t>
  </si>
  <si>
    <t>06 * FABRICACION DE MODELOS O ESCALA</t>
  </si>
  <si>
    <t>07 * FABRICACION DE MUÑECOS</t>
  </si>
  <si>
    <t>08 * FABRICACION DE ROMPECABEZAS DE TODO TIPO</t>
  </si>
  <si>
    <t>09 * FABRICACION DE ROPAS Y ACCESORIOS DE MUÑECOS</t>
  </si>
  <si>
    <t>10 * FABRICACION DE TRICICLOS DE NIÑOS</t>
  </si>
  <si>
    <t>10 * FABRICACION DE BROCHES DE PRESION</t>
  </si>
  <si>
    <t>26 * FABRICACION DE PRENSA A PEDAL</t>
  </si>
  <si>
    <t>15 * FABRICACION DE PINZAS PARA SERVIR Y OTROS UTENSILIOS DE COCINA</t>
  </si>
  <si>
    <t>16 * FABRICACION DE SIERRAS CIRCULARES Y DE CADENA</t>
  </si>
  <si>
    <t>17 * FABRICACION DE SIERRAS Y HOJAS PARA SIERRA</t>
  </si>
  <si>
    <t>18 * FABRICACION DE TENEDORES</t>
  </si>
  <si>
    <t>19 * FABRICACION DE TIJERAS COMUNES</t>
  </si>
  <si>
    <t>20 * FABRICACION DE TIJERA DE PELUQUERO</t>
  </si>
  <si>
    <t>03 * CONSTRUCCION Y REPARACION DE BARCOS DE PESCA</t>
  </si>
  <si>
    <t>2411</t>
  </si>
  <si>
    <t>2411 * FABRICACION DE SUSTANCIAS QUIMICAS BASICAS, EXCEPTO ABONOS Y COMPUESTOS DE NITROGENO</t>
  </si>
  <si>
    <t>00 * FABRICACION DE SUSTANCIAS QUIMICAS BASICAS, EXCEPTO ABONOS Y COMPUESTOS DE NITROGENO</t>
  </si>
  <si>
    <t xml:space="preserve"> - Pág. 4 -</t>
  </si>
  <si>
    <t>1551 * DESTILACION, RECTIFICACION Y MEZCLA DE BEBIDAS ALCOHOLICAS, PRODUCCION DE ALCOHOL ETILICO A PARTIR DE SUSTANCIAS FERMENTADAS</t>
  </si>
  <si>
    <t>31 * FABRICACION DE MAQUINAS PARA LA FABRICACION O RENCAUCHADO DE CUBIERTAS</t>
  </si>
  <si>
    <t>32 * FABRICACION DE MAQUINAS PARA ESTIRAR FIBRAS</t>
  </si>
  <si>
    <t>Art. 88°.</t>
  </si>
  <si>
    <t>05 * FABRICACION DE BIBLIOTECAS MOVILES</t>
  </si>
  <si>
    <t>14 * FABRICACION DE MICROFONOS</t>
  </si>
  <si>
    <t>2891 * FORJA, PRENSADO, ESTAMPADO Y LAMINADO DE METALES, PULVIMETALURGIA</t>
  </si>
  <si>
    <t>00 * FORJA, PRENSADO, ESTAMPADO Y LAMINADO DE METALES, PULVIMETALURGIA</t>
  </si>
  <si>
    <t>01 * PRODUCCION DE OBJETOS METALICOS, UTILIZANDO POLVOS DE METAL QUE SE SOMETEN A TRATAMIENTO COLORIFICO (SINTERIZACION) O DE COMPRESION</t>
  </si>
  <si>
    <t>2892</t>
  </si>
  <si>
    <t>2892 * TRATAMIENTO Y REVESTIMIENTO DE METALES, OBRAS DE INGENIERIA MECANICA EN GENERAL REALIZADAS A CAMBIO DE UNA RETRIBUCION O POR CONTRATA</t>
  </si>
  <si>
    <t>00 * TRATAMIENTO Y REVESTIMIENTO DE METALES, OBRAS DE INGENIERIA MECANICA EN GENERAL REALIZADAS A CAMBIO DE UNA RETRIBUCION O POR CONTRATA</t>
  </si>
  <si>
    <t>M A N U A L    D E    I N S T A L A C I O N</t>
  </si>
  <si>
    <t>A. Instalación del Programa</t>
  </si>
  <si>
    <t>17 * FABRICACION DE MOTORES DE COMBUSTION INTERNA CON EMBOLOS DE MOVIMIENTO RECTILINEO O ROTATORIO</t>
  </si>
  <si>
    <t>18 * FABRICACION DE MOTORES DEL TIPO UTILIZADO EN AERONAVES</t>
  </si>
  <si>
    <t>19 * FABRICACION DE NAVES ESPACIALES</t>
  </si>
  <si>
    <t>20 * FABRICACION DE PALAS DE HELICE PROPULSADAS</t>
  </si>
  <si>
    <t>21 * FABRICACION DE PANELES DE MANDO</t>
  </si>
  <si>
    <t>22 * FABRICACION DE PLANEADORES</t>
  </si>
  <si>
    <t>01 * ELABORACION DE COÑAC</t>
  </si>
  <si>
    <t>02 * ELABORACION DE GINEBRA</t>
  </si>
  <si>
    <t>03 * ELABORACION DE MEZCLAS, CORDIALES</t>
  </si>
  <si>
    <t>JORGE BASADRE</t>
  </si>
  <si>
    <t>26 * FABRICACION DE MAQUINAS PARA LA FUNDICION DE CARACTERES DE IMPRENTA</t>
  </si>
  <si>
    <t>27 * FABRICACION DE MAQUINAS PARA TEJER Y CORTAR FIBRAS</t>
  </si>
  <si>
    <t>28 * FABRICACION DE MAQUINAS PARA LA FABRICACION DE DISCOS GRAMOFONICOS</t>
  </si>
  <si>
    <t>03 * FABRICACION DE APARATOS PARA RADIO DIFUSION MEDIANTE ONDAS ELECTROMAGNETICAS</t>
  </si>
  <si>
    <t>04 * FABRICACION DE CAMARAS DE TELEVISION DE TODO TIPO</t>
  </si>
  <si>
    <r>
      <t xml:space="preserve">b) </t>
    </r>
    <r>
      <rPr>
        <sz val="10"/>
        <rFont val="Arial"/>
        <family val="2"/>
      </rPr>
      <t xml:space="preserve">Seleccionar la actividad especifica en la parte desplegada y hacer "Click" en esta línea. Observe que también se ha seleccionado el código CIIU a 2 dígitos.  </t>
    </r>
  </si>
  <si>
    <t>ACZO</t>
  </si>
  <si>
    <t>CHACCHO</t>
  </si>
  <si>
    <t>02 * FABRICACION DE ARCOS (PARA VEHICULOS AUTOMOTORES Y SUS MOTORES)</t>
  </si>
  <si>
    <t>03 * FABRICACION DE CAJAS DE ENGRANAJES</t>
  </si>
  <si>
    <t>07 * REPARACION DE MOTORES Y TURBINAS, EXCEPTO MOTORES PARA AERONAVES, VEHICULOS AUTOMOTORES Y MOTOCICLETAS</t>
  </si>
  <si>
    <t>06 * CONSTRUCCION Y REPARACION DE BUQUES CIENTIFICOS</t>
  </si>
  <si>
    <t>08 * FABRICACION DE RECUPERADORES DE GASES</t>
  </si>
  <si>
    <t>09 * FABRICACION DE SACABARROS</t>
  </si>
  <si>
    <t>2891</t>
  </si>
  <si>
    <t>ANANEA</t>
  </si>
  <si>
    <t>MACUSANI</t>
  </si>
  <si>
    <t>AJOYANI</t>
  </si>
  <si>
    <t>AYAPATA</t>
  </si>
  <si>
    <t>08 * FABRICACION DE BARRAS DE TORSION</t>
  </si>
  <si>
    <t>09 * FABRICACION DE BARRILES (METAL)</t>
  </si>
  <si>
    <t>10 * FABRICACION DE BIDONES</t>
  </si>
  <si>
    <t>11 * FABRICACION DE CABLES DE METAL</t>
  </si>
  <si>
    <t>12 * FABRICACION DE CACEROLAS</t>
  </si>
  <si>
    <t>13 * FABRICACION DE CADENAS</t>
  </si>
  <si>
    <t>14 * FABRICACION DE CAJAS (METAL)</t>
  </si>
  <si>
    <t>15 * FABRICACION DE CAJAS FUERTES</t>
  </si>
  <si>
    <t>16 * FABRICACION DE CAMPANAS (PRODUCTOS ELABORADOS DE METAL)</t>
  </si>
  <si>
    <t>17 * FABRICACION DE CARRILES DE VIAS DE FERROCARRIL</t>
  </si>
  <si>
    <t>PARINACOCHAS</t>
  </si>
  <si>
    <t>CORACORA</t>
  </si>
  <si>
    <t>CHUMPI</t>
  </si>
  <si>
    <t>PACAPAUSA</t>
  </si>
  <si>
    <t>04 * CONSTRUCCION Y REPARACION DE BARCOS PARA REMOLCAR Y ATRACAR OTRAS EMBARCACIONES</t>
  </si>
  <si>
    <t>05 * CONSTRUCCION Y REPARACION DE BUQUES</t>
  </si>
  <si>
    <t>03 * FABRICACION DE ARTICULOS DE TOCADOR</t>
  </si>
  <si>
    <t>04 * FABRICACION DE ARTICULOS DE VESTUARIO</t>
  </si>
  <si>
    <t>05 * FABRICACION DE BAÑERAS (PLASTICO)</t>
  </si>
  <si>
    <t>06 * FABRICACION DE BOLSAS</t>
  </si>
  <si>
    <t>07 * FABRICACION DE BOTELLAS</t>
  </si>
  <si>
    <t>08 * FABRICACION DE CAJONES Y CAJAS (PLASTICO)</t>
  </si>
  <si>
    <t>09 * FABRICACION DE CARROCERIAS DE VEHICULOS</t>
  </si>
  <si>
    <t>10 * FABRICACION DE CISTERNAS DE INODOROS</t>
  </si>
  <si>
    <t>11 * FABRICACION DE CUBRECABEZAS</t>
  </si>
  <si>
    <t>12 * FABRICACION DE DUCHEROS</t>
  </si>
  <si>
    <t>SANTO DOMINGO DE ACOBAMBA</t>
  </si>
  <si>
    <t>VIQUES</t>
  </si>
  <si>
    <t>ANDAMARCA</t>
  </si>
  <si>
    <t>CHAMBARA</t>
  </si>
  <si>
    <t>COMAS</t>
  </si>
  <si>
    <t>00 * RECICLAMIENTO DE DESPERDICIOS Y DESECHOS NO METALICOS</t>
  </si>
  <si>
    <t>01 * PROCESAMIENTO DE DESPERDICIOS Y DESECHOS NO METALICOS</t>
  </si>
  <si>
    <t>30 * FABRICACION DE MAQUINAS PARA TEÑIR</t>
  </si>
  <si>
    <t>31 * FABRICACION DE MAQUINAS PARA ENRROLLAR TELAS</t>
  </si>
  <si>
    <t xml:space="preserve">         DEPARTAMENTO                            PROVINCIA                                          DISTRITO                    CÓDIGO</t>
  </si>
  <si>
    <t xml:space="preserve">O R G A N I Z A C I Ó N    J U R Í D I C A  </t>
  </si>
  <si>
    <t xml:space="preserve">NÚMERO </t>
  </si>
  <si>
    <t>NÚMERO PROMEDIO</t>
  </si>
  <si>
    <t>REMUNERACIÓN TOTAL                  (S/.)</t>
  </si>
  <si>
    <t>CATEGORÍA OCUPACIONAL</t>
  </si>
  <si>
    <t>VENTAS DE MERCADERÍAS</t>
  </si>
  <si>
    <t>CARGAS DIVERSAS DE GESTIÓN</t>
  </si>
  <si>
    <t>Valor unitario de venta (S/.)</t>
  </si>
  <si>
    <t>Cantidad total producida</t>
  </si>
  <si>
    <t>Valor total (S/.)</t>
  </si>
  <si>
    <t>Cantidad producida para terceros</t>
  </si>
  <si>
    <r>
      <t xml:space="preserve">Cargas de personal (Clave 9, Cap.04) </t>
    </r>
    <r>
      <rPr>
        <b/>
        <sz val="8"/>
        <color indexed="12"/>
        <rFont val="Arial"/>
        <family val="2"/>
      </rPr>
      <t>&gt;=</t>
    </r>
    <r>
      <rPr>
        <sz val="8"/>
        <rFont val="Arial"/>
        <family val="2"/>
      </rPr>
      <t xml:space="preserve"> Remuneraciones (Clave 9, Cap. 3)</t>
    </r>
  </si>
  <si>
    <r>
      <t xml:space="preserve">Gastos por adquisición (Clave 12, Cap.04) </t>
    </r>
    <r>
      <rPr>
        <b/>
        <sz val="9"/>
        <color indexed="12"/>
        <rFont val="Arial"/>
        <family val="2"/>
      </rPr>
      <t>&gt;=</t>
    </r>
    <r>
      <rPr>
        <sz val="8"/>
        <rFont val="Arial"/>
        <family val="2"/>
      </rPr>
      <t xml:space="preserve"> Consumo de materias primas (Clave 8, Cap. 5)</t>
    </r>
  </si>
  <si>
    <t>Saldo final de activos fijos &gt; = Saldo final de depreciación</t>
  </si>
  <si>
    <r>
      <t>VALIDACIÓN</t>
    </r>
    <r>
      <rPr>
        <b/>
        <sz val="10"/>
        <color indexed="12"/>
        <rFont val="Arial"/>
        <family val="2"/>
      </rPr>
      <t>: CONSISTENCIAS ENTRE CAPÍTULOS</t>
    </r>
  </si>
  <si>
    <t>ANEXO PRODUCCIÓN ANUAL</t>
  </si>
  <si>
    <t>09 * FABRICACION DE RELOJES DE TODA CLASE</t>
  </si>
  <si>
    <t>05 * FABRICACION DE CHAMPUS Y LACAS PARA EL CABELLO</t>
  </si>
  <si>
    <t>06 * FABRICACION DE DESODORANTES, SALES DE BAÑO Y OTROS PREPARADOS DE USO PERSONAL</t>
  </si>
  <si>
    <t>07 * FABRICACION DE DESODORANTES DE AMBIENTES</t>
  </si>
  <si>
    <t>01 * CAJONES, CAJAS Y ESTUCHES DE PAPEL Y CARTON NO ONDULADO</t>
  </si>
  <si>
    <t>07 * FABRICACION DE JABALCONES Y OTROS PRODUCTOS SIMILARES QUE UTILIZAN CON FINES ESTRUCTURALES Y EL SUSTENTAMIENTO VARIOS, ANDAMOS Y OTROS APEOS PROVISIONALES</t>
  </si>
  <si>
    <t>08 * FABRICACION DE MADERAJE</t>
  </si>
  <si>
    <t>El pago de la multa no exime a las fuentes de la obligación de suministrar la información solicitada. En consecuencia hubiérese o no efectuado el pago de la multa, ésta podrá ser aplicada cuantas veces se incumpla con la obligación.</t>
  </si>
  <si>
    <t>3410</t>
  </si>
  <si>
    <t>3410 * FABRICACION DE VEHICULOS AUTOMOTORES</t>
  </si>
  <si>
    <t>00 * FABRICACION DE VEHICULOS AUTOMOTORES</t>
  </si>
  <si>
    <t>01 * FABRICACION DE AUTOBUSES</t>
  </si>
  <si>
    <t>02 * FABRICACION DE AUTOMOVILES</t>
  </si>
  <si>
    <t xml:space="preserve">registrará información en las columnas "Nombre de Producto", "Unidad de Medida" y "Cantidad Producida para </t>
  </si>
  <si>
    <t xml:space="preserve">Terceros". </t>
  </si>
  <si>
    <t>01 * FABRICACION DE BASCULAS Y BALANZAS (DISTINTAS DE LAS BALANZAS DE PRECISION UTILIZADAS EN LABORATORIO)</t>
  </si>
  <si>
    <t>02 * CAMPANAS DE VENTILACION PARA USO COMERCIAL, INDUSTRIAL Y EN LABORATORIOS</t>
  </si>
  <si>
    <t>03 * FABRICACION DE APARATOS DE FILTRACION Y DEPURACION PARA LIQUIDOS Y GASES</t>
  </si>
  <si>
    <t>REGIMEN UNICO SIMPLIFICADO</t>
  </si>
  <si>
    <t xml:space="preserve"> - Pág. 3 -</t>
  </si>
  <si>
    <t>02 * FABRICACION DE ARTICULOS DE TALABARTERIA Y GUARNICIONERIA</t>
  </si>
  <si>
    <t>B. Ingreso de Información</t>
  </si>
  <si>
    <t>A.</t>
  </si>
  <si>
    <t>04 * FABRICACION DE CUERDAS</t>
  </si>
  <si>
    <t>05 * FABRICACION DE CUERDAS CON ASAS METALICAS</t>
  </si>
  <si>
    <t>09 * FABRICACION DE PORTICOS DE MADERA</t>
  </si>
  <si>
    <t>10 * FABRICACION DE PUERTAS DE MADERA</t>
  </si>
  <si>
    <t>11 * FABRICACION DE TABLEROS DE MADERA CIRCULAR</t>
  </si>
  <si>
    <t>12 * FABRICACION DE VENTANAS DE MADERA</t>
  </si>
  <si>
    <t>06 * REPRODUCCION DE PROGRAMAS COMERCIALES DE COMPUTADORA</t>
  </si>
  <si>
    <t>07 * VIDEO CINTAS</t>
  </si>
  <si>
    <t>2310</t>
  </si>
  <si>
    <t>2310 * FABRICACION DE PRODUCTOS DE HORNOS DE COQUE</t>
  </si>
  <si>
    <t>00 * FABRICACION DE PRODUCTOS DE HORNOS DE COQUE</t>
  </si>
  <si>
    <t>01 * AGLOMERACION DE COQUE</t>
  </si>
  <si>
    <t>02 * PRODUCCION DE COQUE O SEMICOQUE A PARTIR DE CARBON DE PIEDRA Y LIGNITO Y PARA PRODUCIR CARBON DE RETORTA Y PRODUCTOS RES</t>
  </si>
  <si>
    <t>2320</t>
  </si>
  <si>
    <t>2320 * FABRICACION DE PRODUCTOS DE LA REFINACION DEL PETROLEO</t>
  </si>
  <si>
    <t>00 * FABRICACION DE PRODUCTOS DE LA REFINACION DEL PETROLEO</t>
  </si>
  <si>
    <t>03 * FABRICACION DE ARTICULOS DE CUERO REVESTIDOS CON FIBRAS TEXTILES, VULCANIZADOS Y CARTON</t>
  </si>
  <si>
    <t>06 * FABRICACION DE CEMENTO HIPERSULFATADO</t>
  </si>
  <si>
    <t>19 * FABRICACION DE RECEPTORES DE RADIOTELEFONIA</t>
  </si>
  <si>
    <t>20 * FABRICACION DE RECEPTORES DE TELEVISION Y PROYECTORES DE VIDEO</t>
  </si>
  <si>
    <t>21 * FABRICACION DE REFLECTORES DE ANTENA</t>
  </si>
  <si>
    <t>31 * REPARACIONES DE MAQUINAS HERRAMIENTA</t>
  </si>
  <si>
    <t>2923</t>
  </si>
  <si>
    <t>05 * FABRICACION DE PISOS DE PARQUET</t>
  </si>
  <si>
    <t>06 * FABRICACION DE TRAVIESAS DE MADERA (DURMIENTES) PARA VIAS FERREAS</t>
  </si>
  <si>
    <t>08 * FABRICACION DE BALANZAS DE PRECISION</t>
  </si>
  <si>
    <t>09 * FABRICACION DE BANCOS DE PRUEBA</t>
  </si>
  <si>
    <t>10 * FABRICACION DE BAROMETROS</t>
  </si>
  <si>
    <t>02 * FABRICACION DE CONVERTIDORES</t>
  </si>
  <si>
    <t>03 * FABRICACION DE LINGOTERAS</t>
  </si>
  <si>
    <t>04 * FABRICACION DE MAQUINAS FUNDIDORAS DE METAL</t>
  </si>
  <si>
    <t>05 * FABRICACION DE MAQUINAS LAMINADORAS DE METAL</t>
  </si>
  <si>
    <t>06 * REPARACIONES DE MAQUINARIA METALURGICA</t>
  </si>
  <si>
    <t>2924</t>
  </si>
  <si>
    <t>2924 * FABRICACION DE MAQUINARIA PARA LA EXPLOTACION DE MINAS Y CANTERAS Y PARA OBRAS DE CONSTRUCCION</t>
  </si>
  <si>
    <t>CAP.2 : TIEMPO TRABAJADO</t>
  </si>
  <si>
    <t>2915 * FABRICACION DE EQUIPO DE ELEVACION Y MANIPULACION</t>
  </si>
  <si>
    <t>00 * FABRICACION DE EQUIPO DE ELEVACION Y MANIPULACION</t>
  </si>
  <si>
    <t>03 * ELABORACION DE VINOS ESPUMANTES (CHAMPAGNE) Y ADEREZADOS CON UVAS NO PRODUCIDAS POR LA MISMA UNIDAD</t>
  </si>
  <si>
    <t>registrado ningún error al ingresar información.</t>
  </si>
  <si>
    <t>06 * FABRICACION DE BANDAS DE RODADURA INTERCAMBIABLES Y FAJAS DE PROTECCION DE LA CAMARA</t>
  </si>
  <si>
    <t>07 * FABRICACION DE CAMARAS</t>
  </si>
  <si>
    <t>08 * FABRICACION DE TIRAS DE REMIENDO PARA RENCAUCHAR CUBIERTAS</t>
  </si>
  <si>
    <t>01 * ELABORACION DE PRODUCTOS DE PANADERIA COMO: PAN, BOLLOS FRESCOS, TORTAS, PASTEL DE FRUTA, BIZCOCHOS Y OTROS PRODUCTOS SECOS DE PANADERIA</t>
  </si>
  <si>
    <t>CAP.  4</t>
  </si>
  <si>
    <t>NO TRATE DE INGRESAR INFORMACIÓN DIRECTAMENTE EN EL DISQUETE, HAGALO EN SU PC EN LA CARPETA QUE HA ELEGIDO PARA TRABAJAR.</t>
  </si>
  <si>
    <t>03 * FABRICACION DE CUEROS APERGAMINADOS</t>
  </si>
  <si>
    <t>04 * FABRICACION DE CUEROS GAMUZADOS</t>
  </si>
  <si>
    <t>05 * FABRICACION DE CUEROS METALIZADOS</t>
  </si>
  <si>
    <t>16 * FABRICACION DE EQUIPO MECANICO PARA TRANSMISION DE FUERZA MOTRIZ</t>
  </si>
  <si>
    <t>17 * FABRICACION DE MANIVELAS</t>
  </si>
  <si>
    <t>20 * FABRICACION DE MICROSCOPIOS PARA MICROFOTOGRAFIA Y MICROPROYECCION</t>
  </si>
  <si>
    <t>21 * FABRICACION DE MIRAS TELESCOPICAS</t>
  </si>
  <si>
    <t>22 * FABRICACION DE MIRILLAS DE PUERTA</t>
  </si>
  <si>
    <t>23 * FABRICACION DE MONTURAS DE ANTEOJOS Y MONTURAS CON LENTES</t>
  </si>
  <si>
    <t>24 * FABRICACION DE PRISMAS Y LENTES</t>
  </si>
  <si>
    <t>25 * FABRICACION DE PROYECTORES</t>
  </si>
  <si>
    <t>24 * SOCIEDAD CONYUGAL</t>
  </si>
  <si>
    <t>39</t>
  </si>
  <si>
    <t>40</t>
  </si>
  <si>
    <t>Clave</t>
  </si>
  <si>
    <t>01</t>
  </si>
  <si>
    <t>02</t>
  </si>
  <si>
    <t>03</t>
  </si>
  <si>
    <t>04</t>
  </si>
  <si>
    <t>05</t>
  </si>
  <si>
    <t>06</t>
  </si>
  <si>
    <t>07</t>
  </si>
  <si>
    <t>08</t>
  </si>
  <si>
    <t>09</t>
  </si>
  <si>
    <t>10</t>
  </si>
  <si>
    <t>11</t>
  </si>
  <si>
    <t>12</t>
  </si>
  <si>
    <t>13</t>
  </si>
  <si>
    <t>14</t>
  </si>
  <si>
    <t>15</t>
  </si>
  <si>
    <t>16</t>
  </si>
  <si>
    <t>17</t>
  </si>
  <si>
    <t>18</t>
  </si>
  <si>
    <t>19</t>
  </si>
  <si>
    <t>06 * SOC.COMERCIAL DE RESP. LTDA. (S.C.R.L.)</t>
  </si>
  <si>
    <t>26 * FABRICACION DE OTROS ARTICULOS</t>
  </si>
  <si>
    <t>27 * FABRICACION DE TIZAS</t>
  </si>
  <si>
    <t>28 * REPARACION DE ESTATUAS E IMAGENES</t>
  </si>
  <si>
    <t>2696</t>
  </si>
  <si>
    <t>NUEVE DE JULIO</t>
  </si>
  <si>
    <t>ORCOTUNA</t>
  </si>
  <si>
    <t>HUACASCHUQUE</t>
  </si>
  <si>
    <t>HUANDOVAL</t>
  </si>
  <si>
    <t>LACABAMBA</t>
  </si>
  <si>
    <t>LLAPO</t>
  </si>
  <si>
    <t>TAUCA</t>
  </si>
  <si>
    <t>POMABAMBA</t>
  </si>
  <si>
    <t>HUAYLLAN</t>
  </si>
  <si>
    <t>PAROBAMBA</t>
  </si>
  <si>
    <t>QUINUABAMBA</t>
  </si>
  <si>
    <t>RECUAY</t>
  </si>
  <si>
    <t>COCHARCAS</t>
  </si>
  <si>
    <t>HUACCANA</t>
  </si>
  <si>
    <t>OCOBAMBA</t>
  </si>
  <si>
    <t>ONGOY</t>
  </si>
  <si>
    <t>URANMARCA</t>
  </si>
  <si>
    <t>YUNGAR</t>
  </si>
  <si>
    <t>SAN LUIS</t>
  </si>
  <si>
    <t>YAUYA</t>
  </si>
  <si>
    <t>14 * FABRICACION DE GONDOLAS</t>
  </si>
  <si>
    <t>15 * FABRICACION DE HELICES</t>
  </si>
  <si>
    <t>16 * FABRICACION DE MOTORES DE COHETES</t>
  </si>
  <si>
    <t>23 * FABRICACION DE MAQUINAS PARA MONTAR LAMPARAS</t>
  </si>
  <si>
    <r>
      <t>Recuadro: Fax.-</t>
    </r>
    <r>
      <rPr>
        <sz val="10"/>
        <rFont val="Arial"/>
        <family val="2"/>
      </rPr>
      <t>Tenga en cuenta que en Lima el número tiene 7 dígitos, para el resto de provincias el número</t>
    </r>
  </si>
  <si>
    <t>32 * FABRICACION DE MAQUINAS PARA APRESTAR, ACABAR, REVESTIR HILADOS TEXTILES</t>
  </si>
  <si>
    <t>04 * PRODUCCION DE MEZCLA DE CAUCHO NATURAL O SIMILAR (POR EJEMPLO, BALATA)</t>
  </si>
  <si>
    <t>2421</t>
  </si>
  <si>
    <t>2421 * FABRICACION DE PLAGUlCIDAS Y OTROS PRODUCTOS QUIMICOS DE USO AGROPECUARIO</t>
  </si>
  <si>
    <t>00 * FABRICACION DE PLAGUlCIDAS Y OTROS PRODUCTOS QUIMICOS DE USO AGROPECUARIO</t>
  </si>
  <si>
    <t>RANRACANCHA</t>
  </si>
  <si>
    <t>GRAU</t>
  </si>
  <si>
    <t>CHUQUIBAMBILLA</t>
  </si>
  <si>
    <t>CURPAHUASI</t>
  </si>
  <si>
    <t>GAMARRA</t>
  </si>
  <si>
    <t>QUINUA</t>
  </si>
  <si>
    <t>SAN JOSE DE TICLLAS</t>
  </si>
  <si>
    <t>SAN JUAN BAUTISTA</t>
  </si>
  <si>
    <t>SANTIAGO DE PISCHA</t>
  </si>
  <si>
    <t>SOCOS</t>
  </si>
  <si>
    <t>TAMBILLO</t>
  </si>
  <si>
    <t>VINCHOS</t>
  </si>
  <si>
    <t>CANGALLO</t>
  </si>
  <si>
    <t>CHUSCHI</t>
  </si>
  <si>
    <t>LOS MOROCHUCOS</t>
  </si>
  <si>
    <t>MARIA PARADO DE BELLIDO</t>
  </si>
  <si>
    <t>PARAS</t>
  </si>
  <si>
    <t>TOTOS</t>
  </si>
  <si>
    <t>HUANCA SANCOS</t>
  </si>
  <si>
    <t>SANCOS</t>
  </si>
  <si>
    <t>CARAPO</t>
  </si>
  <si>
    <t>SACSAMARCA</t>
  </si>
  <si>
    <t>SANTIAGO DE LUCANAMARCA</t>
  </si>
  <si>
    <t>HUANTA</t>
  </si>
  <si>
    <t>AYAHUANCO</t>
  </si>
  <si>
    <t>HUACHO</t>
  </si>
  <si>
    <t>AMBAR</t>
  </si>
  <si>
    <t>CONSULTAS SOBRE EL FORMULARIO</t>
  </si>
  <si>
    <t>INDEPENDENCIA</t>
  </si>
  <si>
    <t>JANGAS</t>
  </si>
  <si>
    <t>LA LIBERTAD</t>
  </si>
  <si>
    <t>PAMPAS</t>
  </si>
  <si>
    <t>PARIACOTO</t>
  </si>
  <si>
    <t>PIRA</t>
  </si>
  <si>
    <t>TARICA</t>
  </si>
  <si>
    <t>AIJA</t>
  </si>
  <si>
    <t>CORIS</t>
  </si>
  <si>
    <t>HUACLLAN</t>
  </si>
  <si>
    <r>
      <t xml:space="preserve">a) </t>
    </r>
    <r>
      <rPr>
        <sz val="10"/>
        <rFont val="Arial"/>
        <family val="2"/>
      </rPr>
      <t>Hacer "Click" en el botón ubicado en el lado derecho del recuadro y observar el despliegue de las organizaciones jurídicas.</t>
    </r>
  </si>
  <si>
    <t>2422</t>
  </si>
  <si>
    <t>2422 * FABRICACION DE PINTURAS, BARNICES Y PRODUCTOS DE REVESTIMIENTO SIMILARES, TINTAS DE IMPRENTA Y MASILLAS</t>
  </si>
  <si>
    <t>17 * FABRICACION DE XILOFONOS</t>
  </si>
  <si>
    <t>10 * FABRICACION DE MAQUINARIA DE ACCION CONTINUA E INTERMITENTE</t>
  </si>
  <si>
    <t>11 * FABRICACION DE MAQUINARIA SENCILLA Y COMPLEJA</t>
  </si>
  <si>
    <t>20 * FABRICACION DE PERSIANAS</t>
  </si>
  <si>
    <t>01 * CORTADO O PEINADO DE FIBRAS O DE YUTE U OTRAS FIBRAS VEGETALES O ANIMALES COMO DE TODAS LOS TIPOS DE FIBRAS ARTIFICIALES</t>
  </si>
  <si>
    <t>02 * DEVANADO Y LAVADO DE LA FIBRA</t>
  </si>
  <si>
    <t>03 * SUB-PRODUCTOS Y DESPERDICIOS COMO LA GRASA DE LA LANA</t>
  </si>
  <si>
    <t>04 * FABRICACION DE FELPILLA</t>
  </si>
  <si>
    <t>28 * FABRICACION DE MAQUINAS Y APARATOS PARA DETERMINAR LAS PROPIEDADES FISICAS DE MATERIALES</t>
  </si>
  <si>
    <t>18 * FABRICACION DE MAQUINAS PARA LIMPIAR Y SECAR BOTELLAS Y OTROS RECIPIENTES, PLANTAS DESTILADORES Y RECTIFICADORAS</t>
  </si>
  <si>
    <t>19 * FABRICACION DE MAQUINAS PARA LICUAR AIRE Y GAS</t>
  </si>
  <si>
    <t>20 * FABRICACION DE GASOGENOS DE GAS POBRE O GAS DE AGUA Y GASOGENOS DE ACETILENO</t>
  </si>
  <si>
    <t>21 * FABRICACION DE MAQUINAS PARA ETIQUETAR RECIPIENTES</t>
  </si>
  <si>
    <t>12 * FABRICACION DE EJES</t>
  </si>
  <si>
    <t>SANTA RITA DE SIGUAS</t>
  </si>
  <si>
    <t>09 * FABRICACION DE LANZADORES CARGAS DE PROFUNDIDAD</t>
  </si>
  <si>
    <t>10 * FABRICACION DE CARROS BLINDADOS</t>
  </si>
  <si>
    <t>CAPITULO 2:</t>
  </si>
  <si>
    <t>1712</t>
  </si>
  <si>
    <t>1712 * ACABADO DE PRODUCTOS TEXTILES</t>
  </si>
  <si>
    <t>00 * ACABADO DE PRODUCTOS TEXTILES</t>
  </si>
  <si>
    <t>01 * BLANQUEO DE PRODUCTOS TEXTILES</t>
  </si>
  <si>
    <t>02 * CALANDRO DE PRODUCTOS TEXTILES</t>
  </si>
  <si>
    <t>03 * ENCOGIMIENTO DE PRODUCTOS TEXTILES</t>
  </si>
  <si>
    <t>28 * FABRICACION DE PLANCHAS ELECTRICAS</t>
  </si>
  <si>
    <t>29 * FABRICACION DE REFRIGERADORAS Y CONGELADORAS</t>
  </si>
  <si>
    <t>30 * FABRICACION DE RESISTORES PARA CALEFACCION ELECTRICA</t>
  </si>
  <si>
    <t>31 * FABRICACION DE RIZADORES ELECTRICOS DE CABELLO</t>
  </si>
  <si>
    <t>22 * FABRICACION DE TOPES Y PIEZAS DE TOPES</t>
  </si>
  <si>
    <t>04 * FABRICACION DE CEMENTO ALUMINOSO</t>
  </si>
  <si>
    <t>25 * FABRICACION DE OTROS ARTICULOS DE PAPEL</t>
  </si>
  <si>
    <t>26 * CORTE DE PAPEL Y CARTON</t>
  </si>
  <si>
    <t>2211</t>
  </si>
  <si>
    <t>2211 * EDICION DE LIBROS, FOLLETOS, PARTITURAS Y OTRAS PUBLICACIONES</t>
  </si>
  <si>
    <t>Oficina de Tecnología  de la Información y Estadística</t>
  </si>
  <si>
    <t>24 * FABRICACION DE FAROS (EXCEPTO FAROS REFLECTORES)</t>
  </si>
  <si>
    <t>02 * FABRICACION DE ALMOHADILLAS Y RODILLOS PARA PINTURA</t>
  </si>
  <si>
    <t>00 * FABRICACION DE CEMENTO, CAL Y YESO</t>
  </si>
  <si>
    <t>01 * FABRICACION DE CAL APAGADA</t>
  </si>
  <si>
    <t>REG.UNIFICADO</t>
  </si>
  <si>
    <t>REG.IND.NUEVO</t>
  </si>
  <si>
    <t>REG.IND.ANTERIOR</t>
  </si>
  <si>
    <t>4.-</t>
  </si>
  <si>
    <t>PEDRO VILCA APAZA</t>
  </si>
  <si>
    <t>QUILCAPUNCU</t>
  </si>
  <si>
    <t>SINA</t>
  </si>
  <si>
    <t>SAN ROMAN</t>
  </si>
  <si>
    <t>JULIACA</t>
  </si>
  <si>
    <t>SAN SILVESTRE DE COCHAN</t>
  </si>
  <si>
    <t>TACABAMBA</t>
  </si>
  <si>
    <t>TOCMOCHE</t>
  </si>
  <si>
    <t>Telf: 056 – 532009</t>
  </si>
  <si>
    <t>Produce_pisco@produce.gob.pe</t>
  </si>
  <si>
    <t>Minpes_tumbes@produce.gob.pe</t>
  </si>
  <si>
    <t xml:space="preserve">Jr. Cusco Nº 301 - Huancayo </t>
  </si>
  <si>
    <t>Av.  San Martín Nº 640  2do. Piso – Pucallpa</t>
  </si>
  <si>
    <t>Telf: 064 - 232361 / 064 – 231856</t>
  </si>
  <si>
    <t>Telf: 061 – 575038</t>
  </si>
  <si>
    <t>Produce_junin@produce.gob.pe</t>
  </si>
  <si>
    <t>regionucayali@produce.gob.pe</t>
  </si>
  <si>
    <t>Av. La Rivera Nº 370 – Huanchaco - Trujillo</t>
  </si>
  <si>
    <t>Minpes_Trujillo@produce.gob.pe</t>
  </si>
  <si>
    <t>10 * FABRICACION DE MAQUINARIA PARA PRODUCIR AZUCAR</t>
  </si>
  <si>
    <t>11 * FABRICACION DE MAQUINARIA PARA LA ELABORACION DE CERVEZA</t>
  </si>
  <si>
    <t>12 * FABRICACION DE MAQUINARIA PARA LA ELABORACION DE CACAO, CHOCOLATE, CONFITERIA.</t>
  </si>
  <si>
    <t>10 * FABRICACION DE ROPA DE ETIQUETA</t>
  </si>
  <si>
    <t>COJATA</t>
  </si>
  <si>
    <t>HUATASANI</t>
  </si>
  <si>
    <t>CHACHAPOYAS</t>
  </si>
  <si>
    <t>07 * FABRICACION DE MONSUEROS</t>
  </si>
  <si>
    <t>TAHUAMANU</t>
  </si>
  <si>
    <t>IBERIA</t>
  </si>
  <si>
    <t>MOQUEGUA</t>
  </si>
  <si>
    <t>MARISCAL NIETO</t>
  </si>
  <si>
    <t>01 * ELABORACION DE ALMIDONES DE MAIZ, ARROZ, DE OTROS GRANOS DE PAPA, YUCA (MANDIOCA) Y OTRAS MATERIAS VEGETALES</t>
  </si>
  <si>
    <t>02 * ELABORACION DE GLUCOSA, JARABE DE GLUCOSA Y MALTOSA</t>
  </si>
  <si>
    <t>03 * ELABORACION DE GLUTEN</t>
  </si>
  <si>
    <t>04 * ELABORACION DE TAPIOCA Y SUCEDANEOS DE LA TAPIOCA PREPARADOS A PARTIR DEL ALMIDON</t>
  </si>
  <si>
    <t>05 * MOLIENDA DE MAIZ HUMEDO</t>
  </si>
  <si>
    <t>06 * PRODUCCION DE ACEITES DE MAIZ</t>
  </si>
  <si>
    <t>UTCUBAMBA</t>
  </si>
  <si>
    <t>BAGUA GRANDE</t>
  </si>
  <si>
    <t>CAJARURO</t>
  </si>
  <si>
    <t>CURGOS</t>
  </si>
  <si>
    <t>MARCABAL</t>
  </si>
  <si>
    <t>SANAGORAN</t>
  </si>
  <si>
    <t>SARIN</t>
  </si>
  <si>
    <t>05 * FABRICACION DE CATALIZADORES</t>
  </si>
  <si>
    <t>06 * FABRICACION DE COLAS DE ORIGEN ANIMAL Y OTROS ADHESIVOS PREPARADOS A BASE DE CAUCHO Y PLASTICO</t>
  </si>
  <si>
    <t>07 * FABRICACION DE EXPLOSIVOS</t>
  </si>
  <si>
    <t>33 * FABRICACION DE MAQUINAS PARA EXTRUIR FIBRAS</t>
  </si>
  <si>
    <t>16 * FABRICACION DE REJILLAS DE ALAMBRE DE PLATINO</t>
  </si>
  <si>
    <t>13 * FABRICACION DE RECTIFICADORES DE METAL O DE CRISTAL</t>
  </si>
  <si>
    <t>14 * FABRICACION DE RECTIFICADORES SINCRONICOS DE CONTACTO MECANICO</t>
  </si>
  <si>
    <t>15 * FABRICACION DE TRANSFORMADORES ELECTRICOS DE TODO TAMAÑO Y TIPO</t>
  </si>
  <si>
    <t>3120</t>
  </si>
  <si>
    <t>00 * INDUSTRIAS BASICAS DE HIERRO Y DE ACERO</t>
  </si>
  <si>
    <t>01 * FABRICACION DE ALAMBRE DE ACERO O HIERRO</t>
  </si>
  <si>
    <t>02 * FABRICACION DE ANGULOS DE ACERO O HIERRO</t>
  </si>
  <si>
    <t>03 * FABRICACION DE BARRAS Y VARILLAS DE ACERO</t>
  </si>
  <si>
    <t>04 * FABRICACION DE HOJAS DE ACERO</t>
  </si>
  <si>
    <t>20 * FABRICACION DE PREPARADOS PARA ACELERAR LA VULCANIZACION DEL CAUCHO</t>
  </si>
  <si>
    <t xml:space="preserve">   podrá adjuntar hojas adicionales en EXCEL a los archivos  TXT a entregar al Ministerio.</t>
  </si>
  <si>
    <t xml:space="preserve"> MINISTERIO DE LA PRODUCCIÓN - PRODUCE</t>
  </si>
  <si>
    <t>02 * FABRICACION DE CAL HIDRAULICA</t>
  </si>
  <si>
    <t>03 * FABRICACION DE CAL VIVA</t>
  </si>
  <si>
    <t>CANTA</t>
  </si>
  <si>
    <t>ARAHUAY</t>
  </si>
  <si>
    <t>HUAMANTANGA</t>
  </si>
  <si>
    <t>HUAROS</t>
  </si>
  <si>
    <t>LACHAQUI</t>
  </si>
  <si>
    <t>PUQUIO</t>
  </si>
  <si>
    <t>AUCARA</t>
  </si>
  <si>
    <t>CARMEN SALCEDO</t>
  </si>
  <si>
    <t>TINCO</t>
  </si>
  <si>
    <t>MARISCAL LUZURIAGA</t>
  </si>
  <si>
    <t>PUNTA DE BOMBON</t>
  </si>
  <si>
    <t>LA UNION</t>
  </si>
  <si>
    <t>COTAHUASI</t>
  </si>
  <si>
    <t>ALCA</t>
  </si>
  <si>
    <t>05 * FABRICACION DE CABLES DE FIBRAS OPTICAS NO RECUBIERTAS</t>
  </si>
  <si>
    <t>06 * FABRICACION DE CAMARAS CINEMATOGRAFICAS</t>
  </si>
  <si>
    <t>07 * FABRICACION DE CAMARAS FOTOGRAFICAS</t>
  </si>
  <si>
    <t>10 * FABRICACION DE MARCOS, POSTIGOS</t>
  </si>
  <si>
    <t>11 * FABRICACION DE MASTILES</t>
  </si>
  <si>
    <t>12 * FABRICACION DE PORTALES Y CARPINTERIA METALICA</t>
  </si>
  <si>
    <t>13 * FABRICACION DE PUENTES</t>
  </si>
  <si>
    <t>SARTIMBAMBA</t>
  </si>
  <si>
    <t>PARAMONGA</t>
  </si>
  <si>
    <t>PATIVILCA</t>
  </si>
  <si>
    <t>SUPE</t>
  </si>
  <si>
    <t>SUPE PUERTO</t>
  </si>
  <si>
    <t>CAJATAMBO</t>
  </si>
  <si>
    <t>COPA</t>
  </si>
  <si>
    <t>GORGOR</t>
  </si>
  <si>
    <t>HUANCAPON</t>
  </si>
  <si>
    <t>MANAS</t>
  </si>
  <si>
    <t>20 * FABRICACION DE NIVELADORAS</t>
  </si>
  <si>
    <t>21 * FABRICACION DE PALAS ANGULARES</t>
  </si>
  <si>
    <t>17 * FABRICACION DE MAQUINAS PARA ENCOLAR</t>
  </si>
  <si>
    <t>Calle Jacinto Ibañez Nº 450, Parque Industrial - Arequipa</t>
  </si>
  <si>
    <t>Telf: 054 – 235166 / 054 – 241947</t>
  </si>
  <si>
    <t>Minpes_arequipa@produce.gob.pe</t>
  </si>
  <si>
    <t>Ingº GUSTAVO ADOLFO HUAMAN CORSANO</t>
  </si>
  <si>
    <t>Pasaje Bolívar Nº 150 - Ayacucho</t>
  </si>
  <si>
    <t>Telf: 066 – 816633 /066 – 813911</t>
  </si>
  <si>
    <t>09 * FABRICACION DE JARRONES</t>
  </si>
  <si>
    <t>28 * FABRICACION DE INDICADORES EXTERNOS PARA TAXIS VEHICULOS DE LA POLICIA, AMBULANCIAS ETC.</t>
  </si>
  <si>
    <t>29 * FABRICACION DE JUEGOS DE CABLES DE ENCENDIDO PARA MOTORES</t>
  </si>
  <si>
    <t>10 * ARTICULOS Y EQUIPO PARA JUEGOS AL AIRE LIBRE Y BAJO TECHO</t>
  </si>
  <si>
    <t>11 * ARTICULOS Y EQUIPO PARA PESCA DEPORTIVA</t>
  </si>
  <si>
    <t>12 * ARTICULOS Y EQUIPO PARA PISCINAS DE NATACION</t>
  </si>
  <si>
    <t>13 * ARTICULOS Y EQUIPO PARA PISTAS DE REMO</t>
  </si>
  <si>
    <t>BAMBAS</t>
  </si>
  <si>
    <t>CUSCA</t>
  </si>
  <si>
    <t>LA PAMPA</t>
  </si>
  <si>
    <t>YANAC</t>
  </si>
  <si>
    <t>YUPAN</t>
  </si>
  <si>
    <t>HUARI</t>
  </si>
  <si>
    <t>YANAHUANCA</t>
  </si>
  <si>
    <t>01 * ELABORACION DE CORCHO NATURAL PARA OBTENER CORCHO DESCORTEZADO Y TOSCAMENTE ESCUADRADO</t>
  </si>
  <si>
    <t>23 * FABRICACION DE POSTIGOS</t>
  </si>
  <si>
    <t>24 * FABRICACION DE PUERTAS</t>
  </si>
  <si>
    <t>OTUZCO</t>
  </si>
  <si>
    <t>PISCOBAMBA</t>
  </si>
  <si>
    <t>CASCA</t>
  </si>
  <si>
    <t>TIGRE</t>
  </si>
  <si>
    <t>TROMPETEROS</t>
  </si>
  <si>
    <t>SORAYA</t>
  </si>
  <si>
    <t>TAPAIRIHUA</t>
  </si>
  <si>
    <t>TINTAY</t>
  </si>
  <si>
    <t>TORAYA</t>
  </si>
  <si>
    <t>YANACA</t>
  </si>
  <si>
    <t>COTABAMBAS</t>
  </si>
  <si>
    <t>TAMBOBAMBA</t>
  </si>
  <si>
    <t>COYLLURQUI</t>
  </si>
  <si>
    <t>HAQUIRA</t>
  </si>
  <si>
    <t>MARA</t>
  </si>
  <si>
    <t>CHALLHUAHUACHO</t>
  </si>
  <si>
    <t>CHINCHEROS</t>
  </si>
  <si>
    <t>NOMBRE</t>
  </si>
  <si>
    <t>TOMEPAMPA</t>
  </si>
  <si>
    <t>TORO</t>
  </si>
  <si>
    <t>ANDARAY</t>
  </si>
  <si>
    <t>CAYARANI</t>
  </si>
  <si>
    <t>CHICHAS</t>
  </si>
  <si>
    <t>IRAY</t>
  </si>
  <si>
    <t>RIO GRANDE</t>
  </si>
  <si>
    <t>03 * FABRICACION DE ARTICULOS DE ASBESTO/CEMENTO</t>
  </si>
  <si>
    <t>04 * FABRICACION DE BAJO RELIEVES</t>
  </si>
  <si>
    <t>00 * FABRICACION DE OTROS PRODUCTOS QUIMICOS N.C.P.</t>
  </si>
  <si>
    <t>01 * FABRICACION DE ACEITES ESENCIALES</t>
  </si>
  <si>
    <t>02 * FABRICACION DE ADITIVOS PARA ACEITES LUBRICANTES</t>
  </si>
  <si>
    <t>03 * FABRICACION DE BENGALAS DE SEÑALES</t>
  </si>
  <si>
    <t>04 * FABRICACION DE CARBON ACTIVADO</t>
  </si>
  <si>
    <t xml:space="preserve">» Leer las indicaciones o aclaraciones que aparecen en algunas de las celdas, al ubicar el cursor  </t>
  </si>
  <si>
    <t>sobre la pestaña roja del extremo superior derecho de la celda.</t>
  </si>
  <si>
    <t>18 * FABRICACION DE MAQUINAS DE MICROFILMES Y MICROFECHAS</t>
  </si>
  <si>
    <t>19 * FABRICACION DE MICROSCOPIOS OPTICOS COMPUESTOS</t>
  </si>
  <si>
    <t>Oficina General de Tecnología de la Información y Estadística</t>
  </si>
  <si>
    <t>03 * FABRICACION DE CUARZO FUNDIDO</t>
  </si>
  <si>
    <t>10 * FABRICACION DE ORGANOS DE TUBO Y TECLADO</t>
  </si>
  <si>
    <t>11 * FABRICACION DE ORGANOS DE VAPOR</t>
  </si>
  <si>
    <t>10 * FABRICACION DE VAJILLA Y OTROS ARTICULOS CON FINES DOMESTICOS Y ASEO - CERAMICA</t>
  </si>
  <si>
    <t>2692</t>
  </si>
  <si>
    <t>2813 * FABRICACION DE GENERADORES DE VAPOR, EXCEPTO CALDERAS DE AGUA CALIENTE PARA CALEFACCION CENTRAL</t>
  </si>
  <si>
    <t>01 * FABRICACION DE ESTRUCTURAS METALICAS COMPUESTAS DE PIEZAS DE FABRICACION PROPIA</t>
  </si>
  <si>
    <t>02 * FABRICACION DE ARCOS, CABIOS (PRODUCTOS METALICOS PARA USO ESTRUCTURAL)</t>
  </si>
  <si>
    <t>03 * FABRICACION DE ARMADURAS</t>
  </si>
  <si>
    <t>04 * FABRICACION DE CASTILLETES  PARA BOCAS DE POZOS</t>
  </si>
  <si>
    <t>03 * FABRICACION DE BASTIDORES DE BAGONES Y LOCOMOTORAS</t>
  </si>
  <si>
    <t>04 * FABRICACION DE BOGIES</t>
  </si>
  <si>
    <t>05 * FABRICACION DE CARROCERIAS (PARA LOCOMOTORAS Y MATERIAL RODANTE PARA FERROCARRILES Y TRANVIAS)</t>
  </si>
  <si>
    <t>06 * FABRICACION DE EJES Y RUEDAS</t>
  </si>
  <si>
    <t>07 * FABRICACION DE EQUIPO ELECTROMECANICO DE SEÑALIZACION O REGULACION DE TRAFICO</t>
  </si>
  <si>
    <t>08 * FABRICACION DE EQUIPO MECANICO DE SEÑALIZACION O REGULACION DE TRAFICO</t>
  </si>
  <si>
    <t>09 * FABRICACION DE FRENOS Y PIEZAS DE FRENOS</t>
  </si>
  <si>
    <t>10 * FABRICACION DE FURGONES</t>
  </si>
  <si>
    <t>11 * FABRICACION DE FURGONES DE CARGA</t>
  </si>
  <si>
    <r>
      <t>Decreto Legislativo Nro. 604 : Ley de Organización y Funciones del INEI</t>
    </r>
    <r>
      <rPr>
        <sz val="9"/>
        <rFont val="Arial"/>
        <family val="2"/>
      </rPr>
      <t xml:space="preserve">
Art. 17º Las Oficinas Sectoriales de Estadística e Informática estan encargadas de la producción y del Servicio Estadístico e Informático en su Sector.</t>
    </r>
  </si>
  <si>
    <t>OBLIGATORIEDAD</t>
  </si>
  <si>
    <t>Art. 81°.</t>
  </si>
  <si>
    <t>01 * FABRICACION DE ACCESORIOS PARA ALUMBRADO</t>
  </si>
  <si>
    <t>02 * FABRICACION DE ACCESORIOS PARA MUEBLES</t>
  </si>
  <si>
    <t>02 * FABRICACION DE EQUIPO DE ILUMINACION</t>
  </si>
  <si>
    <t>03 * FABRICACION DE LAMPARAS DE DESTELLO PARA FOTOGRAFIA</t>
  </si>
  <si>
    <t>04 * FABRICACION DE LAMPARAS DE CATODO CALIENTE</t>
  </si>
  <si>
    <t>38 * FABRICACION DE PORTICOS</t>
  </si>
  <si>
    <t>00 * FABRICACION DE LOCOMOTORAS Y DE MATERIAL RODANTE PARA FERROCARRILES Y TRANVIAS</t>
  </si>
  <si>
    <t>01 * FABRICACION DE AMORTIGUADORES (EXCEPTO MUELLES)</t>
  </si>
  <si>
    <t>02 * FABRICACION DE APARATOS AUTOMATICOS DE SEÑALES PARA NIEBLA</t>
  </si>
  <si>
    <t>10 * FABRICACION DE PAPEL, GUATA, FIELTRO Y OTROS MATERIALES IMPREGNADOS, REVESTIDOS O RECUBIERTOS CON JABON O DETERGENTE</t>
  </si>
  <si>
    <t>11 * FABRICACION DE PASTA Y POLVOS PARA FIJACION DE DENTADURAS POSTIZAS</t>
  </si>
  <si>
    <t>15 * FABRICACION DE MAQUINAS ESPARCIDORAS DE HORMIGON</t>
  </si>
  <si>
    <t>16 * FABRICACION DE MAQUINAS PARA HINCAR</t>
  </si>
  <si>
    <t>17 * FABRICACION DE MAQUINAS PARA ARRANCAR PILOTES</t>
  </si>
  <si>
    <t>SAN LUIS DE LUCMA</t>
  </si>
  <si>
    <t>SANTO DOMINGO DE LA CAPILLA</t>
  </si>
  <si>
    <t>SOCOTA</t>
  </si>
  <si>
    <t>TORIBIO CASANOVA</t>
  </si>
  <si>
    <t>HUALGAYOC</t>
  </si>
  <si>
    <t>BAMBAMARCA</t>
  </si>
  <si>
    <t>CHUGUR</t>
  </si>
  <si>
    <t>JAEN</t>
  </si>
  <si>
    <t>BELLAVISTA</t>
  </si>
  <si>
    <t>CHONTALI</t>
  </si>
  <si>
    <t>05 * FABRICACION DE AISLADORES ELECTRICOS (EXCEPTO LOS DE VIDRIO O CERAMICA)</t>
  </si>
  <si>
    <t>06 * FABRICACION DE ALARMAS DE INCENDIOS</t>
  </si>
  <si>
    <r>
      <t xml:space="preserve">v)  Ubicar el cursor sobre la carpeta donde va trabajar y hacer "Click" en la opción </t>
    </r>
    <r>
      <rPr>
        <b/>
        <sz val="8"/>
        <rFont val="Arial"/>
        <family val="2"/>
      </rPr>
      <t xml:space="preserve">Pegar </t>
    </r>
    <r>
      <rPr>
        <sz val="8"/>
        <rFont val="Arial"/>
        <family val="2"/>
      </rPr>
      <t xml:space="preserve">del explorador </t>
    </r>
  </si>
  <si>
    <t>13 * FABRICACION DE VIGAS</t>
  </si>
  <si>
    <t>COLASAY</t>
  </si>
  <si>
    <t>HUABAL</t>
  </si>
  <si>
    <t>06 * FABRICACION DE HERRAMIENTAS DE MANO CON MOTOR</t>
  </si>
  <si>
    <t>07 * FABRICACION DE LIMADORAS</t>
  </si>
  <si>
    <t>08 * FABRICACION DE MAQUINARIA PARA ESTAMPAR O PRENSAR.</t>
  </si>
  <si>
    <t>09 * FABRICACION DE MAQUINAS DE FORJAR</t>
  </si>
  <si>
    <t>10 * FABRICACION DE MAQUINAS ELECTRICAS O DE GAS PARA SOLDADURA AUTOGENA</t>
  </si>
  <si>
    <t>Telf: 074 – 201199 / 074 – 211720</t>
  </si>
  <si>
    <t>produce@regionlambayeque.gob.pe</t>
  </si>
  <si>
    <t xml:space="preserve">Telf: 065 – 223296 / 065 - 232202 </t>
  </si>
  <si>
    <t>Minpes_iquitos@produce.gob.pe</t>
  </si>
  <si>
    <t xml:space="preserve">Av. Ernesto Riveros Nº 781 – Puerto Maldonado  </t>
  </si>
  <si>
    <t>Telf: 082 – 571072</t>
  </si>
  <si>
    <t>YANQUE</t>
  </si>
  <si>
    <t>CONDESUYOS</t>
  </si>
  <si>
    <t>07 * FABRICACION DE ESQUELAS</t>
  </si>
  <si>
    <t>02 * FABRICACION DE CINTAS CRIBADORAS</t>
  </si>
  <si>
    <t>03 * FABRICACION DE CRIBADORAS</t>
  </si>
  <si>
    <t>04 * FABRICACION DE HORNOS NO ELECTRICOS DE PANADERIA</t>
  </si>
  <si>
    <t>Si la observación se refiere a un Capítulo o clave específica anote el detalle en el recuadro correspondiente, si la indicación es generíca anote en el campo Capítulo "00".</t>
  </si>
  <si>
    <t>CLAVE</t>
  </si>
  <si>
    <t>Capítulo</t>
  </si>
  <si>
    <t>Observaciones</t>
  </si>
  <si>
    <t>01 * FABRICACION DE MOTORES DE COMBUSTION INTERNA EXCEPTO PARA VEHICULOS AUTOMOTORES Y AERONAVES</t>
  </si>
  <si>
    <t>02 * FABRICACION DE TURBINAS DE GAS</t>
  </si>
  <si>
    <t>SILLAPATA</t>
  </si>
  <si>
    <t>YANAS</t>
  </si>
  <si>
    <t>HUACAYBAMBA</t>
  </si>
  <si>
    <t>CANCHABAMBA</t>
  </si>
  <si>
    <t>PINRA</t>
  </si>
  <si>
    <t>HUAMALIES</t>
  </si>
  <si>
    <t>LLATA</t>
  </si>
  <si>
    <t>ARANCAY</t>
  </si>
  <si>
    <t>CHAVIN DE PARIARCA</t>
  </si>
  <si>
    <t>JACAS GRANDE</t>
  </si>
  <si>
    <t>JIRCAN</t>
  </si>
  <si>
    <t>MONZON</t>
  </si>
  <si>
    <t>PUNCHAO</t>
  </si>
  <si>
    <t>SINGA</t>
  </si>
  <si>
    <t>TANTAMAYO</t>
  </si>
  <si>
    <t>13 * FABRICACION DE PREPARADOS DE BELLEZA Y DE MAQUILLAJE - PRODUCTOS DE TOCADOR</t>
  </si>
  <si>
    <t>14 * FABRICACION DE PREPARADOS ORGANICOS PARA LAVAR Y LIMPIAR - PRODUCTOS DE LIMPIEZA</t>
  </si>
  <si>
    <t>15 * FABRICACION DE PREPARADOS PARA ANTES DE AFEITARSE O DESPUES DE AFEITARSE</t>
  </si>
  <si>
    <t>16 * FABRICACION DE PREPARADOS PARA DEPILAR</t>
  </si>
  <si>
    <t>CARABAYA</t>
  </si>
  <si>
    <t>QUILMANA</t>
  </si>
  <si>
    <t>SANTA CRUZ DE FLORES</t>
  </si>
  <si>
    <t>HUARAL</t>
  </si>
  <si>
    <t>ATAVILLOS ALTO</t>
  </si>
  <si>
    <t>LAS AMAZONAS</t>
  </si>
  <si>
    <t>MAZAN</t>
  </si>
  <si>
    <t>NAPO</t>
  </si>
  <si>
    <t>PUNCHANA</t>
  </si>
  <si>
    <t>TORRES CAUSANA</t>
  </si>
  <si>
    <t>SAN PEDRO DE CHAULAN</t>
  </si>
  <si>
    <t>01 * FABRICACION DE ALTAVOCES</t>
  </si>
  <si>
    <t>02 * FABRICACION DE AMPLIFICADORES DE SONIDO</t>
  </si>
  <si>
    <t>03 * FABRICACION DE ANTENAS DE TODO TIPO</t>
  </si>
  <si>
    <t>04 * FABRICACION DE APARATOS DE GRABACION O DE REPRODUCCION DE SEÑALES DE VIDEO</t>
  </si>
  <si>
    <t>1711 * PREPARACION E HILATURA DE FIBRAS TEXTILES, TEJEDURA DE PRODUCTOS TEXTILES</t>
  </si>
  <si>
    <t>HUAQUIRCA</t>
  </si>
  <si>
    <t>00 * PREPARACION E HILATURA DE FIBRAS TEXTILES, TEJEDURA DE PRODUCTOS TEXTILES</t>
  </si>
  <si>
    <t>VENTA DE PRODUCTOS TERMINADOS</t>
  </si>
  <si>
    <t>VENTAS DE SUB-PRODUCTOS DESECHOS Y DESP.</t>
  </si>
  <si>
    <t>VENTA DE SERVICIOS</t>
  </si>
  <si>
    <t>03 * FABRICACION DE AEROPLANOS MOTORIZADOS O NO</t>
  </si>
  <si>
    <t>02 * FABRICACION DE COJINES PARA DESCARGA</t>
  </si>
  <si>
    <t>03 * FABRICACION DE CORDELES</t>
  </si>
  <si>
    <t>CURIBAYA</t>
  </si>
  <si>
    <t>HUANUARA</t>
  </si>
  <si>
    <t>QUILAHUANI</t>
  </si>
  <si>
    <t>HUAMACHUCO</t>
  </si>
  <si>
    <t>CHUGAY</t>
  </si>
  <si>
    <t>COCHORCO</t>
  </si>
  <si>
    <t>CAMANA</t>
  </si>
  <si>
    <t>JOSE MARIA QUIMPER</t>
  </si>
  <si>
    <t>MARIANO NICOLAS VALCARCEL</t>
  </si>
  <si>
    <t>MARISCAL CACERES</t>
  </si>
  <si>
    <t>NICOLAS DE PIEROLA</t>
  </si>
  <si>
    <t>QUILCA</t>
  </si>
  <si>
    <t>CURICACA</t>
  </si>
  <si>
    <t>EL MANTARO</t>
  </si>
  <si>
    <t>HUAMALI</t>
  </si>
  <si>
    <t>HUARIPAMPA</t>
  </si>
  <si>
    <t>HUERTAS</t>
  </si>
  <si>
    <t>JANJAILLO</t>
  </si>
  <si>
    <t>JULCAN</t>
  </si>
  <si>
    <t>LLOCLLAPAMPA</t>
  </si>
  <si>
    <t>MARCO</t>
  </si>
  <si>
    <t>MASMA</t>
  </si>
  <si>
    <t>MASMA CHICCHE</t>
  </si>
  <si>
    <t>MOLINOS</t>
  </si>
  <si>
    <t>MONOBAMBA</t>
  </si>
  <si>
    <t>MUQUI</t>
  </si>
  <si>
    <t>MUQUIYAUYO</t>
  </si>
  <si>
    <t>PACA</t>
  </si>
  <si>
    <t>PANCAN</t>
  </si>
  <si>
    <t>PARCO</t>
  </si>
  <si>
    <t>POMACANCHA</t>
  </si>
  <si>
    <t>RICRAN</t>
  </si>
  <si>
    <t>SAN LORENZO</t>
  </si>
  <si>
    <t>SANTA LEONOR</t>
  </si>
  <si>
    <t>SANTA MARIA</t>
  </si>
  <si>
    <t>01 * FABRICACION DE BROCHAS</t>
  </si>
  <si>
    <t>02 * FABRICACION DE CAMISAS PARA MECHEROS DE GAS INCANDESCENTES</t>
  </si>
  <si>
    <t>03 * FABRICACION DE ENCAJES EN PIEZAS</t>
  </si>
  <si>
    <t>04 * FABRICACION DE FIELTROS INCLUSO BAÑADOS O LAMINADOS</t>
  </si>
  <si>
    <t>05 * FABRICACION DE HILADOS METALIZADOS O FORRADOS CON CAUCHO O PLASTICO</t>
  </si>
  <si>
    <t>06 * FABRICACION DE LIENZOS PARA PINTORES</t>
  </si>
  <si>
    <t>00 * FABRICACION DE PRODUCTOS DE CERAMICA REFRACTARIA</t>
  </si>
  <si>
    <t>04 * FABRICACION DE ECONOMIZADORES</t>
  </si>
  <si>
    <t>05 * FABRICACION DE REACTORES NUCLEARES</t>
  </si>
  <si>
    <t>33 * SOCIEDAD EN PARTICIPACION</t>
  </si>
  <si>
    <t>40 * OTROS</t>
  </si>
  <si>
    <t>41 * N.E.P.</t>
  </si>
  <si>
    <t>30</t>
  </si>
  <si>
    <t>31</t>
  </si>
  <si>
    <t>32</t>
  </si>
  <si>
    <t>33</t>
  </si>
  <si>
    <t>34</t>
  </si>
  <si>
    <t>35</t>
  </si>
  <si>
    <t>36</t>
  </si>
  <si>
    <t>37</t>
  </si>
  <si>
    <t>38</t>
  </si>
  <si>
    <t>PUNTA HERMOSA</t>
  </si>
  <si>
    <t>PUNTA NEGRA</t>
  </si>
  <si>
    <t>RIMAC</t>
  </si>
  <si>
    <t>AYAVIRI</t>
  </si>
  <si>
    <t>AZANGARO</t>
  </si>
  <si>
    <t>CACRA</t>
  </si>
  <si>
    <t>CARANIA</t>
  </si>
  <si>
    <t>SANTA TERESA</t>
  </si>
  <si>
    <t>PICHARI</t>
  </si>
  <si>
    <t>PARURO</t>
  </si>
  <si>
    <t>ACCHA</t>
  </si>
  <si>
    <t>CCAPI</t>
  </si>
  <si>
    <t>COLCHA</t>
  </si>
  <si>
    <t>HUANOQUITE</t>
  </si>
  <si>
    <t>OMACHA</t>
  </si>
  <si>
    <t>PACCARITAMBO</t>
  </si>
  <si>
    <t>PILLPINTO</t>
  </si>
  <si>
    <t>YAURISQUE</t>
  </si>
  <si>
    <t>PAUCARTAMBO</t>
  </si>
  <si>
    <t>CAICAY</t>
  </si>
  <si>
    <t>2.1 EMPLEADOS</t>
  </si>
  <si>
    <t>2.2 OBREROS</t>
  </si>
  <si>
    <t>INGRESOS POR</t>
  </si>
  <si>
    <t>SOLES  S/.</t>
  </si>
  <si>
    <t>CABANILLAS</t>
  </si>
  <si>
    <t>CARACOTO</t>
  </si>
  <si>
    <t>SANDIA</t>
  </si>
  <si>
    <t>SANTA CRUZ DE ANDAMARCA</t>
  </si>
  <si>
    <t>SUMBILCA</t>
  </si>
  <si>
    <t>VEINTISIETE DE NOVIEMBRE</t>
  </si>
  <si>
    <t>HUAROCHIRI</t>
  </si>
  <si>
    <t>MATUCANA</t>
  </si>
  <si>
    <t>ANTIOQUIA</t>
  </si>
  <si>
    <t>INCLAN</t>
  </si>
  <si>
    <t>PACHIA</t>
  </si>
  <si>
    <t>POCOLLAY</t>
  </si>
  <si>
    <t>SAMA</t>
  </si>
  <si>
    <t>CANDARAVE</t>
  </si>
  <si>
    <t>Clave 01 al 12.-  Anote los ingresos por ventas y gastos por adquisición de mercaderías y materias primas</t>
  </si>
  <si>
    <t>20 * FABRICACION DE CIERRES</t>
  </si>
  <si>
    <t>21 * FABRICACION DE CLAVOS</t>
  </si>
  <si>
    <t>HUANCAYA</t>
  </si>
  <si>
    <t>HUANGASCAR</t>
  </si>
  <si>
    <t>HUANTAN</t>
  </si>
  <si>
    <t>LINCHA</t>
  </si>
  <si>
    <t>MADEAN</t>
  </si>
  <si>
    <t>OMAS</t>
  </si>
  <si>
    <t>PUTINZA</t>
  </si>
  <si>
    <t>QUINCHES</t>
  </si>
  <si>
    <t>QUINOCAY</t>
  </si>
  <si>
    <t>CORDOVA</t>
  </si>
  <si>
    <t>HUAYACUNDO ARMA</t>
  </si>
  <si>
    <t>LARAMARCA</t>
  </si>
  <si>
    <t>OCOYO</t>
  </si>
  <si>
    <t>PILPICHACA</t>
  </si>
  <si>
    <t>QUERCO</t>
  </si>
  <si>
    <t>16 * FABRICACION DE TAMBORES (MUSICALES)</t>
  </si>
  <si>
    <t>04 * FABRICACION DE CUCHILLAS Y CIZALLAS PARA MAQUINAS Y PARA APARATOS MECANICOS</t>
  </si>
  <si>
    <t>05 * FABRICACION DE CUCHILLO DE PESCADO</t>
  </si>
  <si>
    <t>06 * FABRICACION DE CUCHILLOS Y NAVAJAS</t>
  </si>
  <si>
    <t>07 * FABRICACION DE ESPUMADERAS</t>
  </si>
  <si>
    <t>08 * FABRICACION DE HERRAMIENTAS DE MANO PARA LA HORTICULTURA</t>
  </si>
  <si>
    <t>09 * FABRICACION DE HERRAMIENTAS DE MANO PARA LA SILVICULTURA</t>
  </si>
  <si>
    <t>11 * FABRICACION DE MAQUINAS ELECTRICAS O DE GAS PARA SOLDADURA DURA O BLANDA</t>
  </si>
  <si>
    <t>SAN JUAN DE TARUCANI</t>
  </si>
  <si>
    <t>regla</t>
  </si>
  <si>
    <t xml:space="preserve">mostrará el mensaje: " Se guardarán los archivos en su Carpeta de trabajo. Este proceso crea varios </t>
  </si>
  <si>
    <t xml:space="preserve">c)  Ingresar al explorador de Windows y verificar en su carpeta de trabajo, que los archivos se </t>
  </si>
  <si>
    <t>Los archivos TXT contienen la totalidad de la información del formulario  diligenciado. Es generado y almacenado automáticamente en su carpeta de trabajo.</t>
  </si>
  <si>
    <t xml:space="preserve">Para la instalación del archivo en su PC, proceda de la forma siguiente : </t>
  </si>
  <si>
    <t>CAIRANI</t>
  </si>
  <si>
    <t>CERRO COLORADO</t>
  </si>
  <si>
    <t>ALONSO DE ALVARADO</t>
  </si>
  <si>
    <t>BARRANQUITA</t>
  </si>
  <si>
    <t>PINTO RECODO</t>
  </si>
  <si>
    <t>RUMISAPA</t>
  </si>
  <si>
    <t>SAN ROQUE DE CUMBAZA</t>
  </si>
  <si>
    <t>SHANAO</t>
  </si>
  <si>
    <t>TABALOSOS</t>
  </si>
  <si>
    <t>ZAPATERO</t>
  </si>
  <si>
    <t>JUANJUI</t>
  </si>
  <si>
    <t>3120 * FABRICACION DE APARATOS DE DISTRIBUCION Y CONTROL DE ENERGIA ELECTRICA</t>
  </si>
  <si>
    <t>11 * FABRICACION DE REMOLQUES Y SEMIRREMOLQUES PARA EL TRANSPORTE DE MERCANCIAS</t>
  </si>
  <si>
    <t>12 * FABRICACION DE REMOLQUES Y SEMIRREMOLQUES PARA EL TRANSPORTE DE PASAJEROS</t>
  </si>
  <si>
    <t>13 * FABRICACION DE PARTES Y PIEZAS DE REMOLQUES Y SEMIRREMOLQUES</t>
  </si>
  <si>
    <t>3430</t>
  </si>
  <si>
    <t>3430 * FABRICACION DE PARTES, PIEZAS Y ACCESORIOS PARA VEHICULOS AUTOMOTORES Y SUS MOTORES</t>
  </si>
  <si>
    <t>00 * FABRICACION DE PARTES, PIEZAS Y ACCESORIOS PARA VEHICULOS AUTOMOTORES Y SUS MOTORES</t>
  </si>
  <si>
    <t>01 * FABRICACION DE AMORTIGUADORES</t>
  </si>
  <si>
    <t>04 * PRODUCCION DE CERA DE PARAFINA</t>
  </si>
  <si>
    <t>05 * PRODUCCION DE COMBUSTIBLES, LIQUIDOS Y GASEOSOS (POR EJM. ETANO, BUTANO Y PROPANO)</t>
  </si>
  <si>
    <t>06 * PRODUCCION DE GRASAS LUBRICANTES Y OTROS PRODUCTOS A PARTIR DEL PETROLEO CRUDO Y DE MINERALES BITUMINOSOS</t>
  </si>
  <si>
    <t>07 * PRODUCCION DE VASELINA</t>
  </si>
  <si>
    <t>BOLOGNESI</t>
  </si>
  <si>
    <t>CHIQUIAN</t>
  </si>
  <si>
    <t>ABELARDO PARDO LEZAMETA</t>
  </si>
  <si>
    <t>AQUIA</t>
  </si>
  <si>
    <t>CAJACAY</t>
  </si>
  <si>
    <t>CANIS</t>
  </si>
  <si>
    <t>ICA</t>
  </si>
  <si>
    <t>LOS AQUIJES</t>
  </si>
  <si>
    <t>2221 * ACTIVIDADES DE IMPRESION</t>
  </si>
  <si>
    <t>00 * ACTIVIDADES DE IMPRESION</t>
  </si>
  <si>
    <t>01 * IMPRESION DE ALBUMES</t>
  </si>
  <si>
    <t>02 * IMPRESION DE ATLAS</t>
  </si>
  <si>
    <t>2430 * FABRICACION DE FIBRAS MANUFACTURADAS (SINTETICAS O ARTIFICIALES)</t>
  </si>
  <si>
    <t>00 * FABRICACION DE FIBRAS MANUFACTURADAS (SINTETICAS O ARTIFICIALES)</t>
  </si>
  <si>
    <t>01 * FABRICACION DE FIBRAS O HEBRAS SINTETICOS SIN FILAMENTO (POR EJM, PAJA ARTIFICIAL)</t>
  </si>
  <si>
    <t>12 * FABRICACION DE FURGONES TALLER</t>
  </si>
  <si>
    <t>13 * FABRICACION DE GANCHOS Y MECANISMOS DE ENGANCHE</t>
  </si>
  <si>
    <t>14 * FABRICACION DE GRUAS</t>
  </si>
  <si>
    <t>19 * FABRICACION DE TUBOS O VALVULAS RECEPTORES AMPLIFICADORES</t>
  </si>
  <si>
    <t>3220</t>
  </si>
  <si>
    <t>05 * FABRICACION DE CARPETAS</t>
  </si>
  <si>
    <t>CHARCANA</t>
  </si>
  <si>
    <t>HUAYNACOTAS</t>
  </si>
  <si>
    <t>PAMPAMARCA</t>
  </si>
  <si>
    <t>PUYCA</t>
  </si>
  <si>
    <t>QUECHUALLA</t>
  </si>
  <si>
    <t>SAYLA</t>
  </si>
  <si>
    <t>TAURIA</t>
  </si>
  <si>
    <t>SURCO</t>
  </si>
  <si>
    <t>HUAURA</t>
  </si>
  <si>
    <t>06 * FABRICACION DE LOSAS PARA PAVIMENTOS</t>
  </si>
  <si>
    <r>
      <t xml:space="preserve">b) Ingresar a la opción </t>
    </r>
    <r>
      <rPr>
        <b/>
        <sz val="8"/>
        <color indexed="10"/>
        <rFont val="Arial"/>
        <family val="2"/>
      </rPr>
      <t>VALIDAR</t>
    </r>
    <r>
      <rPr>
        <sz val="8"/>
        <rFont val="Arial"/>
        <family val="2"/>
      </rPr>
      <t xml:space="preserve"> del Menú Formulario, para la obtención del reporte de validación.</t>
    </r>
  </si>
  <si>
    <t>IMPUESTO A LAS VENTAS</t>
  </si>
  <si>
    <t>PULLO</t>
  </si>
  <si>
    <t>PUYUSCA</t>
  </si>
  <si>
    <t>C13V1</t>
  </si>
  <si>
    <t>C13V2</t>
  </si>
  <si>
    <t>C13E1</t>
  </si>
  <si>
    <t>C13C1</t>
  </si>
  <si>
    <t>0000 * SELECCIONAR EL CIIU</t>
  </si>
  <si>
    <t>00 * SELECCIONAR CIIU  ( EXTENSIÓN )</t>
  </si>
  <si>
    <t>SAN JUAN DE RONTOY</t>
  </si>
  <si>
    <t>10 * FABRICACION DE ESCAQUEADORAS</t>
  </si>
  <si>
    <t>11 * FABRICACION DE EXPLANADORAS</t>
  </si>
  <si>
    <t>06 * FABRICACION DE CONDENSADORES</t>
  </si>
  <si>
    <t>02 * FABRICACION DE MOTORES PARA MOTOCICLETAS</t>
  </si>
  <si>
    <t>03 * FABRICACION DE SIDECARES</t>
  </si>
  <si>
    <t>04 * FABRICACION DE VELOCIPEDOS CON MOTOR AUXILIAR</t>
  </si>
  <si>
    <t>34 * FABRICACION DE PIELES</t>
  </si>
  <si>
    <t>35 * FABRICACION DE PIPAS</t>
  </si>
  <si>
    <t>36 * FABRICACION DE PLUMAS Y LAPICES</t>
  </si>
  <si>
    <t>01 * FABRICACION DE ARTEFACTOS ELECTRICOS DE SEÑALIZACION. SEGURIDAD O CONTROL DE TRAFICO PARA AUTOPISTAS, FERROCARRILES, VIAS DE NAVEGACION, AEROPUERTOS, ETC.</t>
  </si>
  <si>
    <t>02 * FABRICACION DE ABRAZADERAS</t>
  </si>
  <si>
    <t>03 * FABRICACION DE ACELERADORES DE PARTICULAS</t>
  </si>
  <si>
    <t>1554 * ELABORACION DE BEBIDAS NO ALCOHOLICAS, PRODUCCION DE AGUAS MINERALES</t>
  </si>
  <si>
    <t>00 * ELABORACION DE BEBIDAS NO ALCOHOLICAS, PRODUCCION DE AGUAS MINERALES</t>
  </si>
  <si>
    <t>05 * FABRICACION DE INSTRUMENTOS DE OFTALMOLOGIA</t>
  </si>
  <si>
    <t>06 * FABRICACION DE INSTRUMENTOS EN MEDICINA</t>
  </si>
  <si>
    <t>07 * FABRICACION DE INSTRUMENTOS Y APARATOS DE CIRUGIA</t>
  </si>
  <si>
    <t>08 * FABRICACION DE INSTRUMENTOS Y APARATOS DE VETERINARIA</t>
  </si>
  <si>
    <t xml:space="preserve">» La empresa manufacturera sin actividad en el año 2006, que no hubiera notificado su paralización al Ministerio  </t>
  </si>
  <si>
    <t xml:space="preserve">Están obligados a diligenciar este formulario, las empresas manufactureras que en el año 2006 han tenido ventas netas  </t>
  </si>
  <si>
    <t>Además anote las remuneraciones totales pagadas en el año 2006.</t>
  </si>
  <si>
    <t>Clave 01 al 12.-  Anote el nombre de todos los productos y subproductos fabricados por su empresa durante el año 2006.</t>
  </si>
  <si>
    <t>ENCUESTA ECONOMICA ANUAL 2006  SECTORIAL</t>
  </si>
  <si>
    <t>Clave 01.-  Sïrvase informar los saldos iniciales de Activo Fijo al 2006. Anote las compras de bienes nuevos y usados en el 2006,</t>
  </si>
  <si>
    <t>iii) Seleccionar el archivo "EEA D Manufactura 2006.xls" del disquete.</t>
  </si>
  <si>
    <t>b). Abrir el archivo "EEA D Manufactura 2006.xls" que se encuentra en su carpeta de trabajo, luego haga "Click" en la opción Habilitar Macros</t>
  </si>
  <si>
    <t>2006D1xxxxxx.TXT</t>
  </si>
  <si>
    <t>2006D2xxxxxx.TXT</t>
  </si>
  <si>
    <t>2006D3xxxxxx.TXT</t>
  </si>
  <si>
    <t>2006</t>
  </si>
  <si>
    <r>
      <t>Recuadro: Domicilio.-</t>
    </r>
    <r>
      <rPr>
        <sz val="10"/>
        <rFont val="Arial"/>
        <family val="2"/>
      </rPr>
      <t xml:space="preserve"> Previamente seleccione la "VIA", luego digite la dirección donde funciona la Gerencia u Oficina </t>
    </r>
  </si>
  <si>
    <t>19 * FABRICACION DE CERCAS DE ALAMBRE</t>
  </si>
  <si>
    <t>2029 * FABRICACION DE OTROS PRODUCTOS DE MADERA, FABRICACION DE ARTICULOS DE CORCHO, PAJA Y MATERIALES TRENZABLES</t>
  </si>
  <si>
    <t>00 * FABRICACION DE OTROS PRODUCTOS DE MADERA, FABRICACION DE ARTICULOS DE CORCHO, PAJA Y MATERIALES TRENZABLES</t>
  </si>
  <si>
    <t>PICHACANI</t>
  </si>
  <si>
    <t>PLATERIA</t>
  </si>
  <si>
    <t>TIQUILLACA</t>
  </si>
  <si>
    <t>VILQUE</t>
  </si>
  <si>
    <t>ACHAYA</t>
  </si>
  <si>
    <t>ARAPA</t>
  </si>
  <si>
    <t>ASILLO</t>
  </si>
  <si>
    <t>CAMINACA</t>
  </si>
  <si>
    <t>CHUPA</t>
  </si>
  <si>
    <t>JOSE DOMINGO CHOQUEHUANCA</t>
  </si>
  <si>
    <t>POTONI</t>
  </si>
  <si>
    <t>SAMAN</t>
  </si>
  <si>
    <t>SAN ANTON</t>
  </si>
  <si>
    <t>SAN JUAN DE SALINAS</t>
  </si>
  <si>
    <t>SANTIAGO DE PUPUJA</t>
  </si>
  <si>
    <t>TIRAPATA</t>
  </si>
  <si>
    <t>SAN JUAN DE LICUPIS</t>
  </si>
  <si>
    <t>ANDAHUAYLAS</t>
  </si>
  <si>
    <t>ANDARAPA</t>
  </si>
  <si>
    <t>CHIARA</t>
  </si>
  <si>
    <t>03 * FABRICACION DE CONVERTIDORES ROTATORIOS</t>
  </si>
  <si>
    <t>04 * FABRICACION DE GENERADORES DE CORRIENTE ALTERNA</t>
  </si>
  <si>
    <t>05 * FABRICACION DE GENERADORES DE ALTA TENSION</t>
  </si>
  <si>
    <t>06 * FABRICACION DE GRUPOS ELECTROGENOS</t>
  </si>
  <si>
    <t>SANTIAGO DE PAUCARAY</t>
  </si>
  <si>
    <t>SORAS</t>
  </si>
  <si>
    <t>VICTOR FAJARDO</t>
  </si>
  <si>
    <t>HUANCAPI</t>
  </si>
  <si>
    <t>ALCAMENCA</t>
  </si>
  <si>
    <t>16 * FABRICACION DE REMOLQUES O SEMIRREMOLQUES DE CARGA O DESCARGA AUTOMATICA</t>
  </si>
  <si>
    <t>17 * FABRICACION DE TRACTORES DE MANEJO A PIE</t>
  </si>
  <si>
    <t xml:space="preserve">                        de Windows o utilice las teclas (CTRL+V).</t>
  </si>
  <si>
    <t>GUADALUPE</t>
  </si>
  <si>
    <t>JEQUETEPEQUE</t>
  </si>
  <si>
    <t>08 * FABRICACION DE PAPEL Y CARTON DE BASE PARA FABRICAR PAPEL REVESTIDO, PAPEL RIZADO</t>
  </si>
  <si>
    <t>2923 * FABRICACION DE MAQUINARIA METALURGICA</t>
  </si>
  <si>
    <t>00 * FABRICACION DE MAQUINARIA METALURGICA</t>
  </si>
  <si>
    <t>01 * FABRICACION DE CALDEROS DE COLADA</t>
  </si>
  <si>
    <t>TANTARICA</t>
  </si>
  <si>
    <t>YONAN</t>
  </si>
  <si>
    <t>CUTERVO</t>
  </si>
  <si>
    <t>CALLAYUC</t>
  </si>
  <si>
    <t>CHOROS</t>
  </si>
  <si>
    <t>CUJILLO</t>
  </si>
  <si>
    <t>LA RAMADA</t>
  </si>
  <si>
    <t>PIMPINGOS</t>
  </si>
  <si>
    <t>QUEROCOTILLO</t>
  </si>
  <si>
    <t>SAN ANDRES DE CUTERVO</t>
  </si>
  <si>
    <t>TAYABAMBA</t>
  </si>
  <si>
    <t>BULDIBUYO</t>
  </si>
  <si>
    <t>CHILLIA</t>
  </si>
  <si>
    <t>HUANCASPATA</t>
  </si>
  <si>
    <t>HUAYLILLAS</t>
  </si>
  <si>
    <t>HUAYO</t>
  </si>
  <si>
    <t>ONGON</t>
  </si>
  <si>
    <t>PARCOY</t>
  </si>
  <si>
    <t>PIAS</t>
  </si>
  <si>
    <t>SANTIAGO DE CHALLAS</t>
  </si>
  <si>
    <t>TAURIJA</t>
  </si>
  <si>
    <t>URPAY</t>
  </si>
  <si>
    <t>SAN ANTONIO DE CUSICANCHA</t>
  </si>
  <si>
    <t>SAN FRANCISCO DE SANGAYAICO</t>
  </si>
  <si>
    <t>SAN ISIDRO</t>
  </si>
  <si>
    <t>SANTIAGO DE CHOCORVOS</t>
  </si>
  <si>
    <t>07 * FABRICACION DE TEJIDOS ARTIFICIALES</t>
  </si>
  <si>
    <t>08 * FABRICACION DE TEJIDOS DE RIZO PARA TOALLAS</t>
  </si>
  <si>
    <t>09 * FABRICACION DE TEJIDOS DE FIBRA DE VIDRIO</t>
  </si>
  <si>
    <t>CAHUACHO</t>
  </si>
  <si>
    <t>CHALA</t>
  </si>
  <si>
    <t>TARACO</t>
  </si>
  <si>
    <t>VILQUE CHICO</t>
  </si>
  <si>
    <t>CABANILLA</t>
  </si>
  <si>
    <t>CALAPUJA</t>
  </si>
  <si>
    <t>NICASIO</t>
  </si>
  <si>
    <t>OCUVIRI</t>
  </si>
  <si>
    <t>PARATIA</t>
  </si>
  <si>
    <t>VILAVILA</t>
  </si>
  <si>
    <t>00 * FABRICACION DE EQUIPO DE CONTROL DE PROCESOS INDUSTRIALES</t>
  </si>
  <si>
    <t>01 * FABRICACION DE INSTRUMENTOS PARA MEDIR Y REGULAR LA PRESION DE PRODUCTOS</t>
  </si>
  <si>
    <t>02 * FABRICACION DE INSTRUMENTOS PARA MEDIR Y REGULAR LA TEMPERATURA DE PRODUCTO</t>
  </si>
  <si>
    <t>03 * FABRICACION DE INSTRUMENTOS PARA MEDIR Y REGULAR LA VISCOSIDAD DE PRODUCTOS</t>
  </si>
  <si>
    <t>3320</t>
  </si>
  <si>
    <t>3320 * FABRICACION DE INSTRUMENTOS DE OPTICA Y EQUIPO FOTOGRAFICO</t>
  </si>
  <si>
    <t>00 * FABRICACION DE INSTRUMENTOS DE OPTICA Y EQUIPO FOTOGRAFICO</t>
  </si>
  <si>
    <t>SOCABAYA</t>
  </si>
  <si>
    <t>TIABAYA</t>
  </si>
  <si>
    <t>UCHUMAYO</t>
  </si>
  <si>
    <t>39 * FABRICACION DE SEXTANTES</t>
  </si>
  <si>
    <t>06 * FABRICACION DE MAQUINARIA PARA LA EXTRACCION O PREPARACION DE GRASAS Y ACEITES</t>
  </si>
  <si>
    <t>07 * FABRICACION DE MAQUINARIA PARA LA VAPORIZACION, EBULLICION, COCCION, FREIDURA Y DESHIDRATACION DE ALIMENTOS</t>
  </si>
  <si>
    <t>08 * FABRICACION DE MAQUINARIA PARA DESPLUMAR AVES</t>
  </si>
  <si>
    <t>09 * FABRICACION DE MAQUINARIA PARA LA PREPARACION DE ALIMENTOS O BEBIDAS.</t>
  </si>
  <si>
    <t>18 * FABRICACION DE MAQUINAS PERFORADORAS PARA LA EXPLOTACION DE MINAS Y CANTERAS PARA OBRAS DE CONSTRUCCION</t>
  </si>
  <si>
    <t>19 * FABRICACION DE MEZCLADORAS DE HORMIGON Y MORTERO</t>
  </si>
  <si>
    <t>16 * FABRICACION DE MAQUINAS AVENTADORAS DE GRANOS</t>
  </si>
  <si>
    <t>17 * FABRICACION DE MAQUINAS CORTADORAS (PARA LA ELABORACION DE ALIMENTOS, BEBIDAS Y TABACO)</t>
  </si>
  <si>
    <t>18 * FABRICACION DE MAQUINAS DEPURADORAS DE AFRECHO</t>
  </si>
  <si>
    <t>19 * FABRICACION DE MAQUINAS DESCASCARILLADORAS DE ARROZ</t>
  </si>
  <si>
    <t>20 * FABRICACION DE MAQUINAS DESCREMADORAS</t>
  </si>
  <si>
    <t>15 * CONSTRUCCION Y REPARACION DE EMBARCACIONES CON CASCO SIMILAR A LOS BARCO DE RECREO</t>
  </si>
  <si>
    <t xml:space="preserve">las ventas y/o retiros y el saldo final de la depreciación. Los activos fijos comprenden los terrenos, edificios, maquinaria y </t>
  </si>
  <si>
    <t>equipo vehículos de transporte, equipo de procesamiento de datos, muebles y enseres.</t>
  </si>
  <si>
    <t>Clave 01 al 12. - Marque aquellos factores que en su opinión, limitaron el crecimiento de su empresa.</t>
  </si>
  <si>
    <t>CATACHE</t>
  </si>
  <si>
    <t>10 * FABRICACION DE REMOLQUES Y SEMIRREMOLQUES PARA EL TRANSPORTE COMBINADO POR FERROCARRIL Y CARRETERA.</t>
  </si>
  <si>
    <t>00 * FABRICACION DE PRODUCTOS DE ARCILLA Y CERAMICA NO REFRACTARIAS PARA USO ESTRUCTURAL</t>
  </si>
  <si>
    <t>01 * FABRICACION DE BALDOSAS</t>
  </si>
  <si>
    <t>02 * FABRICACION DE BLOQUES PARA PISO</t>
  </si>
  <si>
    <t>10 * FABRICACION DE PAÑALES</t>
  </si>
  <si>
    <r>
      <t>Decreto Supremo Nro. 043-2001-PCM:</t>
    </r>
    <r>
      <rPr>
        <sz val="9"/>
        <rFont val="Arial"/>
        <family val="2"/>
      </rPr>
      <t xml:space="preserve"> Reglamento de Organización y Funciones del INEI .</t>
    </r>
  </si>
  <si>
    <t>1711</t>
  </si>
  <si>
    <t>CARABAMBA</t>
  </si>
  <si>
    <t>HUASO</t>
  </si>
  <si>
    <t>PARACAS</t>
  </si>
  <si>
    <t>SAN ANDRES</t>
  </si>
  <si>
    <t>SAN CLEMENTE</t>
  </si>
  <si>
    <t>TUPAC AMARU INCA</t>
  </si>
  <si>
    <t>JUNIN</t>
  </si>
  <si>
    <t>HUANCAYO</t>
  </si>
  <si>
    <t>CARHUACALLANGA</t>
  </si>
  <si>
    <t>CHACAPAMPA</t>
  </si>
  <si>
    <t>MATACOTO</t>
  </si>
  <si>
    <t>QUILLO</t>
  </si>
  <si>
    <t>RANRAHIRCA</t>
  </si>
  <si>
    <t>SHUPLUY</t>
  </si>
  <si>
    <t>YANAMA</t>
  </si>
  <si>
    <t>Anexo: 01</t>
  </si>
  <si>
    <t>CAJAMARQUILLA</t>
  </si>
  <si>
    <t>02 * FABRICACION DE CALCULADORAS ELECTRONICAS PORTATILES Y DE OFICINA</t>
  </si>
  <si>
    <t>13 * FABRICACION DE MAQUINAS DE IMPRIMIR DIRECCIONES</t>
  </si>
  <si>
    <t>14 * FABRICACION DE MAQUINAS DE ESCRIBIR MECANICA O ELECTRICA</t>
  </si>
  <si>
    <t>15 * FABRICACION DE MAQUINAS DE CONTABILIDAD</t>
  </si>
  <si>
    <t>16 * FABRICACION DE MAQUINAS DE PROCESAMIENTO DE TEXTO</t>
  </si>
  <si>
    <t>17 * FABRICACION DE MAQUINAS DE FRANQUEAR CORRESPONDENCIA</t>
  </si>
  <si>
    <t>04 * FABRICACION DE AISLADORES ELECTRICOS DE CERAMICA</t>
  </si>
  <si>
    <t>05 * FABRICACION DE ARTEFACTOS HIGIENICOS DE CERAMICA</t>
  </si>
  <si>
    <t>06 * FABRICACION DE ARTICULOS DE LOZA</t>
  </si>
  <si>
    <t>07 * FABRICACION DE ARTICULOS DE PIEDRA Y ARCILLA, DE IMITACION DE PORCELANA Y DE ALFARERIA COMUN</t>
  </si>
  <si>
    <t>08 * FABRICACION DE ARTICULOS DE PORCELANA</t>
  </si>
  <si>
    <t>27 * FABRICACION DE VEHICULOS PARA LANZAMIENTO DE NAVES ESPACIALES</t>
  </si>
  <si>
    <t>3591</t>
  </si>
  <si>
    <t>INSTRUCCIONES</t>
  </si>
  <si>
    <t>14 * FABRICACION DE SEMICONDUCTORES FOTOSENSIBLES</t>
  </si>
  <si>
    <t>15 * FABRICACION DE TRANSISTORES</t>
  </si>
  <si>
    <t>16 * FABRICACION DE TUBOS DE IMAGEN DE TELEVISION</t>
  </si>
  <si>
    <t>06 * FABRICACION DE URANIO ENRIQUECIDO Y SUS COMPUESTOS; PLUTONIO Y SUS COMPUESTOS</t>
  </si>
  <si>
    <t>CHURCAMPA</t>
  </si>
  <si>
    <t>CHINCHIHUASI</t>
  </si>
  <si>
    <t>1730 * FABRICACION DE TEJIDOS Y ARTICULOS DE PUNTO Y GANCHILLO</t>
  </si>
  <si>
    <t>SANTA MARIA DEL VALLE</t>
  </si>
  <si>
    <t>YARUMAYO</t>
  </si>
  <si>
    <t>AMBO</t>
  </si>
  <si>
    <t>CAYNA</t>
  </si>
  <si>
    <t>COLPAS</t>
  </si>
  <si>
    <t>CONCHAMARCA</t>
  </si>
  <si>
    <t>MIGUEL CHECA</t>
  </si>
  <si>
    <t>11 * FABRICACION DE PAPELES BASTOS PARA LA PRODUCCION DE TOALLAS, SERVILLETAS, PAÑUELOS</t>
  </si>
  <si>
    <t>12 * FABRICACION DE PAPELES IMPERMEABLES A LA GRASA</t>
  </si>
  <si>
    <t>13 * FABRICACION DE PASTA DE DESECHOS DE PAPEL</t>
  </si>
  <si>
    <t>14 * FABRICACION DE PASTA DE BORRA DE ALGODON</t>
  </si>
  <si>
    <t>02 * CONSTRUCCION Y REPARACION DE BALSAS FLOTANTES</t>
  </si>
  <si>
    <t>03 * FABRICACION DE APLANADORAS</t>
  </si>
  <si>
    <t>43 * FABRICACION DE TUBOS O BOMBILLAS ELECTRICOS O ELECTRONICOS, ETC.</t>
  </si>
  <si>
    <t>44 * REPARACION DE MAQUINAS DE USO ESPECIAL</t>
  </si>
  <si>
    <t>2930</t>
  </si>
  <si>
    <t>22 * FABRICACION DE TOCADISCOS</t>
  </si>
  <si>
    <t>3311</t>
  </si>
  <si>
    <t>3311 * FABRICACION DE EQUIPO MEDICO Y QUIRURGICO Y DE APARATOS ORTOPEDICOS</t>
  </si>
  <si>
    <t>00 * FABRICACION DE EQUIPO MEDICO Y QUIRURGICO Y DE APARATOS ORTOPEDICOS</t>
  </si>
  <si>
    <t>01 * FABRICACION DE ELECTROCARDIOGRAFOS</t>
  </si>
  <si>
    <t>02 * FABRICACION DE ENDOSCOPIOS</t>
  </si>
  <si>
    <t>03 * FABRICACION DE EQUIPO OFTALMOLOGICO</t>
  </si>
  <si>
    <t>04 * FABRICACION DE ESPEJOS</t>
  </si>
  <si>
    <t>35 * FABRICACION DE MAQUINAS TRITURADORAS (PARA LA ELABORACION DE ALIMENTOS, BEBIDAS Y TABACO)</t>
  </si>
  <si>
    <t>36 * FABRICACION DE MAQUINARIA PARA CORTAR, ASERRAR, PICAR Y MACHACAR CARNE DE VACUNO O AVES</t>
  </si>
  <si>
    <t>ÑAHUIMPUQUIO</t>
  </si>
  <si>
    <t>PILLCO MARCA</t>
  </si>
  <si>
    <t>PUÑOS</t>
  </si>
  <si>
    <t>DANIEL ALOMIA ROBLES</t>
  </si>
  <si>
    <t>LUYANDO 1/</t>
  </si>
  <si>
    <t>MARAÑON</t>
  </si>
  <si>
    <t>BAÑOS</t>
  </si>
  <si>
    <t>APARICIO POMARES</t>
  </si>
  <si>
    <t>CHORAS</t>
  </si>
  <si>
    <t>LA TINGUIÑA</t>
  </si>
  <si>
    <t>YAUCA DEL ROSARIO  1/</t>
  </si>
  <si>
    <t>02 * EXTRACCION DE COQUE DE PETROLEO</t>
  </si>
  <si>
    <t>05 * FABRICACION DE HOGUERAS Y HORNOS NO ELECTRICOS PARA TOSTAR, FUNDIR</t>
  </si>
  <si>
    <t>06 * FABRICACION DE HOGUERAS Y HORNOS ELECTRICOS</t>
  </si>
  <si>
    <t>07 * FABRICACION DE INCINERADORES</t>
  </si>
  <si>
    <t>08 * FABRICACION DE PARRILLAS MECANICAS</t>
  </si>
  <si>
    <t>2915</t>
  </si>
  <si>
    <t>DESCRIBA LA ACTIVIDAD PRINCIPAL QUE REALIZA LA EMPRESA:</t>
  </si>
  <si>
    <t>02 * ASERRADO DE MADERA EN BRUTO CONSTITUIDO POR TRONCOS Y TROZAS Y ASERRADO DE TROZAS ESCUADRADAS Y COSTEROS PARA PRODUCIR MADERAS</t>
  </si>
  <si>
    <t>03 * FABRICACION DE HARINA DE MADERA Y PARTICULAS DE MADERA</t>
  </si>
  <si>
    <t>2213 * EDICION DE GRABACIONES</t>
  </si>
  <si>
    <t>00 * EDICION DE GRABACIONES</t>
  </si>
  <si>
    <t>01 * EDICION DE MATERIAL EN DISCOS GRAMOFONICOS</t>
  </si>
  <si>
    <t>02 * EDICION DE MATERIAL Y OTROS MEDIOS DE REPRODUCCION SONORA</t>
  </si>
  <si>
    <t>2219</t>
  </si>
  <si>
    <t>BONGARA</t>
  </si>
  <si>
    <t>JUMBILLA</t>
  </si>
  <si>
    <t>CHISQUILLA</t>
  </si>
  <si>
    <t>CHURUJA</t>
  </si>
  <si>
    <t>COROSHA</t>
  </si>
  <si>
    <t>CUISPES</t>
  </si>
  <si>
    <t>FLORIDA</t>
  </si>
  <si>
    <t>JAZAN</t>
  </si>
  <si>
    <t>SANTO TOMAS</t>
  </si>
  <si>
    <t>TINGO</t>
  </si>
  <si>
    <t>TRITA</t>
  </si>
  <si>
    <t>SAN NICOLAS</t>
  </si>
  <si>
    <t>CHIRIMOTO</t>
  </si>
  <si>
    <t>CAMPANILLA</t>
  </si>
  <si>
    <t>HUICUNGO</t>
  </si>
  <si>
    <t>PACHIZA</t>
  </si>
  <si>
    <t>PAJARILLO</t>
  </si>
  <si>
    <t>PICOTA</t>
  </si>
  <si>
    <t>CASPISAPA</t>
  </si>
  <si>
    <t>CHIPAO</t>
  </si>
  <si>
    <t>HUAC-HUAS</t>
  </si>
  <si>
    <r>
      <t xml:space="preserve">a) </t>
    </r>
    <r>
      <rPr>
        <sz val="10"/>
        <rFont val="Arial"/>
        <family val="2"/>
      </rPr>
      <t>Hacer "Click" en el botón ubicado en el lado derecho del recuadro y observar el despliegue de actividades económicas.</t>
    </r>
  </si>
  <si>
    <t>34 * FABRICACION DE MAQUINAS PARA PRODUCIR ARTICULOS DE PAPEL COMO: SOBRE, BOLSAS DE PAPEL, CAJAS, CAJONES DE CARTON.</t>
  </si>
  <si>
    <t>35 * FABRICACION DE MAQUINAS PLEGADORA DE IMPRESION</t>
  </si>
  <si>
    <t>LA JALCA</t>
  </si>
  <si>
    <t>LEIMEBAMBA</t>
  </si>
  <si>
    <t>LEVANTO</t>
  </si>
  <si>
    <t>04 * FABRICACION DE REGULADORES DE TENSION</t>
  </si>
  <si>
    <t>05 * FABRICACION DE LIMITADORES DE SOBRETENSION</t>
  </si>
  <si>
    <t>06 * FABRICACION DE ENCHUFES</t>
  </si>
  <si>
    <t>07 * FABRICACION DE CAJAS DE EMPALME</t>
  </si>
  <si>
    <t>08 * FABRICACION DE TOMA CORRIENTE</t>
  </si>
  <si>
    <t>09 * FABRICACION DE PORTALAMPARAS</t>
  </si>
  <si>
    <t>04 * ELABORACION DE OTRAS BEBIDAS QUE CONTIENEN ALCOHOL ETILICO DESTILADO</t>
  </si>
  <si>
    <t>05 * ELABORACION DE WHISKY</t>
  </si>
  <si>
    <t>13 * FABRICACION DE DESEMPAÑADORES CON RESISTORES ELECTRICOS</t>
  </si>
  <si>
    <t>14 * FABRICACION DE DESEMPAÑADORES ELECTRICOS</t>
  </si>
  <si>
    <t>15 * FABRICACION DE DETECTORES DE MINAS</t>
  </si>
  <si>
    <t>16 * FABRICACION DE DETONADORES ELECTRICOS DE MINAS</t>
  </si>
  <si>
    <t>17 * FABRICACION DE DINAMOS PARA MOTOCICLETAS</t>
  </si>
  <si>
    <t>02 * FABRICACION DE FUNGICIDAS</t>
  </si>
  <si>
    <t>CHALAMARCA</t>
  </si>
  <si>
    <t>CONTUMAZA</t>
  </si>
  <si>
    <t>CHILETE</t>
  </si>
  <si>
    <t>CUPISNIQUE</t>
  </si>
  <si>
    <t>GUZMANGO</t>
  </si>
  <si>
    <t>SAN BENITO</t>
  </si>
  <si>
    <t>SANTA CRUZ DE TOLED</t>
  </si>
  <si>
    <t>MIRAFLORES</t>
  </si>
  <si>
    <t>1532</t>
  </si>
  <si>
    <t>1541</t>
  </si>
  <si>
    <t>SAN BARTOLOME</t>
  </si>
  <si>
    <t>SAN DAMIAN</t>
  </si>
  <si>
    <t>SAN JUAN DE IRIS</t>
  </si>
  <si>
    <t>SAN JUAN DE TANTARANCHE</t>
  </si>
  <si>
    <t>SANTA ROSA DE QUIVES</t>
  </si>
  <si>
    <t>ASIA</t>
  </si>
  <si>
    <t>CALANGO</t>
  </si>
  <si>
    <t>CERRO AZUL</t>
  </si>
  <si>
    <t>COAYLLO</t>
  </si>
  <si>
    <t>IMPERIAL</t>
  </si>
  <si>
    <t>LUNAHUANA</t>
  </si>
  <si>
    <t>MALA</t>
  </si>
  <si>
    <t>NUEVO IMPERIAL</t>
  </si>
  <si>
    <t>PACARAN</t>
  </si>
  <si>
    <t>AGALLPAMPA</t>
  </si>
  <si>
    <t>CHARAT</t>
  </si>
  <si>
    <t>HUARANCHAL</t>
  </si>
  <si>
    <t>LA CUESTA</t>
  </si>
  <si>
    <t>00 * FABRICACION DE MALETAS, BOLSOS DE MANO Y ARTICULOS SIMILARES Y DE ARTICULOS DE TALABARTERIA Y GUARNICIONERIA</t>
  </si>
  <si>
    <t>00 * ELABORACION DE VINOS</t>
  </si>
  <si>
    <t>01 * ELABORACION DE JEREZ</t>
  </si>
  <si>
    <t>02 * ELABORACION DE VINOS</t>
  </si>
  <si>
    <t>15 * FABRICACION DE RECIPIENTES DE MESA</t>
  </si>
  <si>
    <t>GUADALUPITO</t>
  </si>
  <si>
    <t>LAMBAYEQUE</t>
  </si>
  <si>
    <t>CHICLAYO</t>
  </si>
  <si>
    <t>CHONGOYAPE</t>
  </si>
  <si>
    <t>ETEN</t>
  </si>
  <si>
    <t>ETEN PUERTO</t>
  </si>
  <si>
    <t>JOSE LEONARDO ORTIZ</t>
  </si>
  <si>
    <t>LA VICTORIA</t>
  </si>
  <si>
    <t>LAGUNAS</t>
  </si>
  <si>
    <t>MONSEFU</t>
  </si>
  <si>
    <t>03 * FABRICACION DE PARARRAYOS</t>
  </si>
  <si>
    <t>19 * FABRICACION DE MAQUINAS PARA ENGRAMPAR</t>
  </si>
  <si>
    <t>20 * FABRICACION DE MAQUINAS PARA CLAVAR</t>
  </si>
  <si>
    <t>21 * FABRICACION DE MAQUINAS PUNSADORAS</t>
  </si>
  <si>
    <t>LA FLORIDA</t>
  </si>
  <si>
    <t>LLAPA</t>
  </si>
  <si>
    <t>NANCHOC</t>
  </si>
  <si>
    <t>NOMBRE DE OTROS PRODUCTOS INDUSTRIALES O ARTESANALES ELABORADOS
(En orden de importancia)</t>
  </si>
  <si>
    <t>21 * FABRICACION DE TENDERES DE LOCOMOTORA</t>
  </si>
  <si>
    <t>Capítulos :   04  y  06</t>
  </si>
  <si>
    <t>CAP. 6</t>
  </si>
  <si>
    <t>20% Ventas (Cap04, Claves 01+02+03+04) &gt;= IGV (Cap 06, Clave 01, col 1)</t>
  </si>
  <si>
    <t>Capítulos :   04  y  07</t>
  </si>
  <si>
    <t>Ventas productos terminados y sub productos (Cap 04, claves 02+03)&gt;= Valor total prod. (Cap 07, clave 12)</t>
  </si>
  <si>
    <t>Capítulos :   05  y  07</t>
  </si>
  <si>
    <t>Si hay producción Cap 7. debe haber consumo Cap 05</t>
  </si>
  <si>
    <t>CAP.  5</t>
  </si>
  <si>
    <t>CAP. 7</t>
  </si>
  <si>
    <t>PACASMAYO</t>
  </si>
  <si>
    <t>SAN PEDRO DE LLOC</t>
  </si>
  <si>
    <t>NO ES POSIBLE SELECCIONAR LA ACTIVIDAD ESPECIFICA A 2 DIGITOS SI PREVIAMENTE NO SE HA SELECCIONADO LA ACTIVIDAD PRINCIPAL A 4 DIGITOS</t>
  </si>
  <si>
    <r>
      <t xml:space="preserve">» Antes de llenar el cuestionario lea detenidamente el </t>
    </r>
    <r>
      <rPr>
        <b/>
        <sz val="10"/>
        <rFont val="Arial"/>
        <family val="2"/>
      </rPr>
      <t>Manual de Instalación</t>
    </r>
    <r>
      <rPr>
        <sz val="10"/>
        <rFont val="Arial"/>
        <family val="2"/>
      </rPr>
      <t>.</t>
    </r>
  </si>
  <si>
    <t>07 * FABRICACION DE CEMENTOS HIDRAULICOS</t>
  </si>
  <si>
    <t>08 * FABRICACION DE YESOS CON YESO CALCINADO Y CON SULFATADO DE CALCIO</t>
  </si>
  <si>
    <t>2695</t>
  </si>
  <si>
    <r>
      <t>a) Existen</t>
    </r>
    <r>
      <rPr>
        <sz val="10"/>
        <rFont val="Arial"/>
        <family val="2"/>
      </rPr>
      <t xml:space="preserve"> </t>
    </r>
    <r>
      <rPr>
        <b/>
        <sz val="10"/>
        <rFont val="Arial"/>
        <family val="2"/>
      </rPr>
      <t>cálculos</t>
    </r>
    <r>
      <rPr>
        <sz val="10"/>
        <rFont val="Arial"/>
        <family val="2"/>
      </rPr>
      <t xml:space="preserve"> </t>
    </r>
    <r>
      <rPr>
        <b/>
        <sz val="10"/>
        <rFont val="Arial"/>
        <family val="2"/>
      </rPr>
      <t>automáticos y</t>
    </r>
    <r>
      <rPr>
        <sz val="10"/>
        <rFont val="Arial"/>
        <family val="2"/>
      </rPr>
      <t xml:space="preserve"> </t>
    </r>
    <r>
      <rPr>
        <b/>
        <sz val="10"/>
        <rFont val="Arial"/>
        <family val="2"/>
      </rPr>
      <t>datos</t>
    </r>
    <r>
      <rPr>
        <sz val="10"/>
        <rFont val="Arial"/>
        <family val="2"/>
      </rPr>
      <t xml:space="preserve"> </t>
    </r>
    <r>
      <rPr>
        <b/>
        <sz val="10"/>
        <rFont val="Arial"/>
        <family val="2"/>
      </rPr>
      <t>vinculados entre capítulos</t>
    </r>
    <r>
      <rPr>
        <sz val="10"/>
        <rFont val="Arial"/>
        <family val="2"/>
      </rPr>
      <t xml:space="preserve"> </t>
    </r>
    <r>
      <rPr>
        <b/>
        <sz val="10"/>
        <rFont val="Arial"/>
        <family val="2"/>
      </rPr>
      <t>a</t>
    </r>
    <r>
      <rPr>
        <sz val="10"/>
        <rFont val="Arial"/>
        <family val="2"/>
      </rPr>
      <t xml:space="preserve"> </t>
    </r>
    <r>
      <rPr>
        <b/>
        <sz val="10"/>
        <rFont val="Arial"/>
        <family val="2"/>
      </rPr>
      <t>los</t>
    </r>
    <r>
      <rPr>
        <sz val="10"/>
        <rFont val="Arial"/>
        <family val="2"/>
      </rPr>
      <t xml:space="preserve"> </t>
    </r>
    <r>
      <rPr>
        <b/>
        <sz val="10"/>
        <rFont val="Arial"/>
        <family val="2"/>
      </rPr>
      <t>cuales</t>
    </r>
    <r>
      <rPr>
        <sz val="10"/>
        <rFont val="Arial"/>
        <family val="2"/>
      </rPr>
      <t xml:space="preserve"> </t>
    </r>
    <r>
      <rPr>
        <b/>
        <sz val="10"/>
        <rFont val="Arial"/>
        <family val="2"/>
      </rPr>
      <t>no</t>
    </r>
    <r>
      <rPr>
        <sz val="10"/>
        <rFont val="Arial"/>
        <family val="2"/>
      </rPr>
      <t xml:space="preserve"> </t>
    </r>
    <r>
      <rPr>
        <b/>
        <sz val="10"/>
        <rFont val="Arial"/>
        <family val="2"/>
      </rPr>
      <t>es posible tener</t>
    </r>
    <r>
      <rPr>
        <sz val="10"/>
        <rFont val="Arial"/>
        <family val="2"/>
      </rPr>
      <t xml:space="preserve"> </t>
    </r>
    <r>
      <rPr>
        <b/>
        <sz val="10"/>
        <rFont val="Arial"/>
        <family val="2"/>
      </rPr>
      <t>acceso.</t>
    </r>
  </si>
  <si>
    <r>
      <t>Recuadro: RUC .</t>
    </r>
    <r>
      <rPr>
        <sz val="10"/>
        <rFont val="Arial"/>
        <family val="2"/>
      </rPr>
      <t>- Registre el número asignado a la Empresa</t>
    </r>
  </si>
  <si>
    <r>
      <t xml:space="preserve">Recuadro: Teléfono.- </t>
    </r>
    <r>
      <rPr>
        <sz val="10"/>
        <rFont val="Arial"/>
        <family val="2"/>
      </rPr>
      <t xml:space="preserve">Tenga en cuenta que en Lima el número tiene 7 dígitos, para el resto de provincias el número </t>
    </r>
  </si>
  <si>
    <t>02 * FABRICACION DE CALDERAS GENERADORES DE VAPOR DE AGUA Y OTROS VAPORES QUE NO SEAN CALDERAS DE AGUA CALIENTE PARA CALEFACCION</t>
  </si>
  <si>
    <t>03 * FABRICACION DE DESHOLLINADORES</t>
  </si>
  <si>
    <t>02 * FABRICACION DE HILOS DE CAUCHO</t>
  </si>
  <si>
    <t>03 * FABRICACION DE PANTIMEDIAS, MEDIAS Y ARTICULOS SIMILARES</t>
  </si>
  <si>
    <t>04 * FABRICACION DE ROPA DE CONFECCION DE PUNTO Y GANCHILLO</t>
  </si>
  <si>
    <t>05 * FABRICACION DE SUETERES, CHALECOS Y DE CAMISETAS DE TODO TIPO</t>
  </si>
  <si>
    <t>06 * FABRICACION DE TEJIDOS ATERCIOPELADOS O DE RIZO</t>
  </si>
  <si>
    <t>07 * FABRICACION DE TEJIDOS DE PUNTO Y GANCHILLO</t>
  </si>
  <si>
    <t>SAN JUAN DE LA VIRGEN</t>
  </si>
  <si>
    <t>CONTRALMIRANTE VILLAR</t>
  </si>
  <si>
    <t>ZORRITOS</t>
  </si>
  <si>
    <t>CASITAS</t>
  </si>
  <si>
    <t>ZARUMILLA</t>
  </si>
  <si>
    <t>AGUAS VERDES</t>
  </si>
  <si>
    <t>0000</t>
  </si>
  <si>
    <t>C1401</t>
  </si>
  <si>
    <t>40 * FABRICACION DE TERMOS</t>
  </si>
  <si>
    <t>03 * FABRICACION DE CLICHES DE METAL O DE PLASTICO</t>
  </si>
  <si>
    <t>13 * FABRICACION DE MAQUINARIA PARA LA ELABORACION DE CIGARRILLOS</t>
  </si>
  <si>
    <t>14 * FABRICACION DE MAQUINAS AGRAMADORAS</t>
  </si>
  <si>
    <t>15 * FABRICACION DE MAQUINAS ALIMENTADORAS</t>
  </si>
  <si>
    <t>23 * FABRICACION DE TRANVIAS</t>
  </si>
  <si>
    <t>24 * FABRICACION DE VAGONES CISTERNA</t>
  </si>
  <si>
    <t>25 * FABRICACION DE VAGONES DE PASAJEROS</t>
  </si>
  <si>
    <t>26 * FABRICACION DE VAGONES TALLERES</t>
  </si>
  <si>
    <t>3530</t>
  </si>
  <si>
    <t>3530 * FABRICACION DE AERONAVES Y NAVES ESPACIALES</t>
  </si>
  <si>
    <t>HUAROCONDO</t>
  </si>
  <si>
    <t>LIMATAMBO</t>
  </si>
  <si>
    <t>MOLLEPATA</t>
  </si>
  <si>
    <t>PUCYURA</t>
  </si>
  <si>
    <t>ZURITE</t>
  </si>
  <si>
    <t>CALCA</t>
  </si>
  <si>
    <t>COYA</t>
  </si>
  <si>
    <t>LAMAY</t>
  </si>
  <si>
    <t>LARES</t>
  </si>
  <si>
    <t>PISAC</t>
  </si>
  <si>
    <t>SAN SALVADOR</t>
  </si>
  <si>
    <t>TARAY</t>
  </si>
  <si>
    <t>14 * FABRICACION DE PUERTAS METALICAS</t>
  </si>
  <si>
    <t>15 * FABRICACION DE SECCIONES DE PUENTES</t>
  </si>
  <si>
    <t>05 * FABRICACION DE MAQUINAS ALIMENTADORAS DE IMPRESION</t>
  </si>
  <si>
    <t>06 * FABRICACION DE MAQUINAS BATIDORAS</t>
  </si>
  <si>
    <t>07 * FABRICACION DE MAQUINAS CALADORAS</t>
  </si>
  <si>
    <t>08 * FABRICACION DE MAQUINAS CARGADORAS DE IMPRESION</t>
  </si>
  <si>
    <t>11 * FABRICACION DE MAQUINAS DE REVESTIR PAPEL</t>
  </si>
  <si>
    <t>12 * FABRICACION DE MAQUINAS DE COMPOSICION TIPOGRAFICA</t>
  </si>
  <si>
    <t>13 * FABRICACION DE MAQUINAS DE GRABADO AL AGUA FUERTE Y FOTOTIPIA Y COMPOSICION TIPOGRAFICA</t>
  </si>
  <si>
    <t>14 * FABRICACION DE MAQUINAS DE ELABORACION DE MATRICES Y PLANCHAS IMPRESAS DE ESTEREOTIPIA</t>
  </si>
  <si>
    <t>Si no hubiera más espacio en el capitulo 5 incluya en este cuadro el resto de materias primas.</t>
  </si>
  <si>
    <t>correspondiente. Si no existen filas suficientes, agregue las materias primas en el rubro Otros.</t>
  </si>
  <si>
    <t>00 * FABRICACION DE OTROS TIPOS DE MAQUINARIA DE USO ESPECIAL</t>
  </si>
  <si>
    <t>01 * FABRICACION DE CAJAS DE MOLDEAR</t>
  </si>
  <si>
    <t>JACAS CHICO</t>
  </si>
  <si>
    <t>OBAS</t>
  </si>
  <si>
    <t>ALTO AMAZONAS</t>
  </si>
  <si>
    <t>Produce_Moquegua@produce.gob.pe</t>
  </si>
  <si>
    <t>Av. Los Próceres S/N , - Local 4 - San Juan Pampa – Cerro de Pasco</t>
  </si>
  <si>
    <t xml:space="preserve">Telf: 063 - 721680 </t>
  </si>
  <si>
    <t>Produce_pasco@produce.gob.pe</t>
  </si>
  <si>
    <t xml:space="preserve">Av. Los Cocos Nº 443 – Urb. Club Grau – Piura </t>
  </si>
  <si>
    <t>Minpes_piura@produce.gob.pe</t>
  </si>
  <si>
    <t xml:space="preserve">Jr. Carabaya Nº 351 - Puno  </t>
  </si>
  <si>
    <t>Telf: 051 – 352872</t>
  </si>
  <si>
    <t>Produce_puno@produce.gob.pe</t>
  </si>
  <si>
    <t>Jr. Patrón Santiago Nº 119 - Moyobamba</t>
  </si>
  <si>
    <t>Minpes_moyobamba@produce.gob.pe</t>
  </si>
  <si>
    <t xml:space="preserve">Av. de la Cultura Nº 732  Piso 4 - Cusco  </t>
  </si>
  <si>
    <t>Telf: 084 – 225041</t>
  </si>
  <si>
    <t>Produce_cusco@produce.gob.pe</t>
  </si>
  <si>
    <t>Adm. VICTOR A. HIDALGO TOLENTINO</t>
  </si>
  <si>
    <t>Jr. General Prado Nº 722- 2º piso - Huánuco</t>
  </si>
  <si>
    <t>Telf: 062 – 513209</t>
  </si>
  <si>
    <t>Produce_huanuco@produce.gob.pe</t>
  </si>
  <si>
    <t xml:space="preserve">Jr. Victoria Garma Nº 444 – Huancavelica </t>
  </si>
  <si>
    <t>Telf: 067 – 752403</t>
  </si>
  <si>
    <t>Produce_Huancavelica@produce.gob.pe</t>
  </si>
  <si>
    <t>17 * CONSTRUCCION Y REPARACION DE EMBARCACIONES UTILIZADAS PARA EL TRANSPORTE DE PASAJEROS</t>
  </si>
  <si>
    <t>18 * CONSTRUCCION Y REPARACION DE ESTRUCTURAS FLOTANTES</t>
  </si>
  <si>
    <t>19 * CONSTRUCCION Y REPARACION DE PLATAFORMA DE PERFORACION FLOTANTE O SUMERGIBLE</t>
  </si>
  <si>
    <t>3512</t>
  </si>
  <si>
    <t>03 * CONSTRUCCION Y REPARACION DE BOTES DE CARRERA</t>
  </si>
  <si>
    <t>04 * CONSTRUCCION Y REPARACION DE BOTES DE PESCA</t>
  </si>
  <si>
    <t>05 * CONSTRUCCION Y REPARACION DE BOTES FLOTANTES</t>
  </si>
  <si>
    <t>06 * CONSTRUCCION Y REPARACION DE CANOAS</t>
  </si>
  <si>
    <t>07 * CONSTRUCCION Y REPARACION DE CUTERS</t>
  </si>
  <si>
    <t>32 * FABRICACION DE LIMPIA PARABRISAS</t>
  </si>
  <si>
    <t>33 * FABRICACION DE MAGNETODINAMOS</t>
  </si>
  <si>
    <t>3512 * CONSTRUCCION Y REPARACION DE EMBARCACIONES DE RECREO Y DEPORTE</t>
  </si>
  <si>
    <t>00 * CONSTRUCCION Y REPARACION DE EMBARCACIONES DE RECREO Y DEPORTE</t>
  </si>
  <si>
    <t>01 * CONSTRUCCION Y REPARACION DE BARCOS PARA PESCA DEPORTIVA</t>
  </si>
  <si>
    <t>02 * CONSTRUCCION Y REPARACION DE BOTES A PEDAL</t>
  </si>
  <si>
    <t>12 * FABRICACION DE MAQUINAS EQUIPADAS CON ESCOBILLAS DE ALAMBRE</t>
  </si>
  <si>
    <t>13 * FABRICACION DE MAQUINAS HERRAMIENTAS PARA TORNEAR, PERFORAR, FRESAR, CONFORMAR, CAPILLAR, TALADRAR.</t>
  </si>
  <si>
    <t>14 * FABRICACION DE MAQUINAS HERRAMIENTAS PARA TRABAJAR MATERIAL MEDIANTES RAYOS LASER</t>
  </si>
  <si>
    <t>25 * FABRICACION DE MAQUINAS PARA EL ESTAMPADO DE HILADOS, CORCHO, PRENDAS DE VESTIR, ETC.</t>
  </si>
  <si>
    <t>29 * FABRICACION DE MAQUINAS PARA LA ELABORACION DE CAUCHO O PLASTICO</t>
  </si>
  <si>
    <t>02 * FABRICACION DE ABONOS NITROGENADOS</t>
  </si>
  <si>
    <t>14 * FABRICACION DE PRENDAS DE CABALLEROS - SASTRERIAS</t>
  </si>
  <si>
    <t>15 * FABRICACION DE CAMISAS</t>
  </si>
  <si>
    <t>16 * MODISTAS</t>
  </si>
  <si>
    <t>17 * SASTRERIAS</t>
  </si>
  <si>
    <t>1820</t>
  </si>
  <si>
    <t>1820 * ADOBO Y TEÑIDO DE PIELES, FABRICACION DE ARTICULOS DE PIEL</t>
  </si>
  <si>
    <t>APURIMAC</t>
  </si>
  <si>
    <t>ABANCAY</t>
  </si>
  <si>
    <t>RONDOCAN</t>
  </si>
  <si>
    <t>SANGARARA</t>
  </si>
  <si>
    <t>ANCAHUASI</t>
  </si>
  <si>
    <t>CACHIMAYO</t>
  </si>
  <si>
    <t>CHINCHAYPUJIO</t>
  </si>
  <si>
    <t>31 * FABRICACION DE PASADORES PARA EL PELO</t>
  </si>
  <si>
    <t>32 * FABRICACION DE PEINES</t>
  </si>
  <si>
    <t>33 * FABRICACION DE PELUCAS POSTIZAS</t>
  </si>
  <si>
    <t>VICCO</t>
  </si>
  <si>
    <t>RAPAYAN</t>
  </si>
  <si>
    <t>SAN MARCOS</t>
  </si>
  <si>
    <t>SAN PEDRO DE CHANA</t>
  </si>
  <si>
    <t>CAMOTES</t>
  </si>
  <si>
    <t>SEMILLAS</t>
  </si>
  <si>
    <t>PICHIRHUA</t>
  </si>
  <si>
    <t>AYMARAES</t>
  </si>
  <si>
    <t>CHALHUANCA</t>
  </si>
  <si>
    <t>CAPAYA</t>
  </si>
  <si>
    <t>CARAYBAMBA</t>
  </si>
  <si>
    <t>CHAPIMARCA</t>
  </si>
  <si>
    <t>COTARUSE</t>
  </si>
  <si>
    <t>HUAYLLO</t>
  </si>
  <si>
    <t>JUSTO APU SAHUARAURA</t>
  </si>
  <si>
    <t>LUCRE</t>
  </si>
  <si>
    <t>POCOHUANCA</t>
  </si>
  <si>
    <t>GRAN CHIMU</t>
  </si>
  <si>
    <t>CASCAS</t>
  </si>
  <si>
    <t>SAYAPULLO</t>
  </si>
  <si>
    <t>VIRU</t>
  </si>
  <si>
    <t>CHAO</t>
  </si>
  <si>
    <t>06 * FABRICACION DE CARTON Y PASTA DE PAPEL MOLDEADA</t>
  </si>
  <si>
    <t>11 * FABRICACION DE PAÑUELOS FACIALES</t>
  </si>
  <si>
    <t>08 * FABRICACION DE MADERA, PLASTICOS O COMBINACION DE ESTOS</t>
  </si>
  <si>
    <t>09 * FABRICACION DE REMOLQUES Y SEMIRREMOLQUES PARA VIVIENDA</t>
  </si>
  <si>
    <t>11 * FABRICACION DE PRODUCTOS PRIMARIOS DE METAL FERROSO EN GRANALLA Y EN POLVO Y EN FORMA DE ARRABIO, BLOQUES GRUMOS Y LIQUI</t>
  </si>
  <si>
    <t>12 * FABRICACION DE ROLLOS DE ACERO</t>
  </si>
  <si>
    <t>16 * FABRICACION DE INSTRUMENTOS Y APARATOS PARA NAVEGAR</t>
  </si>
  <si>
    <t>17 * FABRICACION DE EQUIPOS DE CONTROL DE PROCESOS INDUSTRIALES</t>
  </si>
  <si>
    <t>3130</t>
  </si>
  <si>
    <t>2692 * FABRICACION DE PRODUCTOS DE CERAMICA REFRACTARIA</t>
  </si>
  <si>
    <t>TACNA</t>
  </si>
  <si>
    <t>ALTO DE LA ALIANZA</t>
  </si>
  <si>
    <t>CALANA</t>
  </si>
  <si>
    <t>CIUDAD NUEVA</t>
  </si>
  <si>
    <t>2696 * CORTE, TALLADO Y ACABADO DE LA PIEDRA</t>
  </si>
  <si>
    <t>00 * CORTE, TALLADO Y ACABADO DE LA PIEDRA</t>
  </si>
  <si>
    <t>01 * OBRAS EFECTUADAS CON LA PIEDRA EN BRUTO EXTRAIDA DE CANTERAS - MARMOLERIA</t>
  </si>
  <si>
    <t>02 * CORTE, TALLADO Y ACABADO DE LA PIEDRA PARA CONSTRUCCION</t>
  </si>
  <si>
    <t>03 * CORTE, TALLADO Y ACABADO DE LA PIEDRA PARA CONSTRUCCION DE CEMENTERIOS</t>
  </si>
  <si>
    <t>04 * CORTE, TALLADO Y ACABADO DE LA PIEDRA PARA CONSTRUCCION DE CARRETERAS</t>
  </si>
  <si>
    <t>26 * FABRICACION DE REVOLVERES</t>
  </si>
  <si>
    <t>CAPITULO 6:</t>
  </si>
  <si>
    <t>11 * FABRICACION DE RECTIFICADORES DE ARCO DE MERCURIO</t>
  </si>
  <si>
    <t>12 * FABRICACION DE RECTIFICADORES DE DIODO</t>
  </si>
  <si>
    <t>11 * FABRICACION DE OTROS HIDROCARBUROS CICLICOS Y ACICLICOS</t>
  </si>
  <si>
    <t>09 * FABRICACION DE ELEMENTOS OPTICOS DE VIDRIO, U OTRO MATERIAL</t>
  </si>
  <si>
    <t>10 * FABRICACION DE ELEMENTOS OPTICOS MONTADOS</t>
  </si>
  <si>
    <t>11 * FABRICACION DE ESPEJOS CON CONFIGURACION DE ELEMENTOS OPTICOS</t>
  </si>
  <si>
    <t>12 * FABRICACION DE ESPEJOS DE VIDRIO</t>
  </si>
  <si>
    <t>13 * FABRICACION DE FIBRAS OPTICAS</t>
  </si>
  <si>
    <t>14 * FABRICACION DE GEMELOS</t>
  </si>
  <si>
    <t>04 * FABRICACION DE CARRETILLAS DE FAENA</t>
  </si>
  <si>
    <t>05 * FABRICACION DE CINTAS TRANSPORTADORAS Y TELESFERICOS</t>
  </si>
  <si>
    <t>16 * FABRICACION DE LENTES OFTALMICAS</t>
  </si>
  <si>
    <t>17 * FABRICACION DE LUPAS Y CRISTALES DE AUMENTO</t>
  </si>
  <si>
    <t>LLUMPA</t>
  </si>
  <si>
    <t>LUCMA</t>
  </si>
  <si>
    <t>MUSGA</t>
  </si>
  <si>
    <t>OCROS</t>
  </si>
  <si>
    <t>ACAS</t>
  </si>
  <si>
    <t>01 * FABRICACION DE ARTICULOS CON CUEROS ARTIFICIALES,  COMO PLASTICO, MATERIAS TEXTILES, FIBRAS VULCANIZADAS Y CARTON</t>
  </si>
  <si>
    <t>05 * FABRICACION DE COMPUESTOS PARA CALAFATEAR Y PREP. SIMILARES NO REFRACTARIOS PARA RELLENO Y ENLUCIDO.</t>
  </si>
  <si>
    <t>06 * FABRICACION DE DILUYENTES COMPUESTOS Y ORGANICOS N.C.P.</t>
  </si>
  <si>
    <t>07 * FABRICACION DE DISOLVENTES</t>
  </si>
  <si>
    <t>08 * FABRICACION DE ENLUCIDOS CERAMICOS</t>
  </si>
  <si>
    <t>08 * FABRICACION DE MORBETES, INSIGNIAS</t>
  </si>
  <si>
    <t>10 * FABRICACION DE LADRILLOS</t>
  </si>
  <si>
    <t>LOTE</t>
  </si>
  <si>
    <t>PISO</t>
  </si>
  <si>
    <t>08 * PRODUCCION DE METALES COMUNES NO FERROSOS UTILIZANDO MINERAL EN BRUTO, MINERAL EN MATA</t>
  </si>
  <si>
    <t>09 * PRODUCCION DE ORO AMONEDADO</t>
  </si>
  <si>
    <t>10 * PRODUCCION DE PLATA EN BARRAS LAMINADAS, VARILLAS, SECCIONES</t>
  </si>
  <si>
    <t>11 * PRODUCCION DE PLATA EN ALAMBRE, PLANCHAS, HOJAS Y TIRAS</t>
  </si>
  <si>
    <t>12 * PRODUCCION DE PLATA EN TUBOS, CAÑOS, BARRAS HUECAS, HOJUELAS, POLVO, ETC.</t>
  </si>
  <si>
    <t>13 * PRODUCCION DE PLATA EN GRUMOS, GRANOS, LINGOTES, BARRAS FUNDIDAS, PELLAS ETC.</t>
  </si>
  <si>
    <t>14 * PRODUCCION DE PLATINO EN TODAS SUS FORMAS</t>
  </si>
  <si>
    <t>08 * REPRODUCCION DE OTRAS OBRAS IMPRESAS</t>
  </si>
  <si>
    <t>09 * TODAS LAS ACTIVIDADES DE MICROEDICION</t>
  </si>
  <si>
    <t>2221</t>
  </si>
  <si>
    <t>10 * FABRICACION DE MAQUINAS DE RAYAR Y GOFRAR PAPEL</t>
  </si>
  <si>
    <t>CHINGAS</t>
  </si>
  <si>
    <t>MIRGAS</t>
  </si>
  <si>
    <t>CUMBA</t>
  </si>
  <si>
    <t>38 * FABRICACION DE RODILLOS PARA PINTOR</t>
  </si>
  <si>
    <t>11 * FABRICACION DE VALVULAS REDUCTORAS DE PRESION</t>
  </si>
  <si>
    <t>02 * FABRICACION DE ENVASES DE PAPEL Y DE CARTON ONDULADO</t>
  </si>
  <si>
    <t>03 * FABRICACION DE PAPEL Y CARTON ONDULADO</t>
  </si>
  <si>
    <t>06 * FABRICACION DE CALENTADORAS DE INMERSION</t>
  </si>
  <si>
    <t>07 * FABRICACION DE CALENTADORES DE AGUA</t>
  </si>
  <si>
    <t>08 * FABRICACION DE CALENTADORES NO ELECTRICOS PARA AMBIENTES</t>
  </si>
  <si>
    <t>09 * FABRICACION DE CAMPANAS DE VENTILACION (APARATOS DE USO DOMESTICO)</t>
  </si>
  <si>
    <t>00 * EDICION DE PERIODICOS, REVISTAS Y PUBLICACIONES PERIODICAS</t>
  </si>
  <si>
    <t>01 * EDICION DE PERIODICOS</t>
  </si>
  <si>
    <t>04 * FABRICACION DE ACOPLAMIENTOS</t>
  </si>
  <si>
    <t>05 * EDICION DE PARTITURAS Y OTRAS PUBLICACIONES</t>
  </si>
  <si>
    <t>2212</t>
  </si>
  <si>
    <t>2212 * EDICION DE PERIODICOS, REVISTAS Y PUBLICACIONES PERIODICAS</t>
  </si>
  <si>
    <t>3230 * FABRICACION DE EQUIPO Y APARATOS DE RADIO, TELEVISION Y COMUNICACIONES</t>
  </si>
  <si>
    <t>00 * FABRICACION DE EQUIPO Y APARATOS DE RADIO, TELEVISION Y COMUNICACIONES</t>
  </si>
  <si>
    <t>12 * FABRICACION DE TRANSMISORES DE TELEVISION CON O SIN CONEXION DE LINEA</t>
  </si>
  <si>
    <t>15 * FABRICACION DE TELA DE FILTRACION</t>
  </si>
  <si>
    <t>11 * FABRICACION DE ROPA INTERIOR</t>
  </si>
  <si>
    <t>12 * FABRICACION DE ROPA PARA DORMIR</t>
  </si>
  <si>
    <t>20 * FABRICACION DE TAPICES TEJIDOS A MANO Y TEJIDOS PARA MANTOS ELECTRICOS</t>
  </si>
  <si>
    <t>07 * FABRICACION DE ALARMAS CONTRA ROBOS</t>
  </si>
  <si>
    <t>08 * FABRICACION DE BOBINAS DE ENCENDIDO</t>
  </si>
  <si>
    <t>00 * FABRICACION DE GENERADORES DE VAPOR, EXCEPTO CALDERAS DE AGUA CALIENTE PARA CALEFACCION CENTRAL</t>
  </si>
  <si>
    <t>01 * FABRICACION DE ACUMULADORES DE VAPOR</t>
  </si>
  <si>
    <t>11 * FABRICACION DE OTROS JUGUETES</t>
  </si>
  <si>
    <t>3699</t>
  </si>
  <si>
    <t>3699 * OTRAS INDUSTRIAS MANUFACTURERAS N.C.P.</t>
  </si>
  <si>
    <t>00 * OTRAS INDUSTRIAS MANUFACTURERAS N.C.P.</t>
  </si>
  <si>
    <t>01 * FABRICACION DE ALJOFIFAS Y PLUMEROS</t>
  </si>
  <si>
    <t>BELLAVISTA DE LA UNION</t>
  </si>
  <si>
    <t>BERNAL</t>
  </si>
  <si>
    <t>CRISTO NOS VALGA</t>
  </si>
  <si>
    <t>VICE</t>
  </si>
  <si>
    <t>RINCONADA LLICUAR</t>
  </si>
  <si>
    <t>PUNO</t>
  </si>
  <si>
    <t>ACORA</t>
  </si>
  <si>
    <t>AMANTANI</t>
  </si>
  <si>
    <t>ATUNCOLLA</t>
  </si>
  <si>
    <t>CAPACHICA</t>
  </si>
  <si>
    <t>QUERECOTILLO</t>
  </si>
  <si>
    <t>TALARA</t>
  </si>
  <si>
    <t>EL ALTO</t>
  </si>
  <si>
    <t>LA BREA</t>
  </si>
  <si>
    <t>LOBITOS</t>
  </si>
  <si>
    <t>LOS ORGANOS</t>
  </si>
  <si>
    <t>MANCORA</t>
  </si>
  <si>
    <t>SECHURA</t>
  </si>
  <si>
    <t>17 * FABRICACION DE REMOVEDORES DE PINTURA</t>
  </si>
  <si>
    <t>18 * FABRICACION DE TINTA DE IMPRENTA</t>
  </si>
  <si>
    <t>2423</t>
  </si>
  <si>
    <t>09 * FABRICACION DE DIODOS</t>
  </si>
  <si>
    <t>01 * EXTRACCION DE PRODUCTOS VOLATILES MEDIANTE DESTILACION DE LA MADERA</t>
  </si>
  <si>
    <t>31 * FABRICACION DE SEGUIDORAS DE CURVAS</t>
  </si>
  <si>
    <t>QUEQUEÑA</t>
  </si>
  <si>
    <t>OCOÑA</t>
  </si>
  <si>
    <t>UÑON</t>
  </si>
  <si>
    <t>INCHUPALLA</t>
  </si>
  <si>
    <t>PUSI</t>
  </si>
  <si>
    <t>CONSUMO DE MATERIAS PRIMAS</t>
  </si>
  <si>
    <t>OTROS</t>
  </si>
  <si>
    <r>
      <t xml:space="preserve">1. </t>
    </r>
    <r>
      <rPr>
        <b/>
        <u/>
        <sz val="8"/>
        <rFont val="Arial"/>
        <family val="2"/>
      </rPr>
      <t>Requerimiento</t>
    </r>
    <r>
      <rPr>
        <u/>
        <sz val="8"/>
        <rFont val="Arial"/>
        <family val="2"/>
      </rPr>
      <t xml:space="preserve"> </t>
    </r>
    <r>
      <rPr>
        <b/>
        <u/>
        <sz val="8"/>
        <rFont val="Arial"/>
        <family val="2"/>
      </rPr>
      <t>de Hardware:</t>
    </r>
  </si>
  <si>
    <t>00 * ASERRADO Y ACEPILLADURA DE MADERA</t>
  </si>
  <si>
    <t>NOMBRES Y APELLIDOS</t>
  </si>
  <si>
    <t>CARGO</t>
  </si>
  <si>
    <t>CAP. 8</t>
  </si>
  <si>
    <t>03 * JIRON</t>
  </si>
  <si>
    <t>04 * PASAJE</t>
  </si>
  <si>
    <t xml:space="preserve">a) Luego de culminar con el llenado del formulario, verificar que la información que ingresó mantenga </t>
  </si>
  <si>
    <t>los equilibrios financieros y económicos, haciendo uso del reporte de validación.</t>
  </si>
  <si>
    <t>14 * FABRICACION DE PAÑOS DE COCINA</t>
  </si>
  <si>
    <t>25 * FABRICACION DE MAQUINAS MANTEQUERAS</t>
  </si>
  <si>
    <t>26 * FABRICACION DE MAQUINAS MEZCLADORAS</t>
  </si>
  <si>
    <t xml:space="preserve">SI SE DESEA INGRESAR INFORMACIÓN DE MÁS DE UNA EMPRESA EN UNA SOLA COMPUTADORA, TENGA EN CUENTA LO SIGUIENTE : </t>
  </si>
  <si>
    <t>I) NO UTILIZAR EL ICONO DE GRABACIÓN QUE APARECE EN LA PARTE SUPERIOR DERECHA DE SU PANTALLA</t>
  </si>
  <si>
    <t>13 * FABRICACION DE JOYEROS Y ESTUCHES PARA CUBERTERIA Y ARTICULOS SIMILARES</t>
  </si>
  <si>
    <t>14 * FABRICACION DE MANGOS DE ESCOBAS</t>
  </si>
  <si>
    <t>15 * FABRICACION DE MONTURAS O MANGOS DE CEPILLOS</t>
  </si>
  <si>
    <t>03 * FABRICACION DE CALZADO PARA TODO USO EXCEPTO EL ORTOPEDICO Y DE MATERIAL DE ASBESTO</t>
  </si>
  <si>
    <t>04 * FABRICACION DE POLAINAS</t>
  </si>
  <si>
    <t>05 * FABRICACION DE PARTES COMO SUELAS Y PLANTILLAS, ETC. DE TODO TIPO DE MATERIAL</t>
  </si>
  <si>
    <t>2010</t>
  </si>
  <si>
    <t>2010 * ASERRADO Y ACEPILLADURA DE MADERA</t>
  </si>
  <si>
    <t>AHUAC</t>
  </si>
  <si>
    <t>CHONGOS BAJO</t>
  </si>
  <si>
    <t>HUACHAC</t>
  </si>
  <si>
    <t>HUAMANCACA CHICO</t>
  </si>
  <si>
    <t>15 * FABRICACION DE POLVOS Y SOLUCIONES</t>
  </si>
  <si>
    <t>17 * FABRICACION DE PRODUCTOS BOTANICOS PULVERIZADOS, GRADUADOS, MOLIDOS O PREPARADOS DE OTRO MODO</t>
  </si>
  <si>
    <t>18 * FABRICACION DE PRODUCTOS ENDOCRINOS</t>
  </si>
  <si>
    <t>19 * FABRICACION DE SUEROS</t>
  </si>
  <si>
    <t>12 * FABRICACION DE MAQUINAS DE ENSOBRAR</t>
  </si>
  <si>
    <t>05 * FABRICACION DE FIBRA DE VIDRIO COMO: ESTERAS, COLCHONES, TABLEROS Y ARTICULOS SIMILARES (INCLUSO LANA DE VIDRIO)</t>
  </si>
  <si>
    <t>06 * FABRICACION DE HILADOS DE FIBRAS DE VIDRIO</t>
  </si>
  <si>
    <t>07 * FABRICACION DE LAMINAS, PLANCHAS, TUBOS O VARILLAS DE VIDRIO</t>
  </si>
  <si>
    <t>08 * FABRICACION DE PIEZAS DE VIDRIO OPTICO SIN LABRAR</t>
  </si>
  <si>
    <t>03 * FABRICACION DE ACCESORIOS AISLANTES DE CERAMICA PARA MAQUINAS, ARTEFACTOS Y EQUIPO ELECTRICOS.</t>
  </si>
  <si>
    <t>04 * FABRICACION DE BREA DE ALQUITRAN DE HULLA</t>
  </si>
  <si>
    <t>05 * FABRICACION DE HILADOS</t>
  </si>
  <si>
    <t>06 * FABRICACION DE PRODUCTOS DE LANA DE VIDRIO PARA AISLAMIENTO TERMICO</t>
  </si>
  <si>
    <t>07 * FABRICACION DE MATERIAL AISLANTE LANA DE ESCORIAS</t>
  </si>
  <si>
    <t>08 * FABRICACION DE MATERIAL AISLANTE LANA ROCA</t>
  </si>
  <si>
    <t>09 * FABRICACION DE MICA LABRADA</t>
  </si>
  <si>
    <t>10 * FABRICACION DE TELAS DE ASBESTO</t>
  </si>
  <si>
    <t>11 * MATERIALES DE FRICCION SOBRE UNA BASE DE ASBESTO</t>
  </si>
  <si>
    <t>12 * PRODUCCION DE ABRASIVOS NATURALES O ARTIFICIALES</t>
  </si>
  <si>
    <t>01 * FABRICACION DE ARTICULOS DE VIDRIO PARA COCINA, DE MESA Y PARA EL TOCADOR, Y LA OFICINA Y OTROS LUGARES</t>
  </si>
  <si>
    <t>02 * FABRICACION DE CRISTALERIA DE LABORATORIO, HIGIENICA Y FARMACEUTICA</t>
  </si>
  <si>
    <t>2423 * FABRICACION DE PRODUCTOS FARMACEUTICOS, SUSTANCIAS QUIMICAS MEDICINALES Y PRODUCTOS BOTANICOS</t>
  </si>
  <si>
    <t>OTROS INGRESOS</t>
  </si>
  <si>
    <t>12 * FABRICACION DE HORMAS Y TENSORES PARA BOTAS Y ZAPATOS</t>
  </si>
  <si>
    <t>08 * FABRICACION DE FORROS DE PAÑALES PARA BEBES</t>
  </si>
  <si>
    <t>09 * FABRICACION DE FUNDAS</t>
  </si>
  <si>
    <t>12 * FABRICACION DE CONGELADORES DE USO COMERCIAL</t>
  </si>
  <si>
    <t>13 * FABRICACION DE EQUIPO PARA IMPELER, ESPARCIR ASPERJAR LIQUIDOS O POLVOS, ACCIONADO A MANO O NO</t>
  </si>
  <si>
    <t>14 * FABRICACION DE EXTINGUIDORES DE INCENDIO</t>
  </si>
  <si>
    <t>15 * FABRICACION DE JUNTAS Y PIEZAS DE EMPALME</t>
  </si>
  <si>
    <t>06 * FABRICACION DE MUEBLES PARA HOTELES</t>
  </si>
  <si>
    <t>13 * PERSONA NATURAL</t>
  </si>
  <si>
    <t>14 * SOCIEDAD DE HECHO</t>
  </si>
  <si>
    <t>06 * FABRICACION DE PAPEL PERIODICO Y OTROS PAPELES PARA IMPRIMIR Y ESCRIBIR</t>
  </si>
  <si>
    <t>07 * FABRICACION DE PAPEL Y CARTON MULTILAMINAR</t>
  </si>
  <si>
    <t>02 * FABRICACION DE ESTERAS TEJIDAS</t>
  </si>
  <si>
    <t>03 * FABRICACION DE HILADOS DE LANA, ALGODON Y FIBRAS ARTIFICIALES</t>
  </si>
  <si>
    <t>ROSASPATA</t>
  </si>
  <si>
    <t>0000 * SELECCIONAR  CIIIU  ( OBLIGATORIO )</t>
  </si>
  <si>
    <t>SABAINO</t>
  </si>
  <si>
    <t>04 * ELABORACION DE OTRAS BEBIDAS ALCOHOLICAS FERMENTADAS NO DESTILADAS (PERADA, SIDRA, AGUAMIEL)</t>
  </si>
  <si>
    <t>2929 * FABRICACION DE OTROS TIPOS DE MAQUINARIA DE USO ESPECIAL</t>
  </si>
  <si>
    <t>SAN PEDRO DE CHUNAN</t>
  </si>
  <si>
    <t>SAUSA</t>
  </si>
  <si>
    <t>SINCOS</t>
  </si>
  <si>
    <t>TUNAN MARCA</t>
  </si>
  <si>
    <t>YAUYOS</t>
  </si>
  <si>
    <t>19 * FABRICACION DE MAQUINAS MOLDEADORAS (DE OTROS TIPOS DE MAQUINARIA DE USO ESPECIAL)</t>
  </si>
  <si>
    <t>20 * FABRICACION DE MAQUINAS PARA LA ELABORACION DE PRODUCTOS DE CRISTALERIA</t>
  </si>
  <si>
    <t>3693 * FABRICACION DE ARTICULOS DE DEPORTE</t>
  </si>
  <si>
    <t>00 * FABRICACION DE ARTICULOS DE DEPORTE</t>
  </si>
  <si>
    <t>01 * ARTICULOS Y EQUIPO PARA ALPINISMO</t>
  </si>
  <si>
    <t>02 * ARTICULOS Y EQUIPO PARA ATLETISMO</t>
  </si>
  <si>
    <t>03 * ARTICULOS Y EQUIPO PARA BALONES BLANDOS E INFLABLES</t>
  </si>
  <si>
    <t>04 * ARTICULOS Y EQUIPO PARA BALONES DUROS</t>
  </si>
  <si>
    <t>05 * ARTICULOS Y EQUIPO PARA BATES Y MAZOS</t>
  </si>
  <si>
    <t>06 * ARTICULOS Y EQUIPO PARA CAZA</t>
  </si>
  <si>
    <t>07 * ARTICULOS Y EQUIPO PARA CUBRECABEZAS PARA DEPORTE</t>
  </si>
  <si>
    <t>08 * ARTICULOS Y EQUIPO PARA GIMNASIA</t>
  </si>
  <si>
    <t>17 * FABRICACION DE HORNOS CORRIENTES Y DE MICROONDAS</t>
  </si>
  <si>
    <t>15 * REFINACION DE ORO</t>
  </si>
  <si>
    <t>16 * REFINACION DE PLATA</t>
  </si>
  <si>
    <t>17 * REFINACION DE PLATINO</t>
  </si>
  <si>
    <t>18 * PRODUCCION DE PRODUCTOS DE BRONCE</t>
  </si>
  <si>
    <t>19 * TRANSFORMACION DE METAL PRECIOSO</t>
  </si>
  <si>
    <t>2731</t>
  </si>
  <si>
    <t>2731 * FUNDICION DE HIERRO Y ACERO</t>
  </si>
  <si>
    <t>00 * FUNDICION DE HIERRO Y ACERO</t>
  </si>
  <si>
    <t>18 * FABRICACION DE VIDRIO ESTIRADO, SOPLADO, LAMINADO Y TEMPLADO</t>
  </si>
  <si>
    <t>19 * FABRICACION DE VIDRIO LABRADO O NO</t>
  </si>
  <si>
    <t>17 * FABRICACION DE PARTES DE EQUIPO DE ELEVACION Y MANIPULACION INCLUSO CANGILONES, CUCHARAS Y PINZAS</t>
  </si>
  <si>
    <t>JOSE LUIS BUSTAMANTE Y RIVERO</t>
  </si>
  <si>
    <t>13 * FABRICACION DE SOMBREROS Y GORROS</t>
  </si>
  <si>
    <t>10 * FABRICACION DE EDREDONES</t>
  </si>
  <si>
    <t>11 * FABRICACION DE FRAZADAS</t>
  </si>
  <si>
    <t>12 * FABRICACION DE MANTAS DE VIAJE</t>
  </si>
  <si>
    <t>(Marque aquellos factores que en su opinión limitaron el crecimiento de su empresa</t>
  </si>
  <si>
    <t>FACTORES</t>
  </si>
  <si>
    <t xml:space="preserve"> DOMICILIO</t>
  </si>
  <si>
    <t>INT.</t>
  </si>
  <si>
    <t>MZA.</t>
  </si>
  <si>
    <t>03 * EDICION DE FOTOGRAFIAS</t>
  </si>
  <si>
    <t>04 * EDICION DE GRABADOS</t>
  </si>
  <si>
    <t>05 * EDICION DE HORARIOS</t>
  </si>
  <si>
    <t>06 * EDICION DE POSTALES</t>
  </si>
  <si>
    <t>18 * FABRICACION DE SACOS PARA DORMIR</t>
  </si>
  <si>
    <t>19 * FABRICACION DE SOBRECAMAS</t>
  </si>
  <si>
    <t>CAP.5 : CONSUMO DE MATERIAS PRIMAS</t>
  </si>
  <si>
    <t>CAP.6 : IMPUESTOS A LAS VENTAS</t>
  </si>
  <si>
    <t>1. GERENTE</t>
  </si>
  <si>
    <t>03 * FABRICACION DE CANALONES Y ACCESORIOS PARA TUBERIAS DE CERAMICA</t>
  </si>
  <si>
    <t>04 * FABRICACION DE CONDUCTOS</t>
  </si>
  <si>
    <t>05 * FABRICACION DE LADRILLOS</t>
  </si>
  <si>
    <t>07 * FABRICACION DE BAÑERAS (METAL)</t>
  </si>
  <si>
    <t>38 * FABRICACION DE MAQUINAS DE PROCESAMIENTO AUTOMATICO DE DATOS DE TIPO DIGITAL</t>
  </si>
  <si>
    <t>39 * FABRICACION DE PERFORADORAS (DE MAQUINARIA DE OFICINA, CONTABILIDAD E INFORMATICA)</t>
  </si>
  <si>
    <t>3110</t>
  </si>
  <si>
    <t>3110 * FABRICACION DE MOTORES, GENERADORES Y TRANSFORMADORES ELECTRICOS</t>
  </si>
  <si>
    <t>00 * FABRICACION DE MOTORES, GENERADORES Y TRANSFORMADORES ELECTRICOS</t>
  </si>
  <si>
    <t>07 * FABRICACION DE PARTES DE ACUMULADORES COMO REJILLAS DE PLOMO</t>
  </si>
  <si>
    <t>08 * FABRICACION DE PARTES DE ACUMULADORES COMO SEPARADORES</t>
  </si>
  <si>
    <t>09 * FABRICACION DE PILAS DE OXIDO DE MERCURIO</t>
  </si>
  <si>
    <t>10 * FABRICACION DE PILAS DE DIOXIDO DE MANGANESO</t>
  </si>
  <si>
    <t>11 * FABRICACION DE PILAS DE OXIDO DE PLATA U OTRO MATERIAL</t>
  </si>
  <si>
    <t>15 * FABRICACION DE MAQUINAS DIGESTORES</t>
  </si>
  <si>
    <t>16 * FABRICACION DE MAQUINAS ENCOLADORA DE IMPRESION</t>
  </si>
  <si>
    <t>17 * FABRICACION DE MAQUINAS ENGRAMPADORA DE IMPRESION</t>
  </si>
  <si>
    <t>18 * FABRICACION DE MAQUINAS EXTRUSORAS</t>
  </si>
  <si>
    <t>18 * FABRICACION DE PARTES, PIEZAS, ACCESORIOS DE INSTRUMENTOS - REPUESTOS PARA INSTRUMENTOS MUSICALES</t>
  </si>
  <si>
    <t>3693</t>
  </si>
  <si>
    <t>06 * FABRICACION DE MAQUINAS CORTADORAS DE CESPED O DE HENO</t>
  </si>
  <si>
    <t>19 * FABRICACION DE PLATAFORMAS DE INTERCOMUNICACION</t>
  </si>
  <si>
    <t>20 * FABRICACION DE PROPULSADAS POR TURBINAS O GAS</t>
  </si>
  <si>
    <t>16 * FABRICACION DE PASTA Y OTRAS MATERIAS CELULOSICAS FIBROSAS MEDIANTE PROCESOS FISICOS, QUIMICOS Y SEMIQUIMICOS</t>
  </si>
  <si>
    <t>2102</t>
  </si>
  <si>
    <t>2102 * FABRICACION DE PAPEL Y CARTON ONDULADO Y DE ENVASES DE PAPEL Y CARTON</t>
  </si>
  <si>
    <t>00 * FABRICACION DE PAPEL Y CARTON ONDULADO Y DE ENVASES DE PAPEL Y CARTON</t>
  </si>
  <si>
    <t>CHONGOS ALTO</t>
  </si>
  <si>
    <t>CHUPURO</t>
  </si>
  <si>
    <t>CULLHUAS</t>
  </si>
  <si>
    <t>EL TAMBO</t>
  </si>
  <si>
    <t>HUACRAPUQUIO</t>
  </si>
  <si>
    <t>HUALHUAS</t>
  </si>
  <si>
    <t>HUANCAN</t>
  </si>
  <si>
    <t>HUASICANCHA</t>
  </si>
  <si>
    <t>HUAYUCACHI</t>
  </si>
  <si>
    <t>INGENIO</t>
  </si>
  <si>
    <t>PILCOMAYO</t>
  </si>
  <si>
    <t>QUICHUAY</t>
  </si>
  <si>
    <t>QUILCAS</t>
  </si>
  <si>
    <t>SAN AGUSTIN</t>
  </si>
  <si>
    <t>SAN JERONIMO DE TUNAN</t>
  </si>
  <si>
    <t>SAPALLANGA</t>
  </si>
  <si>
    <t>SICAYA</t>
  </si>
  <si>
    <t>03 * PROCESAMIENTO DE DESPERDICIOS</t>
  </si>
  <si>
    <t>3720</t>
  </si>
  <si>
    <t>PATAMBUCO</t>
  </si>
  <si>
    <t>PHARA</t>
  </si>
  <si>
    <t>QUIACA</t>
  </si>
  <si>
    <t>SAN JUAN DEL ORO</t>
  </si>
  <si>
    <t>YANAHUAYA</t>
  </si>
  <si>
    <t>ALTO INAMBARI</t>
  </si>
  <si>
    <t>YUNGUYO</t>
  </si>
  <si>
    <t>ANAPIA</t>
  </si>
  <si>
    <t>COPANI</t>
  </si>
  <si>
    <t>CUTURAPI</t>
  </si>
  <si>
    <t>EL CENEPA</t>
  </si>
  <si>
    <t>RIO SANTIAGO</t>
  </si>
  <si>
    <t>LUYA</t>
  </si>
  <si>
    <t>LAMUD</t>
  </si>
  <si>
    <t>CODIGO</t>
  </si>
  <si>
    <t>DESCRI</t>
  </si>
  <si>
    <t>CODI2</t>
  </si>
  <si>
    <t>DESC4</t>
  </si>
  <si>
    <t>00</t>
  </si>
  <si>
    <t>CACERES DEL PERU</t>
  </si>
  <si>
    <t>ANRA</t>
  </si>
  <si>
    <t>CAJAY</t>
  </si>
  <si>
    <t>CHAVIN DE HUANTAR</t>
  </si>
  <si>
    <t>HUACACHI</t>
  </si>
  <si>
    <t>HUACCHIS</t>
  </si>
  <si>
    <t>HUACHIS</t>
  </si>
  <si>
    <t>HUANTAR</t>
  </si>
  <si>
    <t>MASIN</t>
  </si>
  <si>
    <t>PAUCAS</t>
  </si>
  <si>
    <t>CORONEL PORTILLO</t>
  </si>
  <si>
    <t>CAMPOVERDE</t>
  </si>
  <si>
    <t>IPARIA</t>
  </si>
  <si>
    <t>MASISEA</t>
  </si>
  <si>
    <t>YARINACOCHA</t>
  </si>
  <si>
    <t>NUEVA REQUENA</t>
  </si>
  <si>
    <t>ATALAYA</t>
  </si>
  <si>
    <t>04 * EDICION DE LIBROS EN GENERAL</t>
  </si>
  <si>
    <t>07 * FABRICACION DE AURICULARES DE CASQUETE</t>
  </si>
  <si>
    <t>18 * FABRICACION DE POLIPASTOS Y ELEVADORES</t>
  </si>
  <si>
    <t>2919</t>
  </si>
  <si>
    <t>12 * FABRICACION DE MAQUINAS ESTACIONARIAS</t>
  </si>
  <si>
    <t>13 * FABRICACION DE MAQUINAS MONTADAS PERMANENTEMENTE EN BASTIDORES CON RUEDAS</t>
  </si>
  <si>
    <t>14 * FABRICACION DE MAQUINAS MOVILES</t>
  </si>
  <si>
    <t>15 * FABRICACION DE TRINEOS MOTORIZADOS</t>
  </si>
  <si>
    <t>14 * FABRICACION DE VIDRIO CON ARMADO DE ALAMBRE</t>
  </si>
  <si>
    <t>15 * FABRICACION DE VIDRIO EN BLOQUE</t>
  </si>
  <si>
    <t>16 * FABRICACION DE VIDRIO EN MASA</t>
  </si>
  <si>
    <t>04 * FABRICACION DE BOMBAS PARA LIQUIDOS TENGAN O NO DISPOSITIVOS DE MEDICION</t>
  </si>
  <si>
    <t>05 * FABRICACION DE COMPRESORAS DE AIRE</t>
  </si>
  <si>
    <t>06 * FABRICACION DE COMPRESORAS DE GAS</t>
  </si>
  <si>
    <t>07 * FABRICACION DE GRIFOS</t>
  </si>
  <si>
    <t>08 * FABRICACION DE LLAVES DE PASO</t>
  </si>
  <si>
    <t>09 * FABRICACION DE MAQUINAS Y MOTORES HIDRAULICOS COMPUESTOS DE BOMBAS DE GRAN POTENCIA.</t>
  </si>
  <si>
    <t>10 * FABRICACION DE VALVULAS REGULADOS TERMOSTATICAMENTE</t>
  </si>
  <si>
    <t>ATAVILLOS BAJO</t>
  </si>
  <si>
    <t>AUCALLAMA</t>
  </si>
  <si>
    <t xml:space="preserve">estadístico a los órganos del Sistema, en la forma, términos y plazos que se fijen, en formularios aprobados por Resolución Jefatural del INEI y publicados en el diario oficial "El Peruano". Asimismo, </t>
  </si>
  <si>
    <t>HUACHUPAMPA</t>
  </si>
  <si>
    <t>HUANZA</t>
  </si>
  <si>
    <t>UBIGEO</t>
  </si>
  <si>
    <t>VENTANILLA</t>
  </si>
  <si>
    <t>CUSCO</t>
  </si>
  <si>
    <t>CCORCA</t>
  </si>
  <si>
    <t>POROY</t>
  </si>
  <si>
    <t>SAN SEBASTIAN</t>
  </si>
  <si>
    <t>SANTIAGO</t>
  </si>
  <si>
    <t>SAYLLA</t>
  </si>
  <si>
    <t>WANCHAQ</t>
  </si>
  <si>
    <t>ACOMAYO</t>
  </si>
  <si>
    <t>ACOPIA</t>
  </si>
  <si>
    <t>ACOS</t>
  </si>
  <si>
    <t>MOSOC LLACTA</t>
  </si>
  <si>
    <t>POMACANCHI</t>
  </si>
  <si>
    <t>02 * FABRICACION DE ACUMULADORES DE PLOMO-ACIDO</t>
  </si>
  <si>
    <t>03 * FABRICACION DE ACUMULADORES DE NIQUEL-CADMIO</t>
  </si>
  <si>
    <t>04 * FABRICACION DE PARTES DE ACUMULADORES COMO CONTENEDORES</t>
  </si>
  <si>
    <t>05 * FABRICACION DE PARTES DE ACUMULADORES COMO PLACAS</t>
  </si>
  <si>
    <t>06 * FABRICACION DE PARTES DE ACUMULADORES COMO TAPAS</t>
  </si>
  <si>
    <t>05 * FABRICACION DE PAPEL PARA FABRICAR CIGARRILLOS</t>
  </si>
  <si>
    <t>TILALI</t>
  </si>
  <si>
    <t>SAN ANTONIO DE PUTINA</t>
  </si>
  <si>
    <t>PUTINA</t>
  </si>
  <si>
    <t>JILILI</t>
  </si>
  <si>
    <t>MONTERO</t>
  </si>
  <si>
    <t>PACAIPAMPA</t>
  </si>
  <si>
    <t>PAIMAS</t>
  </si>
  <si>
    <t>SAPILLICA</t>
  </si>
  <si>
    <t>SICCHEZ</t>
  </si>
  <si>
    <t>SUYO</t>
  </si>
  <si>
    <t>CANCHAQUE</t>
  </si>
  <si>
    <t>TAPICHE</t>
  </si>
  <si>
    <t>LAHUAYTAMBO</t>
  </si>
  <si>
    <t>LANGA</t>
  </si>
  <si>
    <t>LARAOS</t>
  </si>
  <si>
    <t>MARIATANA</t>
  </si>
  <si>
    <t>SANTIAGO DE CAO</t>
  </si>
  <si>
    <t>EL CARMEN DE LA FRONTERA</t>
  </si>
  <si>
    <t>HUARMACA</t>
  </si>
  <si>
    <t>LALAQUIZ</t>
  </si>
  <si>
    <t>SAN MIGUEL DE EL FAIQUE</t>
  </si>
  <si>
    <t>SONDOR</t>
  </si>
  <si>
    <t>SONDORILLO</t>
  </si>
  <si>
    <t>MORROPON</t>
  </si>
  <si>
    <t>CHULUCANAS</t>
  </si>
  <si>
    <t>BUENOS AIRES</t>
  </si>
  <si>
    <t>CHALACO</t>
  </si>
  <si>
    <t>LA MATANZA</t>
  </si>
  <si>
    <t>SALITRAL</t>
  </si>
  <si>
    <t>SAN JUAN DE BIGOTE</t>
  </si>
  <si>
    <t>CONCEPTO</t>
  </si>
  <si>
    <t>19 * FABRICACION DE RUEDAS DE FRICCION</t>
  </si>
  <si>
    <t>20 * FABRICACION DE TRENES DE ENGRANAJE</t>
  </si>
  <si>
    <t>21 * FABRICACION DE VOLANTES (COJINETES, ENGRANAJES, TREROS DE ENGRANAJE Y PIEZAS DE TRANSMISION)</t>
  </si>
  <si>
    <t>2914</t>
  </si>
  <si>
    <t>2914 * FABRICACION DE HORNOS, HOGUERAS Y QUEMADORES</t>
  </si>
  <si>
    <t>00 * FABRICACION DE HORNOS, HOGUERAS Y QUEMADORES</t>
  </si>
  <si>
    <t>» Toda empresa manufacturera, debe presentar debidamente llenado el formulario a la Oficina de Estadística</t>
  </si>
  <si>
    <t>3.- REPORTE DE VALIDACION IMPRESO.</t>
  </si>
  <si>
    <t>1.2  DESCRIPCIÓN DE LAS CELDAS</t>
  </si>
  <si>
    <t>»  Las celdas de color blanco serán utilizadas para el ingreso de la información.</t>
  </si>
  <si>
    <t>32 * FABRICACION DE SISTEMAS COMPUESTOS DE UNA UNIDAD CENTRAL DE PROCESAMIENTO</t>
  </si>
  <si>
    <t>PARIAHUANCA   1/</t>
  </si>
  <si>
    <t>SAÑO</t>
  </si>
  <si>
    <t>LEONOR ORDOÑEZ</t>
  </si>
  <si>
    <t>TRES DE DICIEMBRE</t>
  </si>
  <si>
    <t>CASA GRANDE</t>
  </si>
  <si>
    <t>SAÑA</t>
  </si>
  <si>
    <t>CAYALTI</t>
  </si>
  <si>
    <t>PATAPO</t>
  </si>
  <si>
    <t>POMALCA</t>
  </si>
  <si>
    <t>PUCALA</t>
  </si>
  <si>
    <t>TUMAN</t>
  </si>
  <si>
    <t>FERREÑAFE</t>
  </si>
  <si>
    <t>CAÑARIS</t>
  </si>
  <si>
    <t>MAGDALENA VIEJA</t>
  </si>
  <si>
    <t>CAÑETE</t>
  </si>
  <si>
    <t>SAN VICENTE DE CAÑETE</t>
  </si>
  <si>
    <t>ZUÑIGA</t>
  </si>
  <si>
    <t>HUAÑEC</t>
  </si>
  <si>
    <t>CERTIFICACION DEL GERENTE GENERAL O PROPIETARIO DE LA  EMPRESA</t>
  </si>
  <si>
    <t>PERSONA ENCARGADA DE ABSOLVER LAS CONSULTAS DE LA ENCUESTA</t>
  </si>
  <si>
    <t>IMPORTANTE</t>
  </si>
  <si>
    <t>SAN LORENZO DE QUINTI</t>
  </si>
  <si>
    <t>SAN MATEO</t>
  </si>
  <si>
    <t>SAN MATEO DE OTAO</t>
  </si>
  <si>
    <t>PADRE ABAD</t>
  </si>
  <si>
    <t>IRAZOLA</t>
  </si>
  <si>
    <t>CURIMANA</t>
  </si>
  <si>
    <t>PURUS</t>
  </si>
  <si>
    <t>CAPITULO 1:</t>
  </si>
  <si>
    <r>
      <t xml:space="preserve">b) </t>
    </r>
    <r>
      <rPr>
        <sz val="10"/>
        <rFont val="Arial"/>
        <family val="2"/>
      </rPr>
      <t xml:space="preserve">Seleccionar la organización jurídica de la empresa en la parte desplegada y hacer "Click" en la línea correspondiente. Observar que se ha seleccionado el código y el tipo de organización jurídica. </t>
    </r>
  </si>
  <si>
    <t>cambios de razón social, domicilio u otros.</t>
  </si>
  <si>
    <t>2610 * FABRICACION DE VIDRIO Y PRODUCTOS DE VIDRIO</t>
  </si>
  <si>
    <t>00 * FABRICACION DE VIDRIO Y PRODUCTOS DE VIDRIO</t>
  </si>
  <si>
    <t xml:space="preserve">MINISTERIO DE LA PRODUCCIÓN-PRODUCE </t>
  </si>
  <si>
    <t>25 * FABRICACION DE PARTES Y ACCESORIOS DE LAS MAQUINAS HERRAMIENTAS</t>
  </si>
  <si>
    <t>29 * FABRICACION DE MAQUINAS Y APARATOS PARA DETERMINAR LAS PROPIEDADES FISICAS DEL PAPEL, EL LINOLEO, EL PLASTICO, EL CAUCHO, LA MADERA, EL HORMIGON, ETC.</t>
  </si>
  <si>
    <t>30 * FABRICACION DE MEDIDORES DE PH</t>
  </si>
  <si>
    <t>RODRIGUEZ DE MENDOZA</t>
  </si>
  <si>
    <t>10 * FABRICACION DE TEJIDOS BORDADOS (INCLUYE TEJIDOS ELECTRONICOS)</t>
  </si>
  <si>
    <t>TURPO</t>
  </si>
  <si>
    <t>KAQUIABAMBA</t>
  </si>
  <si>
    <t>ANTABAMBA</t>
  </si>
  <si>
    <t>42 * FABRICACION DE REDES</t>
  </si>
  <si>
    <t>43 * FABRICACION DE REJILLAS</t>
  </si>
  <si>
    <t>44</t>
  </si>
  <si>
    <t>44 * FABRICACION DE REMACHES</t>
  </si>
  <si>
    <t>45</t>
  </si>
  <si>
    <t>45 * FABRICACION DE SARTENES</t>
  </si>
  <si>
    <t>46</t>
  </si>
  <si>
    <t>46 * FABRICACION DE TACHUELAS</t>
  </si>
  <si>
    <t>47</t>
  </si>
  <si>
    <t>21 * FABRICACION DE TIJERA DE PODAR</t>
  </si>
  <si>
    <t>22 * FABRICACION DE TIJERA DE UÑAS</t>
  </si>
  <si>
    <t>23 * FABRICACION DE TORNOS DE BANCO, ABRAZADERAS, LAMPARAS DE SOLDAR.</t>
  </si>
  <si>
    <t>2899</t>
  </si>
  <si>
    <t>2899 * FABRICACION DE OTROS PRODUCTOS ELABORADOS DE METAL N.C.P.</t>
  </si>
  <si>
    <t>57 * FABRICACION DE OTROS ARTICULOS NO ESPECIFICADOS EN ITEMS ANTERIORES</t>
  </si>
  <si>
    <t>2911</t>
  </si>
  <si>
    <t>2911 * FABRICACION DE MOTORES Y TURBINAS EXCEPTO MOTORES PARA AERONAVES, VEHICULOS AUTOMOTORES Y MOTOCICLETAS</t>
  </si>
  <si>
    <t>PALCAMAYO</t>
  </si>
  <si>
    <t>01 * ANODIZACION DE METAL Y DE ARTICULOS DE METAL</t>
  </si>
  <si>
    <t>40 * FABRICACION DE SISMOMETROS</t>
  </si>
  <si>
    <t>HUEPETUHE</t>
  </si>
  <si>
    <t>IÑAPARI</t>
  </si>
  <si>
    <t>ICHUÑA</t>
  </si>
  <si>
    <t>02 * FABRICACION DE ARTICULOS PARA ACAMPAR</t>
  </si>
  <si>
    <t>03 * FABRICACION DE BENDEROS, GALLARDETES, ESTANDARTES</t>
  </si>
  <si>
    <t>04 * FABRICACION DE BISILLOS</t>
  </si>
  <si>
    <t>05 * FABRICACION DE CENEFAS</t>
  </si>
  <si>
    <t>06 * FABRICACION DE COJINES</t>
  </si>
  <si>
    <t>07 * FABRICACION DE COLCHAS</t>
  </si>
  <si>
    <t>08 * FABRICACION DE CORTINAS</t>
  </si>
  <si>
    <t>09 * FABRICACION DE CHALECOS SALVAVIDAS</t>
  </si>
  <si>
    <t>15 * FABRICACION DE MAQUINAS HERRAMIENTAS PARA TRABAJAR METALES, MADERA, PIEDRA, CORCHO, PLASTICO DURO, VIDRIO EN FRIO, ETC.</t>
  </si>
  <si>
    <t>16 * FABRICACION DE MAQUINAS MACHACADORAS</t>
  </si>
  <si>
    <t>11 * FABRICACION DE TRINEOS</t>
  </si>
  <si>
    <t>3610</t>
  </si>
  <si>
    <t>3610 * FABRICACION DE MUEBLES</t>
  </si>
  <si>
    <t>00 * FABRICACION DE MUEBLES</t>
  </si>
  <si>
    <t>35 * FABRICACION DE PERNOS</t>
  </si>
  <si>
    <t>36 * FABRICACION DE PILAS</t>
  </si>
  <si>
    <t>10 * FABRICACION DE CEPILLOS DENTALES ELECTRICOS</t>
  </si>
  <si>
    <t>07 * FABRICACION DE MANGUERAS</t>
  </si>
  <si>
    <t>08 * FABRICACION DE PLANCHAS</t>
  </si>
  <si>
    <t>03 * FABRICACION DE ARTICULOS DE MATERIAL TRENZABLE</t>
  </si>
  <si>
    <t>09 * CONSTRUCCION Y REPARACION DE ESQUIFES</t>
  </si>
  <si>
    <r>
      <t xml:space="preserve">ii) Ingresar al explorador de Windows y seleccionar la opción </t>
    </r>
    <r>
      <rPr>
        <b/>
        <sz val="8"/>
        <rFont val="Arial"/>
        <family val="2"/>
      </rPr>
      <t xml:space="preserve">Disco 3 ½ (A:) </t>
    </r>
    <r>
      <rPr>
        <sz val="8"/>
        <rFont val="Arial"/>
        <family val="2"/>
      </rPr>
      <t xml:space="preserve"> </t>
    </r>
  </si>
  <si>
    <t>NUEVA ARICA</t>
  </si>
  <si>
    <t>OYON</t>
  </si>
  <si>
    <t>ANDAJES</t>
  </si>
  <si>
    <t>16 * FABRICACION DE SOPORTES TELESCOPICOS</t>
  </si>
  <si>
    <t>17 * FABRICACION DE VENTANAS METALICAS</t>
  </si>
  <si>
    <t>18 * FABRICACIONES DE TORRES</t>
  </si>
  <si>
    <t>19 * FABRICACION DE VIGAS (PRODUCTOS METALICOS PARA USO ESTRUCTURAL)</t>
  </si>
  <si>
    <t>20 * CERRAJERIA</t>
  </si>
  <si>
    <t>2812</t>
  </si>
  <si>
    <t>2812 * FABRICACION DE TANQUES, DEPOSITOS Y RECIPIENTES DE METAL</t>
  </si>
  <si>
    <t>00 * FABRICACION DE TANQUES, DEPOSITOS Y RECIPIENTES DE METAL</t>
  </si>
  <si>
    <t>6. PERSONAL DE EMPRESAS DE SERVICIOS</t>
  </si>
  <si>
    <t>reglas</t>
  </si>
  <si>
    <t>TOTAL  VENTAS (01 al 05)</t>
  </si>
  <si>
    <t>TOTAL GASTOS (07 al 11)</t>
  </si>
  <si>
    <t>04 * FABRICACION DE TABLEROS DE MADERA ENCHAPADA</t>
  </si>
  <si>
    <t>05 * PRODUCCION DE MADERA COMPACTADA</t>
  </si>
  <si>
    <t>2022</t>
  </si>
  <si>
    <t>2022 * FABRICACION DE PARTES Y PIEZAS DE CARPINTERIA PARA EDIFICIOS Y CONSTRUCCIONES</t>
  </si>
  <si>
    <t>25 * FABRICACION DE TRACTORAS UTILIZADAS EN OBRAS DE CONSTRUCCION O EXPLOTACION MINERA</t>
  </si>
  <si>
    <t>26 * FABRICACION DE TRACTORES DE ORUGA</t>
  </si>
  <si>
    <t>27 * FABRICACION DE TRAILLAS</t>
  </si>
  <si>
    <t>28 * REPARACIONES DE MAQ. PARA LA EXPLOT. DE MINAS, CANTERAS Y CONSTRUCCION</t>
  </si>
  <si>
    <t>2925</t>
  </si>
  <si>
    <t xml:space="preserve"> de las partes que componen los productos manufacturados ya sea a mano o a máquina.</t>
  </si>
  <si>
    <t>2.- DOS COPIAS IMPRESAS DEL FORMULARIO D DILIGENCIADO</t>
  </si>
  <si>
    <t xml:space="preserve">sistema Métrico Decimal (Kilogramos, Litros, Metros, etc). Si se percibe ingresos por "venta de servicios", solamente </t>
  </si>
  <si>
    <t>PAMPACHIRI</t>
  </si>
  <si>
    <t>POMACOCHA</t>
  </si>
  <si>
    <t>SAN ANTONIO DE CACHI</t>
  </si>
  <si>
    <t>SAN MIGUEL DE ACOS</t>
  </si>
  <si>
    <t>CAMPORREDONDO</t>
  </si>
  <si>
    <t>COCABAMBA</t>
  </si>
  <si>
    <t>SAN PEDRO DE CACHORA</t>
  </si>
  <si>
    <t>TAMBURCO</t>
  </si>
  <si>
    <t>TURPAY</t>
  </si>
  <si>
    <t>VILCABAMBA</t>
  </si>
  <si>
    <t>2925 * FABRICACION DE MAQUINARIA PARA LA ELABORACION DE ALIMENTOS, BEBIDAS Y TABACO</t>
  </si>
  <si>
    <t>39 * FABRICACION DE POTROS DE CONTENCION</t>
  </si>
  <si>
    <t>40 * FABRICACION DE PRODUCTOS SIMILARES SIN ROSCA</t>
  </si>
  <si>
    <t>41 * FABRICACION DE PUERTAS DE CAMARAS BLINDADAS</t>
  </si>
  <si>
    <t>01 * FABRICACION DE CUBIERTAS DE AERONAVES Y TOPADORAS</t>
  </si>
  <si>
    <t>02 * FABRICACION DE CUBIERTAS DE JUGUETES Y MUEBLES</t>
  </si>
  <si>
    <t>EDUARDO VILLANUEVA</t>
  </si>
  <si>
    <t>GREGORIO PITA</t>
  </si>
  <si>
    <t>ICHOCAN</t>
  </si>
  <si>
    <t>JOSE MANUEL QUIROZ</t>
  </si>
  <si>
    <t>JOSE SABOGAL</t>
  </si>
  <si>
    <t>BOLIVAR</t>
  </si>
  <si>
    <t>CALQUIS</t>
  </si>
  <si>
    <t>CATILLUC</t>
  </si>
  <si>
    <t>EL PRADO</t>
  </si>
  <si>
    <t xml:space="preserve">PUEBLO LIBRE  / 1 </t>
  </si>
  <si>
    <t>SAN JUAN DE SIGUAS /1</t>
  </si>
  <si>
    <t xml:space="preserve">VITOR </t>
  </si>
  <si>
    <t>INDEPENDENCIA /1</t>
  </si>
  <si>
    <t>SUYCKUTAMBO 3/</t>
  </si>
  <si>
    <t>HUAYOPATA /1</t>
  </si>
  <si>
    <t>OCOBAMBA  /2</t>
  </si>
  <si>
    <t>KIMBIRI</t>
  </si>
  <si>
    <t>QUISPICANCHIS</t>
  </si>
  <si>
    <t xml:space="preserve">PACHAMARCA </t>
  </si>
  <si>
    <t xml:space="preserve">UMARI  </t>
  </si>
  <si>
    <t>CONDORMARCA /1</t>
  </si>
  <si>
    <t xml:space="preserve">SANCHEZ </t>
  </si>
  <si>
    <t>MARMOT 2/</t>
  </si>
  <si>
    <t xml:space="preserve">LAGUNAS   </t>
  </si>
  <si>
    <t>HUARA</t>
  </si>
  <si>
    <t>ALLAUCA</t>
  </si>
  <si>
    <t xml:space="preserve">PUTUMAYO    </t>
  </si>
  <si>
    <t>TENIENTE MANUEL CLAVERO</t>
  </si>
  <si>
    <t xml:space="preserve">PARINARI </t>
  </si>
  <si>
    <t>URARINAS</t>
  </si>
  <si>
    <t>YAVARI  /1</t>
  </si>
  <si>
    <t>SOPLIN</t>
  </si>
  <si>
    <t xml:space="preserve">YAQUERANA    </t>
  </si>
  <si>
    <t>DATEM DEL MARAÑON</t>
  </si>
  <si>
    <t>ANDOAS</t>
  </si>
  <si>
    <t xml:space="preserve">INAMBARI </t>
  </si>
  <si>
    <t>LAS PIEDRAS</t>
  </si>
  <si>
    <t xml:space="preserve">MANU    </t>
  </si>
  <si>
    <t xml:space="preserve">FITZCARRALD    </t>
  </si>
  <si>
    <t xml:space="preserve">MADRE DE DIOS    </t>
  </si>
  <si>
    <t>SAN FRANCISCO DE ASIS DE YARUSYACAN</t>
  </si>
  <si>
    <t>DAMNIEL ALCIDES CARRION</t>
  </si>
  <si>
    <t>SAN ANTONIO  /1</t>
  </si>
  <si>
    <t>ITUATA   2/</t>
  </si>
  <si>
    <t>SAN PEDRO DE PUTINA PUNCO</t>
  </si>
  <si>
    <t xml:space="preserve">SHUNTE  2/ </t>
  </si>
  <si>
    <t>HEROES ALBARRACIN</t>
  </si>
  <si>
    <t>CANOAS DE PUNTA SAL</t>
  </si>
  <si>
    <t>CALLERIA</t>
  </si>
  <si>
    <t>MANANTAY</t>
  </si>
  <si>
    <t xml:space="preserve">Clave 01 al 08.-  Sirvase informar el nombre de las principales materias primas consumidas. Además anote el valor </t>
  </si>
  <si>
    <t>12 * CONSTRUCCION Y REPARACION DE SALVAVIDAS A REMO</t>
  </si>
  <si>
    <t>13 * CONSTRUCCION Y REPARACION DE YATES</t>
  </si>
  <si>
    <t>13 * REPARACIONES DE BOTE, YATES, ETC.</t>
  </si>
  <si>
    <t>3520</t>
  </si>
  <si>
    <t>3520 * FABRICACION DE LOCOMOTORAS Y DE MATERIAL RODANTE PARA FERROCARRILES Y TRANVIAS</t>
  </si>
  <si>
    <t>07 * FABRICACION DE MUEBLES PARA OFICINA</t>
  </si>
  <si>
    <t>08 * FABRICACION DE MUEBLES PARA VIVIENDA</t>
  </si>
  <si>
    <t>09 * FABRICACION DE SOMIERES</t>
  </si>
  <si>
    <t>10 * ACABADO DE MUEBLES</t>
  </si>
  <si>
    <t>3691</t>
  </si>
  <si>
    <t>3691 * FABRICACION DE JOYAS Y ARTICULOS CONEXOS</t>
  </si>
  <si>
    <t>12 * FABRICACION DE CEJAS POSTIZAS</t>
  </si>
  <si>
    <t>13 * FABRICACION DE CIERRES DE CREMALLERA</t>
  </si>
  <si>
    <t>14 * FABRICACION DE CINTAS PARA MAQUINAS DE ESCRIBIR</t>
  </si>
  <si>
    <t>15 * FABRICACION DE CIRIOS</t>
  </si>
  <si>
    <t>16 * FABRICACION DE COCHECITOS PARA BEBES</t>
  </si>
  <si>
    <t>06 * FABRICACION DE EQUIPO DE CINTAS TRANSPORTADORAS</t>
  </si>
  <si>
    <t>07 * FABRICACION DE ESPARCIDORAS DE ASFALTO</t>
  </si>
  <si>
    <t>08 * FABRICACION DE ESTRIADORAS</t>
  </si>
  <si>
    <t>09 * FABRICACION DE EXCAVADORAS</t>
  </si>
  <si>
    <t>27 * FABRICACION DE GENERADORES DE SEÑALES</t>
  </si>
  <si>
    <t>15 * FABRICACION DE PLACAS FOTOGRAFICAS</t>
  </si>
  <si>
    <t>16 * FABRICACION DE POLVORAS PROPULSORAS</t>
  </si>
  <si>
    <t>17 * FABRICACION DE POLVOS Y PASTAS PARA SOLDADURA BLANDA, DURA Y AUTOGENA</t>
  </si>
  <si>
    <t>18 * FABRICACION DE PREPARADOS ANTICONGELANTES</t>
  </si>
  <si>
    <t>19 * FABRICACION DE PREPARADOS ANTIDETONANTES</t>
  </si>
  <si>
    <t>15 * FABRICACION DE LOCOMOTORAS DE FERROCARRIL</t>
  </si>
  <si>
    <t>05 * FABRICACION DE LECTORES DE CINTA</t>
  </si>
  <si>
    <t>06 * FABRICACION DE LECTORES MAGNETICAS U OPTICAS</t>
  </si>
  <si>
    <t>07 * FABRICACION DE MAQUINAS CLASIFICADORAS</t>
  </si>
  <si>
    <t>04 * FABRICACION DE CABIOS</t>
  </si>
  <si>
    <t>14 * REPARACION DE INSTR. MEDICOS Y APARATOS ORTOPEDICOS</t>
  </si>
  <si>
    <t>3312</t>
  </si>
  <si>
    <t>05 * FABRICACION DE CEMENTO DE PORTLAND</t>
  </si>
  <si>
    <t>LA ESPERANZA</t>
  </si>
  <si>
    <t>NINABAMBA</t>
  </si>
  <si>
    <t>PULAN</t>
  </si>
  <si>
    <t>SAUCEPAMPA</t>
  </si>
  <si>
    <t>SEXI</t>
  </si>
  <si>
    <t>UTICYACU</t>
  </si>
  <si>
    <t>YAUYUCAN</t>
  </si>
  <si>
    <t>CALLAO</t>
  </si>
  <si>
    <t>UCO</t>
  </si>
  <si>
    <t>04 * ESTAMPADO DE PRODUCTOS TEXTILES</t>
  </si>
  <si>
    <t>VILLA MARIA DEL TRIUNFO</t>
  </si>
  <si>
    <t>BARRANCA</t>
  </si>
  <si>
    <t>UNICACHI</t>
  </si>
  <si>
    <t>SAN MARTIN</t>
  </si>
  <si>
    <t>MOYOBAMBA</t>
  </si>
  <si>
    <t>CALZADA</t>
  </si>
  <si>
    <t>HABANA</t>
  </si>
  <si>
    <t>JEPELACIO</t>
  </si>
  <si>
    <t>SORITOR</t>
  </si>
  <si>
    <t>YANTALO</t>
  </si>
  <si>
    <t>ALTO BIAVO</t>
  </si>
  <si>
    <t>BAJO BIAVO</t>
  </si>
  <si>
    <t>HUALLAGA</t>
  </si>
  <si>
    <t>EL DORADO</t>
  </si>
  <si>
    <t>SAN JOSE DE SISA</t>
  </si>
  <si>
    <t>AGUA BLANCA</t>
  </si>
  <si>
    <t>SHATOJA</t>
  </si>
  <si>
    <t>13 * FABRICACION DE TUBOS Y CAÑOS DE ACERO O HIERRO</t>
  </si>
  <si>
    <t>14 * PRODUCCION DE ACERO, MEDIANTE PROCESOS NEUMATICOS Y DE COCCION</t>
  </si>
  <si>
    <t>15 * PRODUCCION DE BARRAS DE ACERO Y HIERRO</t>
  </si>
  <si>
    <t>16 * PRODUCCION DE HIERRO DE PUREZA EXCEPCIONAL</t>
  </si>
  <si>
    <t>15 * FABRICACION DE INSTRUMENTOS Y APARATOS PARA ENSAYAR</t>
  </si>
  <si>
    <t>06 * FABRICACION DE PRENDAS DE VESTIR PARA DAMAS - TALLER DE CONFECCION - COSTURERAS, MODISTAS</t>
  </si>
  <si>
    <t>07 * FABRICACION DE REDECILLAS PARA EL CABELLO</t>
  </si>
  <si>
    <t>08 * FABRICACION DE ROPA DE TRABAJO</t>
  </si>
  <si>
    <t>09 * FABRICACION DE ROPA DE DEPORTE</t>
  </si>
  <si>
    <t>34 * FABRICACION DE PALAS PARA HELICES DE BARCOS</t>
  </si>
  <si>
    <t>04 * FABRICACION DE BICICLETAS PARA NIÑOS</t>
  </si>
  <si>
    <t>05 * FABRICACION DE SILLONES DE RUEDA PARA INVALIDO</t>
  </si>
  <si>
    <t>06 * FABRICACION DE TRICICLOS DE REPARTO</t>
  </si>
  <si>
    <t>RAYMONDI</t>
  </si>
  <si>
    <t>SEPAHUA</t>
  </si>
  <si>
    <t>TAHUANIA</t>
  </si>
  <si>
    <t>YURUA</t>
  </si>
  <si>
    <t>HUARMEY</t>
  </si>
  <si>
    <t>COCHAPETI</t>
  </si>
  <si>
    <t>CULEBRAS</t>
  </si>
  <si>
    <t>HUAYAN</t>
  </si>
  <si>
    <t>MALVAS</t>
  </si>
  <si>
    <t>HUAYLAS</t>
  </si>
  <si>
    <t>CARAZ</t>
  </si>
  <si>
    <t>12 * EMPRESA INDIVIDUAL RESP.LTDA.(E.I.R.L.)</t>
  </si>
  <si>
    <t>32 * CENTRO NO ESTATAL CALIF.PROF.(CENECAPE)</t>
  </si>
  <si>
    <t>33 * FABRICACION DE PILOTOS AUTOMATICOS</t>
  </si>
  <si>
    <t>34 * FABRICACION DE PODOMETROS</t>
  </si>
  <si>
    <t>35 * FABRICACION DE POLARIMETROS</t>
  </si>
  <si>
    <t>36 * FABRICACION DE REFRACTOMETROS</t>
  </si>
  <si>
    <t>37 * FABRICACION DE REGULADORES DE NIVEL DE HUMEDAD</t>
  </si>
  <si>
    <t>38 * FABRICACION DE REGULADORES DE PRESION</t>
  </si>
  <si>
    <t>41 * FABRICACION DE SONDAS ULTRASONICAS</t>
  </si>
  <si>
    <t>42 * FABRICACION DE TACOMETROS</t>
  </si>
  <si>
    <t>43 * FABRICACION DE TAXIMETROS</t>
  </si>
  <si>
    <t>HEROINAS TOLEDO</t>
  </si>
  <si>
    <t>MANZANARES</t>
  </si>
  <si>
    <t>MATAHUASI</t>
  </si>
  <si>
    <t>MITO</t>
  </si>
  <si>
    <t>13 * FABRICACION DE INSTRUMENTOS Y APARATOS PARA MEDIR</t>
  </si>
  <si>
    <t>14 * FABRICACION DE INSTRUMENTOS Y APARATOS PARA VERIFICAR</t>
  </si>
  <si>
    <t>02 * FABRICACION DE BOMBAS PARA IMPELER HORMIGON Y OTRAS BOMBAS</t>
  </si>
  <si>
    <t>03 * FABRICACION DE BOMBAS PARA MOTORES DE COMBUSTION INTERNA DE EMBOLO</t>
  </si>
  <si>
    <t>08 * FABRICACION DE LOSETAS PARA LA PARED</t>
  </si>
  <si>
    <t>09 * FABRICACION DE SOMBRERETES DE CHIMENEA</t>
  </si>
  <si>
    <t>10 * FABRICACION DE TEJAS</t>
  </si>
  <si>
    <t>11 * FABRICACION DE TESELAS DE MOSAICO</t>
  </si>
  <si>
    <t>13 * FABRICACION DE OTROS PRODUCTOS DE CERAMICA ESMALTADOS O NO</t>
  </si>
  <si>
    <t>2694</t>
  </si>
  <si>
    <t>00 * FABRICACION DE OTROS PRODUCTOS ELABORADOS DE METAL N.C.P.</t>
  </si>
  <si>
    <t>01 * FABRICACION DE ALAMBRE DE PUAS</t>
  </si>
  <si>
    <t>02 * FABRICACION DE ALFILERES</t>
  </si>
  <si>
    <t>03 * FABRICACION DE ALMOHADILLAS METALICOS PARA FREGAR</t>
  </si>
  <si>
    <t>11 * ASOCIACION EN PARTICIPACION</t>
  </si>
  <si>
    <t>MARCARA</t>
  </si>
  <si>
    <t>PARIAHUANCA</t>
  </si>
  <si>
    <t>SAN MIGUEL DE ACO</t>
  </si>
  <si>
    <t>SHILLA</t>
  </si>
  <si>
    <t>CHICCHE</t>
  </si>
  <si>
    <t>CHILCA</t>
  </si>
  <si>
    <t>23 * SOCIEDAD CIVIL ORDINARIA (SOC.CIVIL)</t>
  </si>
  <si>
    <t>1554 * ELABORACION DE BEBIDAS NO ALCOHOLICAS, AGUAS MINERALES</t>
  </si>
  <si>
    <t>06 * FABRICACION DE CAMIONES BARREDORES</t>
  </si>
  <si>
    <t>07 * FABRICACION DE CAMIONES CISTERNA</t>
  </si>
  <si>
    <t>07 * PLANTAS ACEPILLADORAS</t>
  </si>
  <si>
    <t>08 * TABLEADO DE DESCORTEZADO Y DESMENUZAMIENTO DE TRONCOS</t>
  </si>
  <si>
    <t>09 * TRATAMIENTO QUIMICO DE LA MADERA O MEDIANTE PRESERVANTES Y OTRAS SUSTANCIAS</t>
  </si>
  <si>
    <t>2021</t>
  </si>
  <si>
    <t>2021 * FABRICACION DE HOJAS DE MADERA PARA ENCHAPADO; FABRICACION DE TABLEROS CONTRACHAPADOS, TABLEROS LAMINADOS, TABLEROS DE PARTICULAS Y OTROS TABLEROS Y PANELES</t>
  </si>
  <si>
    <t>08 * FABRICACION DE VALVULAS (DE MOTORES Y TURBINAS)</t>
  </si>
  <si>
    <t>II) UTILIZAR LA OPCIÓN "GUARDAR COMO" Y DAR UN NOMBRE DIFERENTE A CADA ARCHIVO CON EL FIN DE ORGANIZAR LA INFORMACIÓN POR EMPRESA Y MANTENER EL ARCHIVO ORIGINAL EN BLANCO.</t>
  </si>
  <si>
    <t>09 * FABRICACION DE MAQUINAS CUENTAS MONEDAS</t>
  </si>
  <si>
    <t>10 * FABRICACION DE MAQUINAS DE PROCESAMIENTO ANALOGICO DE DATOS PROVISTAS DE ELEMENTOS ANALOGICOS</t>
  </si>
  <si>
    <t>11 * FABRICACION DE MAQUINAS DE PROCESAMIENTO AUTOMATICO DE DATOS DE TIPO DIGITAL</t>
  </si>
  <si>
    <t>LAS PIRIAS</t>
  </si>
  <si>
    <t>POMAHUACA</t>
  </si>
  <si>
    <t>PUCARA</t>
  </si>
  <si>
    <t>SALLIQUE</t>
  </si>
  <si>
    <t>SAN FELIPE</t>
  </si>
  <si>
    <t>SAN JOSE DEL ALTO</t>
  </si>
  <si>
    <t>SAN IGNACIO</t>
  </si>
  <si>
    <t>CHIRINOS</t>
  </si>
  <si>
    <t>HUARANGO</t>
  </si>
  <si>
    <t>LA COIPA</t>
  </si>
  <si>
    <t>NAMBALLE</t>
  </si>
  <si>
    <t>25 * ASOCIACIONES CIVILES (MUTUALES,CLUBES)</t>
  </si>
  <si>
    <t>26 * ASOCIACIONES COMERCIALES</t>
  </si>
  <si>
    <t>27 * CONSORCIOS</t>
  </si>
  <si>
    <t>28 * FUNDACIONES</t>
  </si>
  <si>
    <t>07 * COOPERATIVAS</t>
  </si>
  <si>
    <t>REQUE</t>
  </si>
  <si>
    <t>SANTIAGO DE CHUCO</t>
  </si>
  <si>
    <t>RICARDO PALMA</t>
  </si>
  <si>
    <t>SAN ANDRES DE TUPICOCHA</t>
  </si>
  <si>
    <t>VIÑAC</t>
  </si>
  <si>
    <t>16 * FABRICACION DE TELA PARA TAMICES</t>
  </si>
  <si>
    <t>17 * FABRICACION DE TIRAS O MOTIVOS DECORATIVOS</t>
  </si>
  <si>
    <t>18 * FABRICACION DE TOALLAS HIGIENICAS</t>
  </si>
  <si>
    <t>19 * FABRICACION DE TRENCILLOS, BORLOS</t>
  </si>
  <si>
    <t>20 * FABRICACION DE TUBOS DE MATERIAL TEXTIL</t>
  </si>
  <si>
    <t>21 * FABRICACION DE TULES</t>
  </si>
  <si>
    <t>22 * FABRICACION DE OTROS TEJIDOS ESPECIALES</t>
  </si>
  <si>
    <t>23 * FABRICACION DE TELAS</t>
  </si>
  <si>
    <t>1730</t>
  </si>
  <si>
    <t>27 * FABRICACION DE TANQUES Y OTROS VEHICULOS DE COMBATE</t>
  </si>
  <si>
    <t>28 * FABRICACION DE TORPEDOS</t>
  </si>
  <si>
    <t>29 * FABRICACION DE VEHICULOS BLINDADOS DE ABASTECIMIENTO</t>
  </si>
  <si>
    <t>02 * FABRICACION DE ARTICULOS DE FIBRO CEMENTO DE CELULOSA Y MATERIALES SIMILARES</t>
  </si>
  <si>
    <t>02 * FABRICACION DE FIBRAS Y ESTOPAS DE FILAMENTO ARTIFICIAL O SINTETICO SIN CARDAR NI PEINAR</t>
  </si>
  <si>
    <t>03 * FABRICACION DE HILADOS DE FILAMENTO SINTETICO O ARTIFICIAL, TEJIDOS O NO, DE GRAN RESISTENCIA</t>
  </si>
  <si>
    <t>2511</t>
  </si>
  <si>
    <t>2511 * FABRICACION DE CUBIERTAS Y CAMARAS DE CAUCHO; REENCAUCHADO Y RENOVACION DE CUBIERTAS DE CAUCHO</t>
  </si>
  <si>
    <t>00 * FABRICACION DE CUBIERTAS Y CAMARAS DE CAUCHO; REENCAUCHADO Y RENOVACION DE CUBIERTAS DE CAUCHO</t>
  </si>
  <si>
    <t>Capítulos :   03  y  04</t>
  </si>
  <si>
    <t>Capítulos :   04  y  05</t>
  </si>
  <si>
    <t>Capítulo :   08</t>
  </si>
  <si>
    <t>SANTO DOMINGO</t>
  </si>
  <si>
    <t>YAMANGO</t>
  </si>
  <si>
    <t>PAITA</t>
  </si>
  <si>
    <t>AMOTAPE</t>
  </si>
  <si>
    <t>ARENAL</t>
  </si>
  <si>
    <t>COLAN</t>
  </si>
  <si>
    <t>LA HUACA</t>
  </si>
  <si>
    <t>TAMARINDO</t>
  </si>
  <si>
    <t>VICHAYAL</t>
  </si>
  <si>
    <t>SULLANA</t>
  </si>
  <si>
    <t>IGNACIO ESCUDERO</t>
  </si>
  <si>
    <t>LANCONES</t>
  </si>
  <si>
    <t>MARCAVELICA</t>
  </si>
  <si>
    <t>EL ORO</t>
  </si>
  <si>
    <t>20 * FABRICACION DE MAQUINAS EXPENDEDORAS AUTOMATICAS DE BILLETES DE BANCOS</t>
  </si>
  <si>
    <t>LLOCHEGUA</t>
  </si>
  <si>
    <t>07 * PRODUCCION DE ALCOHOL ETILICO BASADOS EN LA FERMENTACION DE SUSTANCIAS VEGETALES Y LA DESTILACION DE LOS LICORES RESULTANTES</t>
  </si>
  <si>
    <t>1552 * ELABORACION DE VINOS</t>
  </si>
  <si>
    <t>05 * CARRETERA</t>
  </si>
  <si>
    <t>06 * OTRO</t>
  </si>
  <si>
    <t>VIAS</t>
  </si>
  <si>
    <t>01 * FABRICACION DE COLCHONES CON MUELLES</t>
  </si>
  <si>
    <t>02 * FABRICACION DE COLCHONES DE CAUCHO CELULAR</t>
  </si>
  <si>
    <t>03 * FABRICACION DE COLCHONES DE PLASTICOS SIN FORRO</t>
  </si>
  <si>
    <t>04 * FABRICACION DE MUEBLES PARA ARTEFACTOS</t>
  </si>
  <si>
    <t>05 * FABRICACION DE MUEBLES PARA COCINAS</t>
  </si>
  <si>
    <t>17 * FABRICACION DE TUBOS DE MICROONDAS</t>
  </si>
  <si>
    <t>18 * FABRICACION DE TUBOS PARA CAMARAS DE TELEVISION</t>
  </si>
  <si>
    <t>CHOCOS</t>
  </si>
  <si>
    <t>COLONIA</t>
  </si>
  <si>
    <t>HONGOS</t>
  </si>
  <si>
    <t>HUAMPARA</t>
  </si>
  <si>
    <t>04 * FABRICACION DE ANCLAS</t>
  </si>
  <si>
    <t>son fuentes de información los registros administrativos del Sector Público.</t>
  </si>
  <si>
    <t>Exceptúase de esta obligación a las fuentes cuya información considerada clasificada, afecta la seguridad nacional.</t>
  </si>
  <si>
    <t>SANCIONES</t>
  </si>
  <si>
    <t>Art. 87°.</t>
  </si>
  <si>
    <t>MELGAR</t>
  </si>
  <si>
    <t>ANTAUTA</t>
  </si>
  <si>
    <t>CUPI</t>
  </si>
  <si>
    <t>LLALLI</t>
  </si>
  <si>
    <t>MACARI</t>
  </si>
  <si>
    <t>ORURILLO</t>
  </si>
  <si>
    <t>UMACHIRI</t>
  </si>
  <si>
    <t>MOHO</t>
  </si>
  <si>
    <t>CONIMA</t>
  </si>
  <si>
    <t>HUAYRAPATA</t>
  </si>
  <si>
    <t>01 * FABRICACION DE REFRESCOS DE FRUTAS</t>
  </si>
  <si>
    <t>03 * EMBOTELLADORAS DE AGUAS MINERALES</t>
  </si>
  <si>
    <t>1553</t>
  </si>
  <si>
    <t>1553 * ELABORACION DE BEBIDAS MALTEADAS Y DE MALTA</t>
  </si>
  <si>
    <t>00 * ELABORACION DE BEBIDAS MALTEADAS Y DE MALTA</t>
  </si>
  <si>
    <t>01 * CERVECERIAS</t>
  </si>
  <si>
    <t>03 * FABRICACION DE CAMIONES DE PORTICO ALTO</t>
  </si>
  <si>
    <t>00 * FABRICACION DE AERONAVES Y NAVES ESPACIALES</t>
  </si>
  <si>
    <t>01 * FABRICACION DE AERONAVES DE ALA GIRATORIA</t>
  </si>
  <si>
    <t>COCACHACRA</t>
  </si>
  <si>
    <t>03 * FABRICACION DE APARATOS Y EQUIPO PARA LABORATORIO FOTOGRAFICO</t>
  </si>
  <si>
    <t>04 * FABRICACION DE APARATOS PARA LA PROYECCION DEL DISEÑO DE CIRCUITOS</t>
  </si>
  <si>
    <t>03 * FABRICACION DE ACIDO NITRICO</t>
  </si>
  <si>
    <t>04 * FABRICACION DE AMONIACO</t>
  </si>
  <si>
    <t>05 * FABRICACION DE CLORURO DE AMONIO COMERCIAL</t>
  </si>
  <si>
    <t>06 * FABRICACION DE NITRATOS DE POTASIO</t>
  </si>
  <si>
    <t>07 * FABRICACION DE UREA</t>
  </si>
  <si>
    <t>2413</t>
  </si>
  <si>
    <t>2413 * FABRICACION DE PLASTICOS EN FORMAS PRIMARIAS Y DE CAUCHO SINTETICO</t>
  </si>
  <si>
    <t>11 * CONSTRUCCION Y REPARACION DE BUQUES HOSPITALES</t>
  </si>
  <si>
    <t>12 * CONSTRUCCION Y REPARACION DE DESGUAZAMIENTO DE EMBARCACIONES</t>
  </si>
  <si>
    <t>13 * CONSTRUCCION Y REPARACION DE DIQUES FLOTANTES</t>
  </si>
  <si>
    <t>14 * CONSTRUCCION Y REPARACION DE DRAGAS</t>
  </si>
  <si>
    <t>03 * FABRICACION DE ELEMENTOS COMBUSTIBLES NO IRRADIADOS</t>
  </si>
  <si>
    <t>17 * FABRICACION DE VIDRIO ENDURECIDO O LAMINADO</t>
  </si>
  <si>
    <t xml:space="preserve">O B S E R V A C I O N E S   </t>
  </si>
  <si>
    <t xml:space="preserve">      encuentren generados.</t>
  </si>
  <si>
    <t>04 * EMPRESAS DE PROPIEDAD SOCIAL</t>
  </si>
  <si>
    <t>05 * SUCURSAL DE AGENCIAS EXTRANJERAS</t>
  </si>
  <si>
    <t>CHALLABAMBA</t>
  </si>
  <si>
    <t>COLQUEPATA</t>
  </si>
  <si>
    <t>01 * AVENIDA</t>
  </si>
  <si>
    <t>02 * CALLE</t>
  </si>
  <si>
    <t>03 * PRODUCCION DE ACEITES DE ALUMBRADO</t>
  </si>
  <si>
    <t>03 * FABRICACION DE APARATOS PARA ENSAYAR Y REGULAR MOTORES DE VEHICULOS</t>
  </si>
  <si>
    <t>03 * FABRICACION DE MAQUINAS CARDADORAS DE LANA</t>
  </si>
  <si>
    <t>04 * FABRICACION DE MAQUINAS DE CEPILLAR</t>
  </si>
  <si>
    <t>BREÑA</t>
  </si>
  <si>
    <t>RAMON CASTILLA</t>
  </si>
  <si>
    <t>PEBAS</t>
  </si>
  <si>
    <t>REQUENA</t>
  </si>
  <si>
    <t>ALTO TAPICHE</t>
  </si>
  <si>
    <t>CAPELO</t>
  </si>
  <si>
    <t>EMILIO SAN MARTIN</t>
  </si>
  <si>
    <t>MAQUIA</t>
  </si>
  <si>
    <t>PUINAHUA</t>
  </si>
  <si>
    <t>SAQUENA</t>
  </si>
  <si>
    <t>ALFONSO UGARTE</t>
  </si>
  <si>
    <t>CASHAPAMPA</t>
  </si>
  <si>
    <t>Produce_ayacucho@produce.gob.pe</t>
  </si>
  <si>
    <t>Jr. Wiracocha Nº 143- Cajamarca</t>
  </si>
  <si>
    <t>Telf: 076 – 838390</t>
  </si>
  <si>
    <t>Produce_cajamarca@produce.gob.pe</t>
  </si>
  <si>
    <t>25 * FABRICACION DE REVESTIMIENTO DE PLASTICO PARA PISOS, PAREDES Y TECHOS, EN ROLLOS Y EN FORMA DE LOSETA</t>
  </si>
  <si>
    <t>26 * FABRICACION DE SACOS</t>
  </si>
  <si>
    <t>27 * FABRICACION DE TAZAS DE INODOROS</t>
  </si>
  <si>
    <t>28 * FABRICACION DE TUBOS, MANGUERAS Y CAÑOS</t>
  </si>
  <si>
    <t>29 * FABRICACION DE UTENSILIOS DE COCINA</t>
  </si>
  <si>
    <t>30 * FABRICACION DE VENTANAS Y SUS MARCOS</t>
  </si>
  <si>
    <t>31 * FABRICACION DE ENVASES DE PLASTICO</t>
  </si>
  <si>
    <t>32 * FABRICACION DE OTROS PRODUCTOS NO ESPECIFICADOS</t>
  </si>
  <si>
    <t>2610</t>
  </si>
  <si>
    <t>21 * FABRICACION DE PRODUCTOS PIROTECNICOS (ANTORCHAS, ARTICULOS ENCENDEDORES Y PRODUCTOS SIMILARES)</t>
  </si>
  <si>
    <t>22 * FABRICACION DE REACTIVOS COMPUESTOS PARA DIAGNOSTICO Y LABORATORIO</t>
  </si>
  <si>
    <t>23 * FABRICACION DE SAL PROCESADA</t>
  </si>
  <si>
    <t>24 * FABRICACION DE TINTAS PARA ESCRIBIR Y DIBUJAR</t>
  </si>
  <si>
    <t>2430</t>
  </si>
  <si>
    <t>01 * FABRICACION DE AMPLIADORES Y REDUCTORES DE IMAGEN</t>
  </si>
  <si>
    <t>02 * FABRICACION DE APARATOS CON LAMPARAS DE DESCARGA (EXCEPTO BOMBILLAS DE MAGNESIO)</t>
  </si>
  <si>
    <t>10 * FABRICACION DE RECIPIENTES DE VIDRIO</t>
  </si>
  <si>
    <t>11 * FABRICACION DE TAPAS Y TAPONES DE VIDRIO</t>
  </si>
  <si>
    <t>12 * FABRICACION DE VIDRIO COLADO</t>
  </si>
  <si>
    <t>13 * FABRICACION DE VIDRIO COLOREADO</t>
  </si>
  <si>
    <t>YUYAPICHIS</t>
  </si>
  <si>
    <t>LAURICOCHA</t>
  </si>
  <si>
    <t>JIVIA</t>
  </si>
  <si>
    <t>QUEROPALCA</t>
  </si>
  <si>
    <t>RONDOS</t>
  </si>
  <si>
    <t>SAN FRANCISCO DE ASIS</t>
  </si>
  <si>
    <t>SAN MIGUEL DE CAURI</t>
  </si>
  <si>
    <t>CHAVINILLO</t>
  </si>
  <si>
    <t>CAHUAC</t>
  </si>
  <si>
    <t>CHACABAMBA</t>
  </si>
  <si>
    <t>06 * FABRICACION DE AUDIFONOS</t>
  </si>
  <si>
    <t>YANATILE</t>
  </si>
  <si>
    <t>CANAS</t>
  </si>
  <si>
    <t>YANAOCA</t>
  </si>
  <si>
    <t>CHECCA</t>
  </si>
  <si>
    <t>KUNTURKANKI</t>
  </si>
  <si>
    <t>LANGUI</t>
  </si>
  <si>
    <t>LAYO</t>
  </si>
  <si>
    <t>QUEHUE</t>
  </si>
  <si>
    <t>TUPAC AMARU</t>
  </si>
  <si>
    <t>CANCHIS</t>
  </si>
  <si>
    <t>SICUANI</t>
  </si>
  <si>
    <t>CHECACUPE</t>
  </si>
  <si>
    <t>COMBAPATA</t>
  </si>
  <si>
    <t>TATE</t>
  </si>
  <si>
    <t>CHINCHA</t>
  </si>
  <si>
    <t>CHINCHA ALTA</t>
  </si>
  <si>
    <t>ALTO LARAN</t>
  </si>
  <si>
    <t>CHAVIN</t>
  </si>
  <si>
    <t>CHINCHA BAJA</t>
  </si>
  <si>
    <t>GROCIO PRADO</t>
  </si>
  <si>
    <t>SAN JUAN DE YANAC</t>
  </si>
  <si>
    <t>09 * FABRICACION DE PERFILES HUECOS DE HIERRO Y ACERO SIN COSTURA</t>
  </si>
  <si>
    <t>10 * FABRICACION DE PLANCHAS DE ACERO</t>
  </si>
  <si>
    <t>07 * FABRICACION DE ELEVADORES DE LIQUIDOS</t>
  </si>
  <si>
    <t>08 * FABRICACION DE GRUAS CORRIENTES, GRUAS DE BRAZO MOVIL</t>
  </si>
  <si>
    <t>09 * FABRICACION DE GRUAS DE CABLE</t>
  </si>
  <si>
    <t>b)  Esperar que el archivo se cierre automáticamente, en ese momento habrá concluido el proceso.</t>
  </si>
  <si>
    <t>00 * FABRICACION DE OTROS TIPOS DE MAQUINARIA DE USO GENERAL</t>
  </si>
  <si>
    <t>17 * PRODUCCION DE HIERRO EN LINGOTES</t>
  </si>
  <si>
    <t>08 * OTRAS CERAS DE PETROLEO Y PRODUCTOS RESIDUALES</t>
  </si>
  <si>
    <t>2330</t>
  </si>
  <si>
    <t>2330 * ELABORACION DE COMBUSTIBLE NUCLEAR</t>
  </si>
  <si>
    <t>00 * ELABORACION DE COMBUSTIBLE NUCLEAR</t>
  </si>
  <si>
    <t>01 * EXTRACCION DE METAL DE URANIO A PARTIR DE LA PECBLENDA</t>
  </si>
  <si>
    <t>02 * FABRICACION DE ALEACIONES Y DISPERSIONES DE URANIO NATURAL</t>
  </si>
  <si>
    <t>Ing. DENIS ROMAN ROMAN</t>
  </si>
  <si>
    <t>c) El reporte de validación muestra al final dos tipos de mensaje:</t>
  </si>
  <si>
    <t>el formulario no ha  registrado ningún error al ingresar información.</t>
  </si>
  <si>
    <t>SANTA ISABEL DE SIGUAS</t>
  </si>
  <si>
    <t>MONTO A</t>
  </si>
  <si>
    <t>BRUTO (S/.)</t>
  </si>
  <si>
    <t>DEDUCIR (S/.)</t>
  </si>
  <si>
    <t>A PAGAR (S/.)</t>
  </si>
  <si>
    <t>07 * FABRICACION DE ESPATULAS</t>
  </si>
  <si>
    <t xml:space="preserve">         de la Producción, a fin de evitar ser sancionada en el proceso de seguimiento a empresas omisas, deberá llenar el </t>
  </si>
  <si>
    <t>30 * FABRICACION DE MAQUINAS PARA LA PRODUCCION DE PAPEL DE TAMAÑO Y FORMAS DETERMINADOS</t>
  </si>
  <si>
    <t>10 * FABRICACION DE PANELES DE CONTROL NUMERICO Y TABLEROS</t>
  </si>
  <si>
    <t>11 * FABRICACION DE CONSOLAS</t>
  </si>
  <si>
    <t>Artículo 120º - Las empresas industriales presentarán anualmente la información estadística referente a su actividad industrial. El incumplimiento de esta disposición será sancionado conforme al reglamento.</t>
  </si>
  <si>
    <t>07 * FABRICACION DE MAQUINAS COSECHADORAS</t>
  </si>
  <si>
    <t>18 * FABRICACION DE DISPOSITIVOS ACCIONADORES DE ENGRANAJE</t>
  </si>
  <si>
    <t>19 * FABRICACION DE DISYUNTORES</t>
  </si>
  <si>
    <t>20 * FABRICACION DE ELECTRODOS DE CARBON O DE GRAFITO</t>
  </si>
  <si>
    <t>21 * FABRICACION DE ELECTROIMANES</t>
  </si>
  <si>
    <t>22 * FABRICACION DE ELIMINADORES DE ESCARCHA</t>
  </si>
  <si>
    <t>07 * REPRODUCCION DE OBRAS DE ARTE</t>
  </si>
  <si>
    <t>02 * FABRICACION DE ARTICULOS DE CORCHO NATURAL O AGLOMERADO</t>
  </si>
  <si>
    <t>3720 * RECICLAMIENTO DE DESPERDICIOS Y DESECHOS NO METALICOS</t>
  </si>
  <si>
    <t>CARHUAMAYO</t>
  </si>
  <si>
    <t>ONDORES</t>
  </si>
  <si>
    <t>ULCUMAYO</t>
  </si>
  <si>
    <t>SATIPO</t>
  </si>
  <si>
    <t>COVIRIALI</t>
  </si>
  <si>
    <t>LLAYLLA</t>
  </si>
  <si>
    <t>MAZAMARI</t>
  </si>
  <si>
    <t>PAMPA HERMOSA</t>
  </si>
  <si>
    <t>PANGOA</t>
  </si>
  <si>
    <t>RIO NEGRO</t>
  </si>
  <si>
    <t>RIO TAMBO</t>
  </si>
  <si>
    <t>TARMA</t>
  </si>
  <si>
    <t>HUARICOLCA</t>
  </si>
  <si>
    <t>HUASAHUASI</t>
  </si>
  <si>
    <t>02 * BRUÑIDO DEL METAL Y DE ARTICULOS DE METAL</t>
  </si>
  <si>
    <t>03 * DESBARBADO DEL METAL Y DE ARTICULOS DE METAL</t>
  </si>
  <si>
    <t>01 * ASERRADEROS</t>
  </si>
  <si>
    <t>09 * FABRICACION Y REENCAUCHADO DE CUBIERTAS DE CAUCHO PARA VEHICULOS</t>
  </si>
  <si>
    <t>10 * RENOVACION DE CUBIERTAS</t>
  </si>
  <si>
    <t>VENTAS Y/O RETIROS</t>
  </si>
  <si>
    <t>Bienes Nuevos</t>
  </si>
  <si>
    <t>Bienes Usados</t>
  </si>
  <si>
    <t>(En Nuevos Soles)</t>
  </si>
  <si>
    <t>HUAMANGUILLA</t>
  </si>
  <si>
    <t>32 * FABRICACION DE MICROSCOPIOS (EXCEPTO MICROSCOPIOS OPTICOS Y APARATOS DE DIFRACCION)</t>
  </si>
  <si>
    <t>SAN JOSE DE QUERO</t>
  </si>
  <si>
    <t>SANTA ROSA DE OCOPA</t>
  </si>
  <si>
    <t>CHANCHAMAYO</t>
  </si>
  <si>
    <t>PERENE</t>
  </si>
  <si>
    <t>PICHANAQUI</t>
  </si>
  <si>
    <t>SAN LUIS DE SHUARO</t>
  </si>
  <si>
    <t>SAN RAMON</t>
  </si>
  <si>
    <t>SAN FRANCISCO DEL YESO</t>
  </si>
  <si>
    <t>SAN JERONIMO</t>
  </si>
  <si>
    <t>PISCO</t>
  </si>
  <si>
    <t>HUANCANO</t>
  </si>
  <si>
    <t>HUMAY</t>
  </si>
  <si>
    <t>CODO DEL POZUZO</t>
  </si>
  <si>
    <t>HONORIA</t>
  </si>
  <si>
    <t>TOURNAVISTA</t>
  </si>
  <si>
    <t>02 * PROCESAMIENTO DE DESECHOS METALICOS</t>
  </si>
  <si>
    <t>11 * SUSTITUCION DE BANDAS DE RODADURA EN CUBIERTAS DE NEUMATICOS USADOS - REENCAUCHADORAS DE LLANTAS</t>
  </si>
  <si>
    <t>2519</t>
  </si>
  <si>
    <t>16 * FABRICACION DE MACETAS</t>
  </si>
  <si>
    <t>08 * FABRICACION DE CAMIONES DE BOMBEROS</t>
  </si>
  <si>
    <t>09 * FABRICACION DE CAMIONES RECOLECTORES DE BASURA</t>
  </si>
  <si>
    <t>10 * FABRICACION DE CAMIONES Y CAMIONETAS</t>
  </si>
  <si>
    <t>11 * FABRICACION DE CARRITOS AUTOPROPULSADOS</t>
  </si>
  <si>
    <t>12 * FABRICACION DE CARROS BLINDADOS</t>
  </si>
  <si>
    <t>SANTO DOMINGO DE LOS OLLEROS</t>
  </si>
  <si>
    <t>00 * FABRICACION DE APARATOS DE DISTRIBUCION Y CONTROL DE ENERGIA ELECTRICA</t>
  </si>
  <si>
    <t>11 * FABRICACION DE LACAS</t>
  </si>
  <si>
    <t>SANTIAGO DE QUIRAHUARA</t>
  </si>
  <si>
    <t>3599 * FABRICACION DE OTROS TIPOS DE EQUIPO DE TRANSPORTE N.C.P.</t>
  </si>
  <si>
    <t>00 * FABRICACION DE OTROS TIPOS DE EQUIPO DE TRANSPORTE N.C.P.</t>
  </si>
  <si>
    <t>01 * FABRICACION DE CALESAS</t>
  </si>
  <si>
    <t>02 * FABRICACION DE CALESINES</t>
  </si>
  <si>
    <t>03 * FABRICACION DE CARRETILLAS</t>
  </si>
  <si>
    <t>04 * FABRICACION DE CARRETONCILLOS</t>
  </si>
  <si>
    <t>05 * FABRICACION DE CARRITOS PARA EQUIPAJE</t>
  </si>
  <si>
    <t>06 * FABRICACION DE CARRITOS PARA SUPERMERCADOS</t>
  </si>
  <si>
    <t>10 * PINTADO DE METAL Y DE ARTICULOS DE METAL</t>
  </si>
  <si>
    <t>11 * PULIMENTO DE METAL Y DE ARTICULOS DE METAL</t>
  </si>
  <si>
    <t>12 * PULIMENTO EN TAMBOR GIRATORIO DE METAL Y ARTICULO DE METAL</t>
  </si>
  <si>
    <t>13 * SOLDADURA DE METAL Y DE ARTICULO DE METAL</t>
  </si>
  <si>
    <t>2893</t>
  </si>
  <si>
    <t>22 * FABRICACION DE MAQUINAS HIBRIDAS (ANALOGICO - DIGITALES)</t>
  </si>
  <si>
    <t>23 * FABRICACION DE MAQUINAS MULTICOPISTAS</t>
  </si>
  <si>
    <t>24 * FABRICACION DE MAQUINAS PARA EMITIR BILLETES</t>
  </si>
  <si>
    <t>i) Ingresar el disquete en la unidad (A:) de su computadora</t>
  </si>
  <si>
    <t>4. Antes de ingresar la información</t>
  </si>
  <si>
    <t>a). Activar el software EXCEL</t>
  </si>
  <si>
    <t>B.</t>
  </si>
  <si>
    <t>15 * FABRICACION DE PAÑOS PARA DESEMPOLVAR</t>
  </si>
  <si>
    <t>16 * FABRICACION DE PUFES</t>
  </si>
  <si>
    <t>17 * FABRICACION DE SABANAS</t>
  </si>
  <si>
    <t>19 * FABRICACION DE OTRAS MAQUINAS DE USO AGRICOLA, CRIA DE ANIMALES, LA HORTICULTURA, SILVICULTURA, AVICULTURA, ETC.</t>
  </si>
  <si>
    <t>2922</t>
  </si>
  <si>
    <t>3190 * FABRICACION DE OTROS TIPOS DE EQUIPO ELECTRICO N.C.P.</t>
  </si>
  <si>
    <t>00 * FABRICACION DE OTROS TIPOS DE EQUIPO ELECTRICO N.C.P.</t>
  </si>
  <si>
    <t>Si Cap04, claves (01+02+03+04) &gt;0 entonces Capitulo 06 clave 05, columna 01 &gt;0</t>
  </si>
  <si>
    <t>12 * FABRICACION DE PERFUMES, AGUAS DE COLONIA Y AGUAS DE TOCADOR</t>
  </si>
  <si>
    <t>00 * FABRICACION DE JOYAS Y ARTICULOS CONEXOS</t>
  </si>
  <si>
    <t>Produce_madrededios@produce.gob.pe</t>
  </si>
  <si>
    <t>13 * FABRICACION DE NO ESPECIFICADOS PARTES, PIEZAS Y ACCESORIOS PARA VEHICULOS AUTOMOTORES Y SUS MOTORES</t>
  </si>
  <si>
    <t>3511</t>
  </si>
  <si>
    <t>3511 * CONSTRUCCION Y REPARACION DE BUQUES</t>
  </si>
  <si>
    <t>00 * CONSTRUCCION Y REPARACION DE BUQUES</t>
  </si>
  <si>
    <t>01 * CONSTRUCCION Y REPARACION DE AERODESLIZADORES</t>
  </si>
  <si>
    <t>GRIFOS LEROS S.R.L.</t>
  </si>
  <si>
    <t>SAMUEL PASTOR</t>
  </si>
  <si>
    <t>CARAVELI</t>
  </si>
  <si>
    <t>ACARI</t>
  </si>
  <si>
    <t>ATICO</t>
  </si>
  <si>
    <t>ATIQUIPA</t>
  </si>
  <si>
    <t>BELLA UNION</t>
  </si>
  <si>
    <t>00 * FABRICACION DE CUERDAS, CORDELES, BRAMANTES Y REDES</t>
  </si>
  <si>
    <t>01 * FABRICACION DE BRAMANTES</t>
  </si>
  <si>
    <t>CARMEN DE LA LEGUA REYNOSO</t>
  </si>
  <si>
    <t>LA PERLA</t>
  </si>
  <si>
    <t>LA PUNTA</t>
  </si>
  <si>
    <t>SAN MARCOS DE ROCCHAC</t>
  </si>
  <si>
    <t>SURCUBAMBA</t>
  </si>
  <si>
    <t>TINTAY PUNCU</t>
  </si>
  <si>
    <t>HUANUCO</t>
  </si>
  <si>
    <t>AMARILIS</t>
  </si>
  <si>
    <t>CHINCHAO</t>
  </si>
  <si>
    <t>CHURUBAMBA</t>
  </si>
  <si>
    <t>MARGOS</t>
  </si>
  <si>
    <t>MATAPALO</t>
  </si>
  <si>
    <t>PAPAYAL</t>
  </si>
  <si>
    <t>MARANGANI</t>
  </si>
  <si>
    <t>PITUMARCA</t>
  </si>
  <si>
    <t>TINTA</t>
  </si>
  <si>
    <t>CHUMBIVILCAS</t>
  </si>
  <si>
    <t>CAPACMARCA</t>
  </si>
  <si>
    <t>CHAMACA</t>
  </si>
  <si>
    <t xml:space="preserve">Las Personas Naturales o Jurídicas que se negaren a suministrar datos, los dieren falseando la verdad maliciosamente o dilatasen injustificadamente los terminos establecidos, se harán </t>
  </si>
  <si>
    <t>23 * FABRICACION DE FUSTAS</t>
  </si>
  <si>
    <t>24 * FABRICACION DE JOYAS DE FANTASIA</t>
  </si>
  <si>
    <t>25 * FABRICACION DE LATIGOS</t>
  </si>
  <si>
    <t>26 * FABRICACION DE LINOLEO Y OTROS MATERIALES PARA REVESTIR PISOS</t>
  </si>
  <si>
    <t>27 * FABRICACION DE MANIQUIES DE SASTRE</t>
  </si>
  <si>
    <t>28 * FABRICACION DE MINAS PARA LAPICES</t>
  </si>
  <si>
    <t>29 * FABRICACION DE PARACAIDAS DE ROTOR</t>
  </si>
  <si>
    <t>30 * FABRICACION DE PARAGUAS SOMBRILLAS</t>
  </si>
  <si>
    <t>MATALAQUE</t>
  </si>
  <si>
    <t>PUQUINA</t>
  </si>
  <si>
    <t>QUINISTAQUILLAS</t>
  </si>
  <si>
    <t>UBINAS</t>
  </si>
  <si>
    <t>YUNGA</t>
  </si>
  <si>
    <t>ILO</t>
  </si>
  <si>
    <t>EL ALGARROBAL</t>
  </si>
  <si>
    <t>PACOCHA</t>
  </si>
  <si>
    <t>PASCO</t>
  </si>
  <si>
    <t>MIGUEL IGLESIAS</t>
  </si>
  <si>
    <t>OXAMARCA</t>
  </si>
  <si>
    <t>SOROCHUCO</t>
  </si>
  <si>
    <t>UTCO</t>
  </si>
  <si>
    <t>LA LIBERTAD DE PALLAN</t>
  </si>
  <si>
    <t>CHOTA</t>
  </si>
  <si>
    <t>ANGUIA</t>
  </si>
  <si>
    <t>CHADIN</t>
  </si>
  <si>
    <t>CHIGUIRIP</t>
  </si>
  <si>
    <t>UCHUMARCA</t>
  </si>
  <si>
    <t>UCUNCHA</t>
  </si>
  <si>
    <t>20</t>
  </si>
  <si>
    <t>21</t>
  </si>
  <si>
    <t>22</t>
  </si>
  <si>
    <t>23</t>
  </si>
  <si>
    <t>24</t>
  </si>
  <si>
    <t>25</t>
  </si>
  <si>
    <t>26</t>
  </si>
  <si>
    <t>27</t>
  </si>
  <si>
    <t>28</t>
  </si>
  <si>
    <t>29</t>
  </si>
  <si>
    <t>COCHAMAL</t>
  </si>
  <si>
    <t>10 * FABRICACION DE MATERIAL DE REPRODUCCION PARA GRABACIONES SONORAS O DE OTRO TIPO</t>
  </si>
  <si>
    <t>11 * FABRICACION DE MATERIALES PARA EL ACABADO DE PRODUCTOS TEXTILES</t>
  </si>
  <si>
    <t>12 * FABRICACION DE MECHAS DETONADORAS Y DE SEGURIDAD, CAPSULAS</t>
  </si>
  <si>
    <t>13 * FABRICACION DE PELICULAS Y PAPEL SENSIBILIZADO</t>
  </si>
  <si>
    <t>14 * FABRICACION DE PEPTONAS Y SUS DERIVADOS</t>
  </si>
  <si>
    <t>00 * FABRICACION DE MAQUINARIA PARA LA EXPLOTACION DE MINAS Y CANTERAS Y PARA OBRAS DE CONSTRUCCION</t>
  </si>
  <si>
    <t>01 * FABRICACION DE ALISADORAS</t>
  </si>
  <si>
    <t>02 * FABRICACION DE APISONADORAS</t>
  </si>
  <si>
    <t>SAN PEDRO DE HUACARPANA</t>
  </si>
  <si>
    <t>SUNAMPE</t>
  </si>
  <si>
    <t>TAMBO DE MORA</t>
  </si>
  <si>
    <t>NAZCA</t>
  </si>
  <si>
    <t>CHANGUILLO</t>
  </si>
  <si>
    <t>EL INGENIO</t>
  </si>
  <si>
    <t>MARCONA</t>
  </si>
  <si>
    <t>PALPA</t>
  </si>
  <si>
    <t>LLIPATA</t>
  </si>
  <si>
    <t>TIBILLO</t>
  </si>
  <si>
    <t>LAREDO</t>
  </si>
  <si>
    <t>MOCHE</t>
  </si>
  <si>
    <t>POROTO</t>
  </si>
  <si>
    <t>SALAVERRY</t>
  </si>
  <si>
    <t>SIMBAL</t>
  </si>
  <si>
    <t>VICTOR LARCO HERRERA</t>
  </si>
  <si>
    <t>ASCOPE</t>
  </si>
  <si>
    <t>CHICAMA</t>
  </si>
  <si>
    <t>CHOCOPE</t>
  </si>
  <si>
    <t>HUANCARANI</t>
  </si>
  <si>
    <t>URCOS</t>
  </si>
  <si>
    <t>ANDAHUAYLILLAS</t>
  </si>
  <si>
    <t>CAMANTI</t>
  </si>
  <si>
    <t>CCARHUAYO</t>
  </si>
  <si>
    <t>CCATCA</t>
  </si>
  <si>
    <t>CUSIPATA</t>
  </si>
  <si>
    <t>HUARO</t>
  </si>
  <si>
    <t>PALCA</t>
  </si>
  <si>
    <t>PILCHACA</t>
  </si>
  <si>
    <t>VILCA</t>
  </si>
  <si>
    <t>YAULI</t>
  </si>
  <si>
    <t>CAJA</t>
  </si>
  <si>
    <t>MARCAS</t>
  </si>
  <si>
    <t>PAUCARA</t>
  </si>
  <si>
    <t>ROSARIO</t>
  </si>
  <si>
    <t>LIRCAY</t>
  </si>
  <si>
    <t>ANCHONGA</t>
  </si>
  <si>
    <t>CALLANMARCA</t>
  </si>
  <si>
    <t>CCOCHACCASA</t>
  </si>
  <si>
    <t>CHINCHO</t>
  </si>
  <si>
    <t>CONGALLA</t>
  </si>
  <si>
    <t>HUANCA-HUANCA</t>
  </si>
  <si>
    <t>HUAYLLAY GRANDE</t>
  </si>
  <si>
    <t>JULCAMARCA</t>
  </si>
  <si>
    <t>01 * FABRICACION DE BANCOS DE TREFILAR</t>
  </si>
  <si>
    <t>02 * FABRICACION DE SIERRAS DE CADENA</t>
  </si>
  <si>
    <t>03 * FABRICACION DE CIZALLAS MECANICAS</t>
  </si>
  <si>
    <t>11 * FABRICACION DE LAMINAS</t>
  </si>
  <si>
    <t>12 * FABRICACION DE LAMINAS LISAS Y ONDULADAS</t>
  </si>
  <si>
    <t>13 * FABRICACION DE LAVABOS</t>
  </si>
  <si>
    <t>14 * FABRICACION DE LAVADEROS, CANTAROS</t>
  </si>
  <si>
    <r>
      <t xml:space="preserve">2. </t>
    </r>
    <r>
      <rPr>
        <b/>
        <u/>
        <sz val="8"/>
        <rFont val="Arial"/>
        <family val="2"/>
      </rPr>
      <t>Requerimiento</t>
    </r>
    <r>
      <rPr>
        <u/>
        <sz val="8"/>
        <rFont val="Arial"/>
        <family val="2"/>
      </rPr>
      <t xml:space="preserve"> </t>
    </r>
    <r>
      <rPr>
        <b/>
        <u/>
        <sz val="8"/>
        <rFont val="Arial"/>
        <family val="2"/>
      </rPr>
      <t>de</t>
    </r>
    <r>
      <rPr>
        <u/>
        <sz val="8"/>
        <rFont val="Arial"/>
        <family val="2"/>
      </rPr>
      <t xml:space="preserve"> </t>
    </r>
    <r>
      <rPr>
        <b/>
        <u/>
        <sz val="8"/>
        <rFont val="Arial"/>
        <family val="2"/>
      </rPr>
      <t>Software</t>
    </r>
  </si>
  <si>
    <r>
      <t xml:space="preserve">3. </t>
    </r>
    <r>
      <rPr>
        <b/>
        <u/>
        <sz val="8"/>
        <rFont val="Arial"/>
        <family val="2"/>
      </rPr>
      <t>Procedimiento</t>
    </r>
    <r>
      <rPr>
        <u/>
        <sz val="8"/>
        <rFont val="Arial"/>
        <family val="2"/>
      </rPr>
      <t xml:space="preserve"> </t>
    </r>
    <r>
      <rPr>
        <b/>
        <u/>
        <sz val="8"/>
        <rFont val="Arial"/>
        <family val="2"/>
      </rPr>
      <t>para</t>
    </r>
    <r>
      <rPr>
        <u/>
        <sz val="8"/>
        <rFont val="Arial"/>
        <family val="2"/>
      </rPr>
      <t xml:space="preserve"> </t>
    </r>
    <r>
      <rPr>
        <b/>
        <u/>
        <sz val="8"/>
        <rFont val="Arial"/>
        <family val="2"/>
      </rPr>
      <t>la</t>
    </r>
    <r>
      <rPr>
        <u/>
        <sz val="8"/>
        <rFont val="Arial"/>
        <family val="2"/>
      </rPr>
      <t xml:space="preserve"> </t>
    </r>
    <r>
      <rPr>
        <b/>
        <u/>
        <sz val="8"/>
        <rFont val="Arial"/>
        <family val="2"/>
      </rPr>
      <t>Instalación</t>
    </r>
  </si>
  <si>
    <t>CALLALLI</t>
  </si>
  <si>
    <t>COPORAQUE</t>
  </si>
  <si>
    <t>HUANCA</t>
  </si>
  <si>
    <t>1554</t>
  </si>
  <si>
    <t>16 * IMPRESION DE TIMBRES FISCALES</t>
  </si>
  <si>
    <t>17 * REPRODUCCION DE MATERIAL MEDIANTE MAQUINAS COMPUTADORAS, GRABADORAS, FOTOCOPIADORAS Y TERMOCOPIADORAS</t>
  </si>
  <si>
    <t>18 * IMPRESION EN GENERAL</t>
  </si>
  <si>
    <t>2222</t>
  </si>
  <si>
    <t>01 * FABRICACION DE ALTO RELIEVES</t>
  </si>
  <si>
    <t>01 * FABRICACION DE CELULAS FOTOVOLTOICOS</t>
  </si>
  <si>
    <t>16 * FABRICACION DE LAMINAS (PLASTICO)</t>
  </si>
  <si>
    <t>15 * FABRICACION DE MAQUINAS PARA MOVER FISICAMENTE MATERIALES, MERCANCIAS Y PERSONAS</t>
  </si>
  <si>
    <t>16 * FABRICACION DE MONTACARGAS</t>
  </si>
  <si>
    <t>41 * FABRICACION DE SIRENAS</t>
  </si>
  <si>
    <t>42 * FABRICACION DE TIMBRES</t>
  </si>
  <si>
    <t>04 * REPRODUCCION DE DISCOS FLEXIBLES, DUROS Y COMPACTOS DE COMPUTADORA</t>
  </si>
  <si>
    <t>18 * FABRICACION DE MAQUINAS PARA TRABAJAR ALAMBRE</t>
  </si>
  <si>
    <t>02 * FABRICACION DE CARROCERIAS, VIDRIO Y METAL, PASTAS Y POLVOS ABRASIVOS Y PRODUCTOS SIMILARES EN FORMA DE PAPEL,FIELTRO, GUATA, CAUCHO CELULAR, IMPRESGNADOS, REVESTIDOS O RECUBIERTOS CON BRUÑIDORES O CREMAS</t>
  </si>
  <si>
    <t>SAN JOAQUIN</t>
  </si>
  <si>
    <t>SAN PEDRO DE PILAS</t>
  </si>
  <si>
    <t>TANTA</t>
  </si>
  <si>
    <t>TAURIPAMPA</t>
  </si>
  <si>
    <t>TOMAS</t>
  </si>
  <si>
    <t>HUAYTARA</t>
  </si>
  <si>
    <t>AYAVI</t>
  </si>
  <si>
    <t>03 * FABRICACION DE CERAS ARTIFICIALES Y CERAS PREPARADAS QUE SE COMPONEN DE MEZCLAS DE CERAS</t>
  </si>
  <si>
    <t>04 * FABRICACION DE CREMAS PARA PISOS</t>
  </si>
  <si>
    <t>03 * EDICION DE LIBROS DE TEXTOS</t>
  </si>
  <si>
    <t>04 * FABRICACION DE ACCESORIOS DE AERONAVES (ALAS, PUERTAS, ETC)</t>
  </si>
  <si>
    <t>05 * FABRICACION DE APARATOS DE ENTRENAMIENTO DE VUELO EN TIERRA</t>
  </si>
  <si>
    <t>16 * FABRICACION DE UNIDADES MEDICAS Y ODONTOLOGICOS MOVILES</t>
  </si>
  <si>
    <t>17 * FABRICACION DE VEHICULOS ANFIBIOS</t>
  </si>
  <si>
    <t>39 * FABRICACION DE MAQUINAS TRITURADORAS (DE OTROS TIPOS DE MAQUINARIA DE USO ESPECIAL)</t>
  </si>
  <si>
    <t>CARHUAPAMPA</t>
  </si>
  <si>
    <t>COCHAS</t>
  </si>
  <si>
    <t>CONGAS</t>
  </si>
  <si>
    <t>LLIPA</t>
  </si>
  <si>
    <t>SAN CRISTOBAL DE RAJAN</t>
  </si>
  <si>
    <t>SAN PEDRO</t>
  </si>
  <si>
    <t>SANTIAGO DE CHILCAS</t>
  </si>
  <si>
    <t>PALLASCA</t>
  </si>
  <si>
    <t>CABANA</t>
  </si>
  <si>
    <t>CONCHUCOS</t>
  </si>
  <si>
    <t xml:space="preserve"> - Pág.2 -</t>
  </si>
  <si>
    <t>2913 * FABRICACION DE COJINETES, ENGRANAJES, TRENES DE ENGRANAJES Y PIEZAS DE TRANSMISION</t>
  </si>
  <si>
    <t>00 * FABRICACION DE COJINETES, ENGRANAJES, TRENES DE ENGRANAJES Y PIEZAS DE TRANSMISION</t>
  </si>
  <si>
    <t>01 * FABRICACION DE ACOPLAMIENTO DE ARBOLES</t>
  </si>
  <si>
    <t>COLQUEMARCA</t>
  </si>
  <si>
    <t>LIVITACA</t>
  </si>
  <si>
    <t>LLUSCO</t>
  </si>
  <si>
    <t>2.-</t>
  </si>
  <si>
    <t>PILLUANA</t>
  </si>
  <si>
    <t>PUCACACA</t>
  </si>
  <si>
    <t>SAN HILARION</t>
  </si>
  <si>
    <t>SHAMBOYACU</t>
  </si>
  <si>
    <t>TINGO DE PONASA</t>
  </si>
  <si>
    <t>TRES UNIDOS</t>
  </si>
  <si>
    <t>RIOJA</t>
  </si>
  <si>
    <t>QUITO-ARMA</t>
  </si>
  <si>
    <t>TUPE</t>
  </si>
  <si>
    <t>VITIS</t>
  </si>
  <si>
    <t>LORETO</t>
  </si>
  <si>
    <t>MAYNAS</t>
  </si>
  <si>
    <t>IQUITOS</t>
  </si>
  <si>
    <t>JUAN ESPINOZA MEDRANO</t>
  </si>
  <si>
    <t>OROPESA</t>
  </si>
  <si>
    <t>PACHACONAS</t>
  </si>
  <si>
    <t>JENARO HERRERA</t>
  </si>
  <si>
    <t>UCAYALI</t>
  </si>
  <si>
    <t>CONTAMANA</t>
  </si>
  <si>
    <t>INAHUAYA</t>
  </si>
  <si>
    <t>09 * FABRICACION DE ESTATUILLAS Y OTROS ARTICULOS ORNAMENTALES DE CERAMICA</t>
  </si>
  <si>
    <t>16 * FABRICACION DE LOCOMOTORAS DIESEL ELECTRICAS</t>
  </si>
  <si>
    <t>17 * FABRICACION DE LOCOMOTORAS PROPULSADAS POR MAQUINA DE VAPOR</t>
  </si>
  <si>
    <t>18 * FABRICACION DE LOCOMOTORAS PROPULSADAS POR MOTORES DE ENCENDIDO POR CHISPA ELECTRICA</t>
  </si>
  <si>
    <t>PARIÑAS</t>
  </si>
  <si>
    <t>MAÑAZO</t>
  </si>
  <si>
    <t>MUÑANI</t>
  </si>
  <si>
    <t>CAPAZO</t>
  </si>
  <si>
    <t>NUÑOA</t>
  </si>
  <si>
    <t>CAYNARACHI   1/</t>
  </si>
  <si>
    <t>CUÑUMBUQUI</t>
  </si>
  <si>
    <t>CORONEL GREGORIO ALBARRACIN LANCHIPA</t>
  </si>
  <si>
    <t>CAPITULO  1 : IDENTIFICACION Y UBICACION DE LA EMPRESA</t>
  </si>
  <si>
    <t>02 * FABRICACION DE AGUJAS</t>
  </si>
  <si>
    <t>03 * FABRICACION DE ANILLOS DE RODADURA</t>
  </si>
  <si>
    <t>04 * FABRICACION DE ANILLOS DE SUJECION</t>
  </si>
  <si>
    <t>23 * FABRICACION DE MAQUINAS HOMOGENIZADORAS DE QUESO</t>
  </si>
  <si>
    <t>24 * FABRICACION DE MAQUINAS MALAXADORAS</t>
  </si>
  <si>
    <t>3220 * FABRICACION DE TRANSMISORES DE RADIO Y TELEVISION Y DE APARATOS PARA TELEFONIA Y TELEGRAFIA CON HILOS.</t>
  </si>
  <si>
    <t>00 * FABRICACION DE TRANSMISORES DE RADIO Y TELEVISION Y DE APARATOS PARA TELEFONIA Y TELEGRAFIA CON HILOS.</t>
  </si>
  <si>
    <t>01 * FABRICACION DE APARATOS RADIOTELEGRAFICOS DE TIPO FACSIMIL</t>
  </si>
  <si>
    <t>05 * FABRICACION DE URANIO 235 EMPOBRECIDO Y SUS COMPUESTOS</t>
  </si>
  <si>
    <t>00 * SELECCIONAR</t>
  </si>
  <si>
    <t>18 * FABRICACION DE MUNICIONES</t>
  </si>
  <si>
    <t>19 * FABRICACION DE PIEZAS DE ARTILLERIA</t>
  </si>
  <si>
    <t>20 * FABRICACION DE PISTOLAS</t>
  </si>
  <si>
    <t>21 * FABRICACION DE MAQUINAS FRACCIONADORAS Y MOLDEADORAS DE MASA</t>
  </si>
  <si>
    <t>22 * FABRICACION DE MAQUINAS HOMOGENIZADORAS Y PARA IRRADIAR LECHE</t>
  </si>
  <si>
    <t>b) Ingrese los datos siempre en valores enteros, el sistema no admite valores con decimales. Si se ingresan valores con decimales el sistema emite un mensaje de error.</t>
  </si>
  <si>
    <t>consta de 6 dígitos.</t>
  </si>
  <si>
    <t xml:space="preserve"> consta de 6 dígitos.</t>
  </si>
  <si>
    <t>Principal de la empresa.</t>
  </si>
  <si>
    <t>15 * FABRICACION DE HOJAS Y TIRAS Y OTRAS FORMAS PLANAS AUTOADHESIVAS</t>
  </si>
  <si>
    <t>SANTO DOMINGO DE CAPILLAS</t>
  </si>
  <si>
    <t>TAYACAJA</t>
  </si>
  <si>
    <t>ACOSTAMBO</t>
  </si>
  <si>
    <t>ACRAQUIA</t>
  </si>
  <si>
    <t>AHUAYCHA</t>
  </si>
  <si>
    <t>DANIEL HERNANDEZ</t>
  </si>
  <si>
    <t>HUANDO</t>
  </si>
  <si>
    <t>HUARIBAMBA</t>
  </si>
  <si>
    <t>PAZOS</t>
  </si>
  <si>
    <t>QUISHUAR</t>
  </si>
  <si>
    <t>SALCABAMBA</t>
  </si>
  <si>
    <t>SALCAHUASI</t>
  </si>
  <si>
    <t>2919 * FABRICACION DE OTROS TIPOS DE MAQUINARIA DE USO GENERAL</t>
  </si>
  <si>
    <t>Si existe información de venta de productos (Cap 04, clave 02) &gt; 0 entonces Valor Tota prod. (Cap 07, clave 12) &gt;0</t>
  </si>
  <si>
    <t>Si existe información de venta de servicios (Cap 04, clave 04) &gt; 0 entonces Cap07 columna cantidad producida para terceros debe ser &gt;0</t>
  </si>
  <si>
    <t>TOTAL  ( 01+02+03+04 )</t>
  </si>
  <si>
    <t>TIPO DE IMPUESTO</t>
  </si>
  <si>
    <t>IMPUESTO</t>
  </si>
  <si>
    <t>RESULT.</t>
  </si>
  <si>
    <t>CAPITULO 8:</t>
  </si>
  <si>
    <t>acreedores a lasmultas que establece el art. 89°, sin perjuicio a la responsabilidad civil o penal a que hubiere lugar.</t>
  </si>
  <si>
    <t>23 * FABRICACION DE TABLEROS</t>
  </si>
  <si>
    <t>24 * FABRICACION DE TANQUES DE AGUA</t>
  </si>
  <si>
    <t>02 * CINTAS MAGNETOFONICAS</t>
  </si>
  <si>
    <t>03 * DUPLICACION DE FILMES</t>
  </si>
  <si>
    <t>21 * FABRICACION DE MAQUINAS FOTOCOPIADORAS</t>
  </si>
  <si>
    <t>14 * FABRICACION DE PAPEL ENGOMADO Y ADHESIVO, EN CINTAS Y ROLLOS, ETIQUETAS</t>
  </si>
  <si>
    <t>15 * FABRICACION DE PAPEL HIGIENICO</t>
  </si>
  <si>
    <t>16 * FABRICACION DE PAPEL IMPRESO PARA APARATOS DE GRABACION AUTOMATICA</t>
  </si>
  <si>
    <t>17 * FABRICACION DE PLATOS</t>
  </si>
  <si>
    <t>18 * FABRICACION DE SERVILLETAS</t>
  </si>
  <si>
    <t>19 * FABRICACION DE SOBRES</t>
  </si>
  <si>
    <t>20 * FABRICACION DE TAMPONES HIGIENICOS</t>
  </si>
  <si>
    <t>21 * FABRICACION DE TARJETAS POSTALES EN BLANCO</t>
  </si>
  <si>
    <t>22 * FABRICACION DE TOALLAS</t>
  </si>
  <si>
    <t>23 * FABRICACION DE TOALLAS HIGIENICAS</t>
  </si>
  <si>
    <t>CHACOCHE</t>
  </si>
  <si>
    <t>CIRCA</t>
  </si>
  <si>
    <t>ANEXO MATERIAS PRIMAS</t>
  </si>
  <si>
    <t>NOMBRE DE LAS OTRAS MATERIAS PRIMAS</t>
  </si>
  <si>
    <t>00 * FABRICACION DE ARTICULOS DE CUCHILLERIA, HERRAMIENTAS DE MANO Y ARTICULOS DE FERRETERIA</t>
  </si>
  <si>
    <t>01 * FABRICACION DE CERRADURAS, CANDADOS, PASADORES, LLAVES.</t>
  </si>
  <si>
    <t>02 * FABRICACION DE CUCHARAS</t>
  </si>
  <si>
    <t>03 * FABRICACION DE CUCHARONES</t>
  </si>
  <si>
    <t>LLAMA</t>
  </si>
  <si>
    <t>09 * FABRICACION DE PRODUCTOS DE CAUCHO ACABADO Y SEMIACABADOS; PRODUCTOS DE CAUCHO ENDURECIDO, VULCANIZADO Y SIN VULCANIZAR</t>
  </si>
  <si>
    <t>10 * FABRICACION DE PRODUCTOS PARA REVESTIMIENTO DE PISOS</t>
  </si>
  <si>
    <t>11 * FABRICACION DE TIRAS</t>
  </si>
  <si>
    <t>12 * FABRICACION DE TUBOS</t>
  </si>
  <si>
    <t>13 * FABRICACION DE VARILLAS Y PERFILES (P.V.C.)</t>
  </si>
  <si>
    <t>2520</t>
  </si>
  <si>
    <t>2520 * FABRICACION DE PRODUCTOS DE PLASTICO</t>
  </si>
  <si>
    <t>00 * FABRICACION DE PRODUCTOS DE PLASTICO</t>
  </si>
  <si>
    <t>10 * FABRICACION DE CALANDRIAS Y OTRAS MAQUINAS DE LAMINADO</t>
  </si>
  <si>
    <t>SANTA CATALINA DE MOSSA</t>
  </si>
  <si>
    <t>20 * FABRICACION DE VIDRIO OPTICO</t>
  </si>
  <si>
    <t>21 * FABRICACION DE VIDRIO PARA RELOJES</t>
  </si>
  <si>
    <t>22 * FABRICACION DE VIDRIO TEÑIDO</t>
  </si>
  <si>
    <t>23 * FABRICACION DE VIDRIO POLARIZADO</t>
  </si>
  <si>
    <t>24 * FABRICACION DE OTROS PRODUCTOS NO ESPECIFICADOS EN LOS ITEMS ANTERIORES</t>
  </si>
  <si>
    <t>43 * FABRICACION DE TUBOS Y JUNTAS DE METAL COMUN</t>
  </si>
  <si>
    <t>44 * FABRICACION DE EQUIPO ELECTRONICO NO CLASIFICADO EN OTRA PARTE</t>
  </si>
  <si>
    <t>05 * FABRICACION DE ARANDELAS DISCOS O ANILLOS DE METAL</t>
  </si>
  <si>
    <t>06 * FABRICACION DE ARTICULOS DE METAL PARA OFICINA EXCEPTO MUEBLES DE METAL</t>
  </si>
  <si>
    <t>CHUCUITO</t>
  </si>
  <si>
    <t>COATA</t>
  </si>
  <si>
    <t>PAUCARCOLLA</t>
  </si>
  <si>
    <t>BASE LEGAL</t>
  </si>
  <si>
    <t>00 * FABRICACION DE PARTES Y PIEZAS DE CARPINTERIA PARA EDIFICIOS Y CONSTRUCCIONES</t>
  </si>
  <si>
    <t>01 * FABRICACION DE ARMARIOS EMPOTRADOS</t>
  </si>
  <si>
    <t>45 * REPARACION DE EQUIPOS ELECTRONICOS</t>
  </si>
  <si>
    <t>3210</t>
  </si>
  <si>
    <t>3210 * FABRICACION DE TUBOS Y VALVULAS ELECTRONICOS Y DE OTROS COMPONENTES ELECTRONICOS</t>
  </si>
  <si>
    <t>00 * FABRICACION DE TUBOS Y VALVULAS ELECTRONICOS Y DE OTROS COMPONENTES ELECTRONICOS</t>
  </si>
  <si>
    <t>16 * FABRICACION DE MAQUINARIA PARA EMPAQUETAR Y ENVOLVER</t>
  </si>
  <si>
    <t>17 * FABRICACION DE MAQUINAS DE LIMPIEZA A VAPOR</t>
  </si>
  <si>
    <t>05 * FABRICACION DE COLUMNAS</t>
  </si>
  <si>
    <t>06 * FABRICACION DE COMPUERTAS DE ESCLUSAS</t>
  </si>
  <si>
    <t>07 * FABRICACION DE EDIFICIOS CON ESTRUCTURA METALICA</t>
  </si>
  <si>
    <t>08 * FABRICACION DE ESCALERAS DE INCENDIO</t>
  </si>
  <si>
    <t>15 * EMPRESA UNIPERSONAL INDIVIDUAL</t>
  </si>
  <si>
    <t>09 * SOCIEDAD EN COMANDITA SIMPLE</t>
  </si>
  <si>
    <t>02 * FABRICACION DE CIRCUITOS INTEGRADOS HIBRIDOS</t>
  </si>
  <si>
    <t>03 * FABRICACION DE CIRCUITOS ELABORADOS EN UNA PLACA AISLANTE</t>
  </si>
  <si>
    <t>04 * FABRICACION DE CIRCUITOS INTEGRADOS MONOLITICOS</t>
  </si>
  <si>
    <t>06 * PRODUCCION DE AGUARDIENTES NEUTROS</t>
  </si>
  <si>
    <t>01 * FABRICACION DE CARGADORES DE BATERIAS</t>
  </si>
  <si>
    <t>08 * FABRICACION DE GLICERINA CRUDA</t>
  </si>
  <si>
    <t>VIRUNDO</t>
  </si>
  <si>
    <t>CURASCO</t>
  </si>
  <si>
    <t>SAN SALVADOR DE QUIJE</t>
  </si>
  <si>
    <t>04 * FABRICACION DE COLUMNAS Y CAJAS DE DIRECCION</t>
  </si>
  <si>
    <t>05 * FABRICACION DE EMBRAGUES (PARA VEHICULOS AUTOMOTORES)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</si>
</sst>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80" formatCode="0.0_)"/>
    <numFmt numFmtId="181" formatCode="#\ ##0;[Red]\-#,##0"/>
    <numFmt numFmtId="182" formatCode="###\ ###\ ###\ ###\ ###"/>
    <numFmt numFmtId="183" formatCode="###\ ###\ ##0.00;\-###,000"/>
    <numFmt numFmtId="184" formatCode="#,##0_ ;[Red]\-#,##0\ "/>
  </numFmts>
  <fonts count="112">
    <font>
      <sz val="10"/>
      <name val="Arial"/>
    </font>
    <font>
      <b/>
      <sz val="10"/>
      <name val="Arial"/>
      <family val="2"/>
    </font>
    <font>
      <sz val="10"/>
      <name val="Arial"/>
      <family val="2"/>
    </font>
    <font>
      <sz val="9"/>
      <name val="Arial"/>
      <family val="2"/>
    </font>
    <font>
      <b/>
      <sz val="9"/>
      <name val="Arial"/>
      <family val="2"/>
    </font>
    <font>
      <b/>
      <sz val="8"/>
      <name val="Arial"/>
      <family val="2"/>
    </font>
    <font>
      <sz val="8"/>
      <name val="Arial"/>
      <family val="2"/>
    </font>
    <font>
      <b/>
      <sz val="10"/>
      <name val="Verdana"/>
      <family val="2"/>
    </font>
    <font>
      <b/>
      <sz val="12"/>
      <name val="Verdana"/>
      <family val="2"/>
    </font>
    <font>
      <b/>
      <u/>
      <sz val="10"/>
      <color indexed="12"/>
      <name val="Arial"/>
      <family val="2"/>
    </font>
    <font>
      <sz val="8"/>
      <name val="Tahoma"/>
      <family val="2"/>
    </font>
    <font>
      <b/>
      <sz val="10"/>
      <color indexed="10"/>
      <name val="Arial"/>
      <family val="2"/>
    </font>
    <font>
      <sz val="11"/>
      <name val="Arial"/>
      <family val="2"/>
    </font>
    <font>
      <sz val="10"/>
      <name val="Helv"/>
    </font>
    <font>
      <sz val="6"/>
      <name val="Arial"/>
      <family val="2"/>
    </font>
    <font>
      <b/>
      <sz val="8"/>
      <color indexed="81"/>
      <name val="Tahoma"/>
    </font>
    <font>
      <b/>
      <sz val="8"/>
      <color indexed="81"/>
      <name val="Tahoma"/>
      <family val="2"/>
    </font>
    <font>
      <sz val="8"/>
      <color indexed="81"/>
      <name val="Tahoma"/>
    </font>
    <font>
      <sz val="10"/>
      <color indexed="12"/>
      <name val="Arial"/>
      <family val="2"/>
    </font>
    <font>
      <b/>
      <sz val="10"/>
      <color indexed="12"/>
      <name val="Arial"/>
      <family val="2"/>
    </font>
    <font>
      <b/>
      <u/>
      <sz val="8"/>
      <color indexed="81"/>
      <name val="Tahoma"/>
      <family val="2"/>
    </font>
    <font>
      <sz val="10"/>
      <color indexed="10"/>
      <name val="Arial"/>
      <family val="2"/>
    </font>
    <font>
      <b/>
      <sz val="7"/>
      <name val="Arial"/>
      <family val="2"/>
    </font>
    <font>
      <b/>
      <sz val="8"/>
      <color indexed="10"/>
      <name val="Arial"/>
      <family val="2"/>
    </font>
    <font>
      <b/>
      <u/>
      <sz val="10"/>
      <color indexed="8"/>
      <name val="Arial"/>
      <family val="2"/>
    </font>
    <font>
      <sz val="10"/>
      <color indexed="8"/>
      <name val="Arial"/>
      <family val="2"/>
    </font>
    <font>
      <b/>
      <sz val="8"/>
      <color indexed="12"/>
      <name val="Tahoma"/>
      <family val="2"/>
    </font>
    <font>
      <sz val="8"/>
      <color indexed="12"/>
      <name val="Arial"/>
      <family val="2"/>
    </font>
    <font>
      <b/>
      <sz val="8"/>
      <color indexed="12"/>
      <name val="Arial"/>
      <family val="2"/>
    </font>
    <font>
      <b/>
      <i/>
      <u/>
      <sz val="10"/>
      <name val="Arial"/>
      <family val="2"/>
    </font>
    <font>
      <b/>
      <i/>
      <sz val="10"/>
      <name val="Arial"/>
      <family val="2"/>
    </font>
    <font>
      <i/>
      <sz val="10"/>
      <name val="Arial"/>
      <family val="2"/>
    </font>
    <font>
      <sz val="10"/>
      <color indexed="9"/>
      <name val="Arial"/>
      <family val="2"/>
    </font>
    <font>
      <b/>
      <u/>
      <sz val="10"/>
      <name val="Arial"/>
      <family val="2"/>
    </font>
    <font>
      <sz val="10"/>
      <name val="Arial Black"/>
      <family val="2"/>
    </font>
    <font>
      <b/>
      <sz val="12"/>
      <name val="Arial"/>
      <family val="2"/>
    </font>
    <font>
      <b/>
      <sz val="9"/>
      <color indexed="57"/>
      <name val="Arial"/>
      <family val="2"/>
    </font>
    <font>
      <b/>
      <sz val="10"/>
      <color indexed="48"/>
      <name val="Arial"/>
      <family val="2"/>
    </font>
    <font>
      <u/>
      <sz val="10"/>
      <color indexed="12"/>
      <name val="Arial"/>
    </font>
    <font>
      <b/>
      <sz val="9"/>
      <color indexed="12"/>
      <name val="Arial"/>
      <family val="2"/>
    </font>
    <font>
      <sz val="8"/>
      <color indexed="8"/>
      <name val="Arial"/>
    </font>
    <font>
      <b/>
      <sz val="10"/>
      <color indexed="9"/>
      <name val="Arial"/>
      <family val="2"/>
    </font>
    <font>
      <b/>
      <sz val="11"/>
      <color indexed="12"/>
      <name val="Arial"/>
      <family val="2"/>
    </font>
    <font>
      <b/>
      <sz val="9"/>
      <color indexed="8"/>
      <name val="Arial"/>
      <family val="2"/>
    </font>
    <font>
      <sz val="9"/>
      <color indexed="8"/>
      <name val="Arial"/>
      <family val="2"/>
    </font>
    <font>
      <b/>
      <sz val="6"/>
      <color indexed="10"/>
      <name val="Arial"/>
      <family val="2"/>
    </font>
    <font>
      <b/>
      <sz val="7"/>
      <color indexed="10"/>
      <name val="Arial"/>
      <family val="2"/>
    </font>
    <font>
      <b/>
      <sz val="10"/>
      <color indexed="8"/>
      <name val="Arial"/>
      <family val="2"/>
    </font>
    <font>
      <sz val="8"/>
      <color indexed="81"/>
      <name val="Tahoma"/>
      <family val="2"/>
    </font>
    <font>
      <sz val="10"/>
      <color indexed="9"/>
      <name val="Arial Black"/>
      <family val="2"/>
    </font>
    <font>
      <sz val="11"/>
      <color indexed="12"/>
      <name val="Arial"/>
      <family val="2"/>
    </font>
    <font>
      <sz val="11"/>
      <color indexed="8"/>
      <name val="Arial"/>
      <family val="2"/>
    </font>
    <font>
      <b/>
      <sz val="10"/>
      <color indexed="16"/>
      <name val="Arial"/>
      <family val="2"/>
    </font>
    <font>
      <b/>
      <sz val="14"/>
      <color indexed="16"/>
      <name val="Arial"/>
      <family val="2"/>
    </font>
    <font>
      <b/>
      <u/>
      <sz val="14"/>
      <color indexed="12"/>
      <name val="Arial"/>
      <family val="2"/>
    </font>
    <font>
      <b/>
      <u/>
      <sz val="10"/>
      <color indexed="9"/>
      <name val="Arial"/>
      <family val="2"/>
    </font>
    <font>
      <b/>
      <u/>
      <sz val="10"/>
      <color indexed="48"/>
      <name val="Arial"/>
      <family val="2"/>
    </font>
    <font>
      <b/>
      <sz val="8"/>
      <color indexed="8"/>
      <name val="Arial"/>
      <family val="2"/>
    </font>
    <font>
      <sz val="8"/>
      <color indexed="8"/>
      <name val="Arial"/>
      <family val="2"/>
    </font>
    <font>
      <b/>
      <u/>
      <sz val="8"/>
      <name val="Arial"/>
      <family val="2"/>
    </font>
    <font>
      <u/>
      <sz val="8"/>
      <name val="Arial"/>
      <family val="2"/>
    </font>
    <font>
      <b/>
      <sz val="36"/>
      <color indexed="16"/>
      <name val="Arial"/>
      <family val="2"/>
    </font>
    <font>
      <b/>
      <sz val="10"/>
      <color indexed="47"/>
      <name val="Arial"/>
      <family val="2"/>
    </font>
    <font>
      <sz val="10"/>
      <color indexed="60"/>
      <name val="Arial"/>
      <family val="2"/>
    </font>
    <font>
      <b/>
      <i/>
      <sz val="10"/>
      <color indexed="60"/>
      <name val="Arial"/>
      <family val="2"/>
    </font>
    <font>
      <b/>
      <sz val="11"/>
      <name val="Arial Narrow"/>
      <family val="2"/>
    </font>
    <font>
      <b/>
      <sz val="16"/>
      <color indexed="16"/>
      <name val="Arial"/>
      <family val="2"/>
    </font>
    <font>
      <b/>
      <sz val="8"/>
      <color indexed="9"/>
      <name val="Arial"/>
      <family val="2"/>
    </font>
    <font>
      <b/>
      <u/>
      <sz val="11"/>
      <name val="Arial"/>
      <family val="2"/>
    </font>
    <font>
      <b/>
      <sz val="12"/>
      <color indexed="12"/>
      <name val="Arial"/>
      <family val="2"/>
    </font>
    <font>
      <sz val="12"/>
      <color indexed="8"/>
      <name val="Ottawa"/>
      <family val="2"/>
    </font>
    <font>
      <sz val="10"/>
      <name val="Book Antiqua"/>
      <family val="1"/>
    </font>
    <font>
      <b/>
      <sz val="11"/>
      <name val="Arial"/>
      <family val="2"/>
    </font>
    <font>
      <b/>
      <sz val="7"/>
      <name val="Tahoma"/>
      <family val="2"/>
    </font>
    <font>
      <sz val="7"/>
      <name val="Tahoma"/>
      <family val="2"/>
    </font>
    <font>
      <sz val="8"/>
      <name val="Arial"/>
    </font>
    <font>
      <b/>
      <u/>
      <sz val="8"/>
      <color indexed="12"/>
      <name val="Arial"/>
      <family val="2"/>
    </font>
    <font>
      <b/>
      <sz val="8"/>
      <color indexed="10"/>
      <name val="Arial"/>
    </font>
    <font>
      <sz val="7"/>
      <color indexed="8"/>
      <name val="Tahoma"/>
      <family val="2"/>
    </font>
    <font>
      <u/>
      <sz val="7"/>
      <color indexed="12"/>
      <name val="Arial"/>
    </font>
    <font>
      <sz val="10"/>
      <color indexed="9"/>
      <name val="Arial"/>
    </font>
    <font>
      <b/>
      <sz val="7"/>
      <color indexed="10"/>
      <name val="Arial"/>
    </font>
    <font>
      <sz val="8"/>
      <color indexed="9"/>
      <name val="Arial"/>
    </font>
    <font>
      <sz val="8"/>
      <color indexed="9"/>
      <name val="Arial"/>
      <family val="2"/>
    </font>
    <font>
      <b/>
      <sz val="10"/>
      <color indexed="9"/>
      <name val="Arial"/>
    </font>
    <font>
      <b/>
      <sz val="8"/>
      <color indexed="9"/>
      <name val="Arial"/>
    </font>
    <font>
      <b/>
      <sz val="9"/>
      <color indexed="10"/>
      <name val="Arial"/>
      <family val="2"/>
    </font>
    <font>
      <b/>
      <sz val="14"/>
      <color indexed="56"/>
      <name val="Arial Narrow"/>
      <family val="2"/>
    </font>
    <font>
      <b/>
      <sz val="8"/>
      <color indexed="56"/>
      <name val="Arial Narrow"/>
      <family val="2"/>
    </font>
    <font>
      <b/>
      <sz val="8"/>
      <color indexed="56"/>
      <name val="Arial"/>
      <family val="2"/>
    </font>
    <font>
      <b/>
      <sz val="8"/>
      <name val="Arial Narrow"/>
      <family val="2"/>
    </font>
    <font>
      <b/>
      <sz val="10"/>
      <color indexed="10"/>
      <name val="Arial Narrow"/>
      <family val="2"/>
    </font>
    <font>
      <b/>
      <sz val="10"/>
      <name val="Arial Narrow"/>
      <family val="2"/>
    </font>
    <font>
      <b/>
      <sz val="9"/>
      <name val="Arial Narrow"/>
      <family val="2"/>
    </font>
    <font>
      <sz val="9"/>
      <name val="Helvetica"/>
      <family val="2"/>
    </font>
    <font>
      <b/>
      <sz val="9"/>
      <color indexed="8"/>
      <name val="Arial Narrow"/>
      <family val="2"/>
    </font>
    <font>
      <b/>
      <sz val="7"/>
      <color indexed="9"/>
      <name val="Arial"/>
      <family val="2"/>
    </font>
    <font>
      <sz val="10"/>
      <name val="Arial"/>
    </font>
    <font>
      <b/>
      <sz val="10"/>
      <color indexed="10"/>
      <name val="Helvetica"/>
      <family val="2"/>
    </font>
    <font>
      <b/>
      <sz val="10"/>
      <name val="Helvetica"/>
      <family val="2"/>
    </font>
    <font>
      <sz val="10"/>
      <name val="Helvetica"/>
      <family val="2"/>
    </font>
    <font>
      <u/>
      <sz val="10"/>
      <color indexed="12"/>
      <name val="Helvetica"/>
      <family val="2"/>
    </font>
    <font>
      <b/>
      <sz val="11"/>
      <color indexed="10"/>
      <name val="Helvetica"/>
      <family val="2"/>
    </font>
    <font>
      <b/>
      <sz val="8"/>
      <name val="Tahoma"/>
      <family val="2"/>
    </font>
    <font>
      <sz val="8"/>
      <color indexed="8"/>
      <name val="Tahoma"/>
      <family val="2"/>
    </font>
    <font>
      <u/>
      <sz val="8"/>
      <color indexed="12"/>
      <name val="Arial"/>
    </font>
    <font>
      <sz val="8"/>
      <name val="Times New Roman"/>
      <family val="1"/>
    </font>
    <font>
      <sz val="8"/>
      <name val="Book Antiqua"/>
      <family val="1"/>
    </font>
    <font>
      <b/>
      <sz val="8"/>
      <color indexed="8"/>
      <name val="Tahoma"/>
      <family val="2"/>
    </font>
    <font>
      <sz val="9"/>
      <color indexed="23"/>
      <name val="Arial"/>
      <family val="2"/>
    </font>
    <font>
      <b/>
      <u/>
      <sz val="9"/>
      <color indexed="23"/>
      <name val="Arial"/>
      <family val="2"/>
    </font>
    <font>
      <b/>
      <sz val="11"/>
      <color indexed="1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8"/>
        <bgColor indexed="64"/>
      </patternFill>
    </fill>
    <fill>
      <patternFill patternType="solid">
        <fgColor indexed="46"/>
        <bgColor indexed="64"/>
      </patternFill>
    </fill>
    <fill>
      <patternFill patternType="solid">
        <fgColor indexed="62"/>
        <bgColor indexed="64"/>
      </patternFill>
    </fill>
    <fill>
      <patternFill patternType="solid">
        <fgColor indexed="31"/>
        <bgColor indexed="64"/>
      </patternFill>
    </fill>
    <fill>
      <patternFill patternType="solid">
        <fgColor indexed="18"/>
        <bgColor indexed="64"/>
      </patternFill>
    </fill>
    <fill>
      <patternFill patternType="solid">
        <fgColor indexed="58"/>
        <bgColor indexed="64"/>
      </patternFill>
    </fill>
  </fills>
  <borders count="59">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medium">
        <color indexed="64"/>
      </top>
      <bottom style="medium">
        <color indexed="64"/>
      </bottom>
      <diagonal/>
    </border>
  </borders>
  <cellStyleXfs count="4">
    <xf numFmtId="0" fontId="0" fillId="0" borderId="0"/>
    <xf numFmtId="49" fontId="70" fillId="0" borderId="0" applyNumberFormat="0">
      <protection locked="0"/>
    </xf>
    <xf numFmtId="0" fontId="38" fillId="0" borderId="0" applyNumberFormat="0" applyFill="0" applyBorder="0" applyAlignment="0" applyProtection="0">
      <alignment vertical="top"/>
      <protection locked="0"/>
    </xf>
    <xf numFmtId="180" fontId="13" fillId="0" borderId="0"/>
  </cellStyleXfs>
  <cellXfs count="883">
    <xf numFmtId="0" fontId="0" fillId="0" borderId="0" xfId="0"/>
    <xf numFmtId="49" fontId="0" fillId="0" borderId="0" xfId="0" applyNumberFormat="1"/>
    <xf numFmtId="0" fontId="0" fillId="0" borderId="0" xfId="0" applyProtection="1"/>
    <xf numFmtId="0" fontId="0" fillId="0" borderId="0" xfId="0" applyFill="1" applyProtection="1"/>
    <xf numFmtId="0" fontId="0" fillId="0" borderId="0" xfId="0" applyFill="1"/>
    <xf numFmtId="0" fontId="0" fillId="2" borderId="0" xfId="0" applyFill="1" applyProtection="1"/>
    <xf numFmtId="0" fontId="0" fillId="2" borderId="0" xfId="0" applyFill="1" applyBorder="1" applyAlignment="1" applyProtection="1">
      <alignment horizontal="center"/>
    </xf>
    <xf numFmtId="0" fontId="2" fillId="2" borderId="0" xfId="0" applyFont="1" applyFill="1" applyProtection="1"/>
    <xf numFmtId="0" fontId="0" fillId="2" borderId="0" xfId="0" applyFill="1" applyBorder="1" applyProtection="1"/>
    <xf numFmtId="49" fontId="0" fillId="2" borderId="0" xfId="0" applyNumberFormat="1" applyFill="1" applyProtection="1"/>
    <xf numFmtId="0" fontId="0" fillId="2" borderId="1" xfId="0" applyFill="1" applyBorder="1" applyProtection="1"/>
    <xf numFmtId="0" fontId="0" fillId="2" borderId="2" xfId="0" applyFill="1" applyBorder="1" applyProtection="1"/>
    <xf numFmtId="0" fontId="0" fillId="2" borderId="0" xfId="0" applyFill="1"/>
    <xf numFmtId="0" fontId="6" fillId="2" borderId="0" xfId="0" applyFont="1" applyFill="1"/>
    <xf numFmtId="0" fontId="27" fillId="2" borderId="0" xfId="0" applyFont="1" applyFill="1" applyBorder="1" applyAlignment="1">
      <alignment horizontal="center"/>
    </xf>
    <xf numFmtId="0" fontId="6" fillId="2" borderId="0" xfId="0" applyFont="1" applyFill="1" applyBorder="1"/>
    <xf numFmtId="38" fontId="6" fillId="2" borderId="0" xfId="0" applyNumberFormat="1"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1" fillId="2" borderId="0" xfId="0" applyFont="1" applyFill="1" applyAlignment="1" applyProtection="1">
      <alignment horizontal="center"/>
    </xf>
    <xf numFmtId="0" fontId="9" fillId="2" borderId="0" xfId="0" applyFont="1" applyFill="1" applyAlignment="1" applyProtection="1">
      <alignment horizontal="left"/>
    </xf>
    <xf numFmtId="0" fontId="1" fillId="2" borderId="0" xfId="0" applyFont="1" applyFill="1" applyAlignment="1" applyProtection="1">
      <alignment horizontal="left"/>
    </xf>
    <xf numFmtId="0" fontId="1" fillId="2" borderId="0" xfId="0" applyFont="1" applyFill="1" applyBorder="1" applyProtection="1"/>
    <xf numFmtId="49" fontId="0" fillId="2" borderId="0" xfId="0" applyNumberFormat="1" applyFill="1" applyBorder="1" applyProtection="1"/>
    <xf numFmtId="0" fontId="1" fillId="2" borderId="0" xfId="0" applyFont="1" applyFill="1" applyBorder="1" applyAlignment="1" applyProtection="1">
      <alignment horizontal="center"/>
    </xf>
    <xf numFmtId="0" fontId="0" fillId="2" borderId="0" xfId="0" applyFill="1" applyBorder="1" applyAlignment="1"/>
    <xf numFmtId="49" fontId="1" fillId="2" borderId="0" xfId="0" applyNumberFormat="1" applyFont="1" applyFill="1" applyAlignment="1" applyProtection="1">
      <alignment horizontal="center"/>
    </xf>
    <xf numFmtId="0" fontId="0" fillId="2" borderId="0" xfId="0" applyFill="1" applyAlignment="1" applyProtection="1"/>
    <xf numFmtId="0" fontId="30" fillId="2" borderId="0" xfId="0" applyFont="1" applyFill="1" applyProtection="1"/>
    <xf numFmtId="0" fontId="31" fillId="2" borderId="0" xfId="0" applyFont="1" applyFill="1" applyBorder="1" applyAlignment="1" applyProtection="1">
      <alignment horizontal="center"/>
    </xf>
    <xf numFmtId="38" fontId="5" fillId="3" borderId="3" xfId="0" applyNumberFormat="1" applyFont="1" applyFill="1" applyBorder="1" applyAlignment="1" applyProtection="1">
      <alignment horizontal="right"/>
    </xf>
    <xf numFmtId="0" fontId="0" fillId="2" borderId="4" xfId="0" applyFill="1" applyBorder="1" applyProtection="1"/>
    <xf numFmtId="0" fontId="0" fillId="2" borderId="0" xfId="0" applyFill="1" applyAlignment="1" applyProtection="1">
      <alignment horizontal="center"/>
    </xf>
    <xf numFmtId="0" fontId="0" fillId="0" borderId="0" xfId="0" applyFill="1" applyBorder="1"/>
    <xf numFmtId="49" fontId="0" fillId="0" borderId="0" xfId="0" applyNumberFormat="1" applyFill="1" applyProtection="1"/>
    <xf numFmtId="0" fontId="2" fillId="0" borderId="0" xfId="0" applyFont="1" applyFill="1" applyProtection="1"/>
    <xf numFmtId="0" fontId="29" fillId="2" borderId="0" xfId="0" applyFont="1" applyFill="1" applyBorder="1" applyProtection="1"/>
    <xf numFmtId="0" fontId="0" fillId="0" borderId="0" xfId="0" applyFill="1" applyAlignment="1" applyProtection="1">
      <alignment horizontal="center"/>
    </xf>
    <xf numFmtId="49" fontId="1" fillId="0" borderId="0" xfId="0" applyNumberFormat="1" applyFont="1" applyFill="1" applyAlignment="1" applyProtection="1">
      <alignment horizontal="center"/>
    </xf>
    <xf numFmtId="0" fontId="32" fillId="0" borderId="0" xfId="0" applyFont="1" applyFill="1" applyProtection="1"/>
    <xf numFmtId="49" fontId="6" fillId="0" borderId="5" xfId="0" applyNumberFormat="1" applyFont="1" applyFill="1" applyBorder="1" applyAlignment="1" applyProtection="1">
      <alignment horizontal="center"/>
    </xf>
    <xf numFmtId="0" fontId="0" fillId="0" borderId="0" xfId="0" applyFill="1" applyBorder="1" applyProtection="1"/>
    <xf numFmtId="0" fontId="6" fillId="2" borderId="0" xfId="0" applyFont="1" applyFill="1" applyBorder="1" applyAlignment="1" applyProtection="1">
      <alignment horizontal="left" indent="1"/>
    </xf>
    <xf numFmtId="49" fontId="14" fillId="2" borderId="0" xfId="0" applyNumberFormat="1" applyFont="1" applyFill="1" applyBorder="1" applyAlignment="1" applyProtection="1">
      <alignment horizontal="center"/>
    </xf>
    <xf numFmtId="0" fontId="6" fillId="3" borderId="0" xfId="0" applyFont="1" applyFill="1" applyBorder="1" applyAlignment="1" applyProtection="1">
      <alignment horizontal="left" indent="1"/>
    </xf>
    <xf numFmtId="0" fontId="0" fillId="3" borderId="0" xfId="0" applyFill="1" applyBorder="1" applyProtection="1"/>
    <xf numFmtId="49" fontId="14" fillId="3" borderId="0" xfId="0" applyNumberFormat="1" applyFont="1" applyFill="1" applyBorder="1" applyAlignment="1" applyProtection="1">
      <alignment horizontal="center"/>
    </xf>
    <xf numFmtId="0" fontId="0" fillId="3" borderId="0" xfId="0" applyFill="1" applyBorder="1" applyAlignment="1" applyProtection="1">
      <alignment horizontal="center"/>
    </xf>
    <xf numFmtId="0" fontId="33" fillId="2" borderId="0" xfId="0" applyFont="1" applyFill="1" applyBorder="1" applyAlignment="1" applyProtection="1">
      <alignment horizontal="center"/>
    </xf>
    <xf numFmtId="0" fontId="1" fillId="2" borderId="0" xfId="0" applyFont="1" applyFill="1" applyBorder="1" applyAlignment="1" applyProtection="1">
      <alignment horizontal="right"/>
    </xf>
    <xf numFmtId="0" fontId="1" fillId="0" borderId="0" xfId="0" applyFont="1" applyFill="1" applyAlignment="1" applyProtection="1">
      <alignment horizontal="center"/>
    </xf>
    <xf numFmtId="0" fontId="6" fillId="2" borderId="0" xfId="0" applyFont="1" applyFill="1" applyProtection="1"/>
    <xf numFmtId="0" fontId="5" fillId="2" borderId="6" xfId="0" applyFont="1" applyFill="1" applyBorder="1" applyProtection="1">
      <protection locked="0"/>
    </xf>
    <xf numFmtId="0" fontId="6" fillId="0" borderId="0" xfId="0" applyFont="1"/>
    <xf numFmtId="0" fontId="6" fillId="2" borderId="0" xfId="0" applyFont="1" applyFill="1" applyBorder="1" applyAlignment="1"/>
    <xf numFmtId="0" fontId="0" fillId="0" borderId="0" xfId="0" applyFill="1" applyBorder="1" applyAlignment="1" applyProtection="1"/>
    <xf numFmtId="0" fontId="7" fillId="2" borderId="0" xfId="0" applyFont="1" applyFill="1" applyBorder="1" applyAlignment="1" applyProtection="1">
      <alignment horizontal="center"/>
    </xf>
    <xf numFmtId="1" fontId="6" fillId="0" borderId="0" xfId="0" applyNumberFormat="1" applyFont="1"/>
    <xf numFmtId="0" fontId="1" fillId="0" borderId="0" xfId="0" applyFont="1" applyFill="1" applyProtection="1"/>
    <xf numFmtId="0" fontId="1" fillId="0" borderId="0" xfId="0" applyFont="1" applyFill="1" applyAlignment="1" applyProtection="1">
      <alignment horizontal="left"/>
    </xf>
    <xf numFmtId="0" fontId="33" fillId="2" borderId="0" xfId="0" applyFont="1" applyFill="1" applyProtection="1"/>
    <xf numFmtId="0" fontId="3" fillId="2" borderId="0" xfId="0" applyFont="1" applyFill="1" applyBorder="1" applyAlignment="1">
      <alignment horizontal="left" vertical="center"/>
    </xf>
    <xf numFmtId="0" fontId="4" fillId="2" borderId="0" xfId="0" applyFont="1" applyFill="1" applyBorder="1" applyAlignment="1">
      <alignment horizontal="left" vertical="center"/>
    </xf>
    <xf numFmtId="0" fontId="11" fillId="2" borderId="0" xfId="0" applyFont="1" applyFill="1" applyBorder="1" applyAlignment="1" applyProtection="1">
      <alignment horizontal="left"/>
    </xf>
    <xf numFmtId="0" fontId="42" fillId="2" borderId="0" xfId="0" applyFont="1" applyFill="1" applyProtection="1"/>
    <xf numFmtId="0" fontId="5" fillId="2" borderId="0" xfId="0" applyFont="1" applyFill="1" applyProtection="1"/>
    <xf numFmtId="0" fontId="6" fillId="2" borderId="0" xfId="0" applyFont="1" applyFill="1" applyAlignment="1" applyProtection="1">
      <alignment horizontal="left"/>
    </xf>
    <xf numFmtId="0" fontId="33" fillId="2" borderId="0" xfId="0" applyFont="1" applyFill="1"/>
    <xf numFmtId="0" fontId="38" fillId="0" borderId="0" xfId="2" applyAlignment="1" applyProtection="1"/>
    <xf numFmtId="0" fontId="43" fillId="2" borderId="0" xfId="0" applyFont="1" applyFill="1" applyAlignment="1">
      <alignment horizontal="left" vertical="center"/>
    </xf>
    <xf numFmtId="0" fontId="18" fillId="2" borderId="0" xfId="0" applyFont="1" applyFill="1" applyAlignment="1" applyProtection="1">
      <alignment horizontal="left"/>
    </xf>
    <xf numFmtId="0" fontId="11" fillId="0" borderId="0" xfId="0" applyFont="1" applyFill="1" applyBorder="1" applyAlignment="1" applyProtection="1">
      <alignment horizontal="left"/>
    </xf>
    <xf numFmtId="0" fontId="21" fillId="0" borderId="0" xfId="0" applyFont="1" applyFill="1" applyBorder="1" applyAlignment="1" applyProtection="1"/>
    <xf numFmtId="0" fontId="21" fillId="2" borderId="0" xfId="0" applyFont="1" applyFill="1" applyBorder="1" applyAlignment="1" applyProtection="1"/>
    <xf numFmtId="0" fontId="0" fillId="2" borderId="0" xfId="0" applyFill="1" applyBorder="1" applyAlignment="1" applyProtection="1"/>
    <xf numFmtId="0" fontId="11" fillId="0" borderId="0" xfId="0" applyFont="1" applyFill="1" applyProtection="1"/>
    <xf numFmtId="0" fontId="6" fillId="0" borderId="0" xfId="0" applyFont="1" applyFill="1" applyBorder="1" applyAlignment="1" applyProtection="1">
      <alignment horizontal="left" indent="1"/>
    </xf>
    <xf numFmtId="0" fontId="0" fillId="0" borderId="0" xfId="0" applyFill="1" applyBorder="1" applyAlignment="1" applyProtection="1">
      <alignment horizontal="center"/>
    </xf>
    <xf numFmtId="49" fontId="14" fillId="0" borderId="0" xfId="0" applyNumberFormat="1" applyFont="1" applyFill="1" applyBorder="1" applyAlignment="1" applyProtection="1">
      <alignment horizontal="center"/>
    </xf>
    <xf numFmtId="0" fontId="6" fillId="0" borderId="7" xfId="0" applyFont="1" applyFill="1" applyBorder="1" applyAlignment="1" applyProtection="1">
      <alignment horizontal="left"/>
    </xf>
    <xf numFmtId="0" fontId="6" fillId="0" borderId="5" xfId="0" applyFont="1" applyFill="1" applyBorder="1" applyAlignment="1" applyProtection="1">
      <alignment horizontal="left"/>
    </xf>
    <xf numFmtId="0" fontId="25" fillId="2" borderId="0" xfId="0" applyFont="1" applyFill="1" applyAlignment="1" applyProtection="1">
      <alignment horizontal="left"/>
    </xf>
    <xf numFmtId="49" fontId="1" fillId="2" borderId="0" xfId="0" applyNumberFormat="1" applyFont="1" applyFill="1" applyBorder="1" applyAlignment="1" applyProtection="1">
      <alignment horizontal="center"/>
    </xf>
    <xf numFmtId="0" fontId="18" fillId="2" borderId="0" xfId="0" applyFont="1" applyFill="1" applyAlignment="1"/>
    <xf numFmtId="0" fontId="37" fillId="2" borderId="0" xfId="0" applyFont="1" applyFill="1"/>
    <xf numFmtId="0" fontId="27" fillId="2" borderId="0" xfId="0" applyFont="1" applyFill="1" applyBorder="1"/>
    <xf numFmtId="38" fontId="5" fillId="0" borderId="0" xfId="0" applyNumberFormat="1" applyFont="1" applyFill="1" applyBorder="1" applyAlignment="1" applyProtection="1">
      <alignment horizontal="right"/>
    </xf>
    <xf numFmtId="0" fontId="1" fillId="0" borderId="0" xfId="0" applyFont="1" applyFill="1" applyBorder="1" applyAlignment="1" applyProtection="1">
      <alignment horizontal="center"/>
    </xf>
    <xf numFmtId="0" fontId="11" fillId="0" borderId="0" xfId="0" applyFont="1" applyFill="1" applyBorder="1" applyProtection="1"/>
    <xf numFmtId="180" fontId="5" fillId="0" borderId="0" xfId="3" applyFont="1" applyFill="1" applyBorder="1" applyAlignment="1" applyProtection="1">
      <alignment horizontal="center"/>
    </xf>
    <xf numFmtId="0" fontId="5" fillId="2" borderId="0" xfId="0" applyFont="1" applyFill="1" applyBorder="1" applyAlignment="1"/>
    <xf numFmtId="0" fontId="6" fillId="2" borderId="0" xfId="0" applyFont="1" applyFill="1" applyBorder="1" applyAlignment="1" applyProtection="1">
      <alignment horizontal="left"/>
    </xf>
    <xf numFmtId="49" fontId="6" fillId="0" borderId="0" xfId="0" applyNumberFormat="1" applyFont="1" applyFill="1" applyBorder="1" applyAlignment="1" applyProtection="1">
      <alignment horizontal="center"/>
    </xf>
    <xf numFmtId="0" fontId="11" fillId="2" borderId="0" xfId="0" applyFont="1" applyFill="1" applyBorder="1" applyAlignment="1"/>
    <xf numFmtId="0" fontId="1" fillId="2" borderId="0" xfId="0" applyFont="1" applyFill="1" applyAlignment="1" applyProtection="1">
      <alignment horizontal="left" vertical="center"/>
    </xf>
    <xf numFmtId="49" fontId="6" fillId="0" borderId="2" xfId="0" applyNumberFormat="1" applyFont="1" applyFill="1" applyBorder="1" applyAlignment="1" applyProtection="1">
      <alignment horizontal="center"/>
    </xf>
    <xf numFmtId="0" fontId="0" fillId="0" borderId="0" xfId="0" applyAlignment="1" applyProtection="1">
      <alignment wrapText="1"/>
    </xf>
    <xf numFmtId="0" fontId="21" fillId="2" borderId="0" xfId="0" applyFont="1" applyFill="1"/>
    <xf numFmtId="0" fontId="5" fillId="0" borderId="3" xfId="0" applyFont="1" applyFill="1" applyBorder="1" applyAlignment="1" applyProtection="1">
      <alignment horizontal="center"/>
    </xf>
    <xf numFmtId="49" fontId="5" fillId="0" borderId="3" xfId="0" applyNumberFormat="1" applyFont="1" applyFill="1" applyBorder="1" applyAlignment="1" applyProtection="1">
      <alignment horizontal="right"/>
      <protection locked="0"/>
    </xf>
    <xf numFmtId="49" fontId="5" fillId="3" borderId="3" xfId="0" applyNumberFormat="1" applyFont="1" applyFill="1" applyBorder="1" applyAlignment="1" applyProtection="1">
      <alignment horizontal="right"/>
    </xf>
    <xf numFmtId="0" fontId="5" fillId="0" borderId="3" xfId="0" applyFont="1" applyFill="1" applyBorder="1" applyAlignment="1" applyProtection="1">
      <protection locked="0"/>
    </xf>
    <xf numFmtId="0" fontId="5" fillId="0" borderId="3" xfId="0" applyFont="1" applyFill="1" applyBorder="1" applyAlignment="1" applyProtection="1">
      <alignment horizontal="left"/>
      <protection locked="0"/>
    </xf>
    <xf numFmtId="38" fontId="5" fillId="2" borderId="3" xfId="0" applyNumberFormat="1" applyFont="1" applyFill="1" applyBorder="1" applyAlignment="1" applyProtection="1">
      <alignment horizontal="center"/>
      <protection locked="0"/>
    </xf>
    <xf numFmtId="0" fontId="6" fillId="2" borderId="0" xfId="0" applyFont="1" applyFill="1" applyBorder="1" applyAlignment="1" applyProtection="1"/>
    <xf numFmtId="0" fontId="32" fillId="2" borderId="0" xfId="0" applyFont="1" applyFill="1" applyProtection="1"/>
    <xf numFmtId="0" fontId="0" fillId="2" borderId="8" xfId="0" applyFill="1" applyBorder="1" applyProtection="1"/>
    <xf numFmtId="0" fontId="0" fillId="2" borderId="9" xfId="0" applyFill="1" applyBorder="1" applyProtection="1"/>
    <xf numFmtId="49" fontId="5" fillId="0" borderId="10" xfId="0" applyNumberFormat="1" applyFont="1" applyFill="1" applyBorder="1" applyAlignment="1" applyProtection="1">
      <alignment horizontal="center"/>
      <protection locked="0"/>
    </xf>
    <xf numFmtId="0" fontId="5" fillId="2" borderId="11" xfId="0" applyFont="1" applyFill="1" applyBorder="1" applyProtection="1">
      <protection locked="0"/>
    </xf>
    <xf numFmtId="49" fontId="5" fillId="2" borderId="10" xfId="0" applyNumberFormat="1" applyFont="1" applyFill="1" applyBorder="1" applyAlignment="1" applyProtection="1">
      <alignment horizontal="center"/>
      <protection locked="0"/>
    </xf>
    <xf numFmtId="49" fontId="5" fillId="0" borderId="3" xfId="0" applyNumberFormat="1" applyFont="1" applyFill="1" applyBorder="1" applyAlignment="1" applyProtection="1">
      <alignment horizontal="center"/>
    </xf>
    <xf numFmtId="0" fontId="44" fillId="2" borderId="0" xfId="0" applyFont="1" applyFill="1" applyAlignment="1">
      <alignment horizontal="left" vertical="center"/>
    </xf>
    <xf numFmtId="0" fontId="0" fillId="0" borderId="12" xfId="0" applyBorder="1" applyAlignment="1"/>
    <xf numFmtId="0" fontId="21" fillId="2" borderId="0" xfId="0" applyFont="1" applyFill="1" applyProtection="1"/>
    <xf numFmtId="0" fontId="0" fillId="4" borderId="0" xfId="0" applyFill="1" applyProtection="1"/>
    <xf numFmtId="0" fontId="3" fillId="2" borderId="0" xfId="0" applyFont="1" applyFill="1" applyBorder="1" applyAlignment="1" applyProtection="1">
      <alignment horizontal="left" vertical="top" wrapText="1"/>
    </xf>
    <xf numFmtId="0" fontId="3" fillId="2" borderId="0" xfId="0" applyFont="1" applyFill="1" applyAlignment="1" applyProtection="1">
      <alignment wrapText="1"/>
    </xf>
    <xf numFmtId="0" fontId="4" fillId="2" borderId="0" xfId="0" quotePrefix="1" applyFont="1" applyFill="1" applyAlignment="1" applyProtection="1">
      <alignment horizontal="left" vertical="top" wrapText="1"/>
    </xf>
    <xf numFmtId="0" fontId="4" fillId="2" borderId="0" xfId="0" applyFont="1" applyFill="1" applyBorder="1" applyAlignment="1" applyProtection="1">
      <alignment horizontal="left" vertical="top" wrapText="1"/>
    </xf>
    <xf numFmtId="0" fontId="3" fillId="2" borderId="0" xfId="0" applyFont="1" applyFill="1" applyBorder="1" applyAlignment="1" applyProtection="1">
      <alignment horizontal="left" vertical="center" wrapText="1"/>
    </xf>
    <xf numFmtId="0" fontId="3" fillId="0" borderId="0" xfId="0" applyFont="1" applyFill="1" applyAlignment="1" applyProtection="1">
      <alignment wrapText="1"/>
    </xf>
    <xf numFmtId="0" fontId="3" fillId="0" borderId="0" xfId="0" applyFont="1" applyAlignment="1" applyProtection="1">
      <alignment wrapText="1"/>
    </xf>
    <xf numFmtId="0" fontId="4" fillId="2" borderId="0" xfId="0" applyFont="1" applyFill="1" applyAlignment="1" applyProtection="1">
      <alignment vertical="top" wrapText="1"/>
    </xf>
    <xf numFmtId="0" fontId="3" fillId="2" borderId="0" xfId="0" applyFont="1" applyFill="1" applyAlignment="1" applyProtection="1">
      <alignment vertical="top" wrapText="1"/>
    </xf>
    <xf numFmtId="0" fontId="3" fillId="2" borderId="0" xfId="0" quotePrefix="1" applyFont="1" applyFill="1" applyAlignment="1" applyProtection="1">
      <alignment wrapText="1"/>
    </xf>
    <xf numFmtId="0" fontId="2" fillId="2" borderId="0" xfId="0" applyFont="1" applyFill="1" applyAlignment="1" applyProtection="1">
      <alignment horizontal="left"/>
    </xf>
    <xf numFmtId="0" fontId="19" fillId="2" borderId="0" xfId="0" applyFont="1" applyFill="1" applyAlignment="1" applyProtection="1">
      <alignment horizontal="left"/>
    </xf>
    <xf numFmtId="0" fontId="2" fillId="0" borderId="0" xfId="0" applyFont="1" applyFill="1" applyAlignment="1">
      <alignment horizontal="left"/>
    </xf>
    <xf numFmtId="0" fontId="33" fillId="2" borderId="0" xfId="0" applyFont="1" applyFill="1" applyAlignment="1" applyProtection="1">
      <alignment horizontal="left"/>
    </xf>
    <xf numFmtId="0" fontId="2" fillId="2" borderId="0" xfId="0" applyFont="1" applyFill="1" applyAlignment="1" applyProtection="1">
      <alignment horizontal="left" wrapText="1"/>
    </xf>
    <xf numFmtId="0" fontId="2" fillId="2" borderId="0" xfId="0" applyFont="1" applyFill="1" applyBorder="1" applyAlignment="1">
      <alignment horizontal="justify" vertical="top" wrapText="1"/>
    </xf>
    <xf numFmtId="0" fontId="19" fillId="2" borderId="0" xfId="0" applyFont="1" applyFill="1" applyBorder="1" applyAlignment="1">
      <alignment horizontal="left" wrapText="1"/>
    </xf>
    <xf numFmtId="0" fontId="33" fillId="2" borderId="0" xfId="0" applyFont="1" applyFill="1" applyAlignment="1">
      <alignment horizontal="left" wrapText="1"/>
    </xf>
    <xf numFmtId="0" fontId="2" fillId="2" borderId="0" xfId="0" applyFont="1" applyFill="1" applyAlignment="1">
      <alignment horizontal="left" wrapText="1"/>
    </xf>
    <xf numFmtId="0" fontId="2" fillId="2" borderId="0" xfId="0" applyFont="1" applyFill="1" applyAlignment="1">
      <alignment horizontal="left"/>
    </xf>
    <xf numFmtId="0" fontId="2" fillId="0" borderId="0" xfId="0" applyFont="1" applyFill="1" applyAlignment="1">
      <alignment horizontal="left" wrapText="1"/>
    </xf>
    <xf numFmtId="0" fontId="2" fillId="2" borderId="0" xfId="0" applyFont="1" applyFill="1" applyAlignment="1">
      <alignment horizontal="justify" wrapText="1"/>
    </xf>
    <xf numFmtId="0" fontId="0" fillId="2" borderId="0" xfId="0" applyFill="1" applyAlignment="1" applyProtection="1">
      <alignment wrapText="1"/>
    </xf>
    <xf numFmtId="0" fontId="0" fillId="0" borderId="0" xfId="0" applyFill="1" applyAlignment="1" applyProtection="1">
      <alignment wrapText="1"/>
    </xf>
    <xf numFmtId="0" fontId="0" fillId="3" borderId="0" xfId="0" applyFill="1" applyAlignment="1" applyProtection="1">
      <alignment wrapText="1"/>
    </xf>
    <xf numFmtId="0" fontId="0" fillId="3" borderId="0" xfId="0" applyFill="1" applyAlignment="1" applyProtection="1">
      <alignment vertical="top" wrapText="1"/>
    </xf>
    <xf numFmtId="0" fontId="0" fillId="0" borderId="0" xfId="0" applyAlignment="1" applyProtection="1">
      <alignment vertical="top" wrapText="1"/>
    </xf>
    <xf numFmtId="0" fontId="6" fillId="3" borderId="0" xfId="0" applyFont="1" applyFill="1"/>
    <xf numFmtId="0" fontId="0" fillId="2" borderId="0" xfId="0" applyFill="1" applyAlignment="1">
      <alignment horizontal="left" indent="4"/>
    </xf>
    <xf numFmtId="0" fontId="42" fillId="2" borderId="0" xfId="0" applyFont="1" applyFill="1" applyAlignment="1">
      <alignment horizontal="left" vertical="center"/>
    </xf>
    <xf numFmtId="0" fontId="42" fillId="2" borderId="0" xfId="0" applyFont="1" applyFill="1" applyBorder="1" applyAlignment="1">
      <alignment horizontal="left" vertical="center"/>
    </xf>
    <xf numFmtId="0" fontId="50" fillId="2" borderId="0" xfId="0" applyFont="1" applyFill="1" applyAlignment="1">
      <alignment horizontal="left" vertical="center"/>
    </xf>
    <xf numFmtId="0" fontId="51" fillId="2" borderId="0" xfId="0" applyFont="1" applyFill="1" applyAlignment="1">
      <alignment horizontal="left" vertical="center"/>
    </xf>
    <xf numFmtId="0" fontId="2" fillId="2" borderId="0" xfId="0" applyFont="1" applyFill="1" applyAlignment="1" applyProtection="1">
      <alignment horizontal="left" indent="3"/>
    </xf>
    <xf numFmtId="0" fontId="2" fillId="2" borderId="0" xfId="0" applyFont="1" applyFill="1" applyAlignment="1" applyProtection="1">
      <alignment horizontal="left" indent="2"/>
    </xf>
    <xf numFmtId="0" fontId="6" fillId="2" borderId="0" xfId="0" applyFont="1" applyFill="1" applyBorder="1" applyAlignment="1" applyProtection="1">
      <alignment horizontal="left" vertical="center" indent="2"/>
    </xf>
    <xf numFmtId="0" fontId="6" fillId="2" borderId="0" xfId="0" applyFont="1" applyFill="1" applyBorder="1" applyAlignment="1" applyProtection="1">
      <alignment horizontal="left" vertical="center" indent="7"/>
    </xf>
    <xf numFmtId="0" fontId="2" fillId="2" borderId="0" xfId="0" applyFont="1" applyFill="1" applyBorder="1" applyAlignment="1" applyProtection="1">
      <alignment horizontal="left" vertical="center" indent="7"/>
    </xf>
    <xf numFmtId="0" fontId="6" fillId="2" borderId="0" xfId="0" applyFont="1" applyFill="1" applyBorder="1" applyAlignment="1" applyProtection="1">
      <alignment horizontal="left" vertical="center" wrapText="1" indent="2"/>
    </xf>
    <xf numFmtId="0" fontId="2" fillId="2" borderId="0" xfId="0" applyFont="1" applyFill="1" applyBorder="1" applyAlignment="1" applyProtection="1">
      <alignment horizontal="left" vertical="center" indent="2"/>
    </xf>
    <xf numFmtId="0" fontId="5" fillId="2" borderId="13" xfId="0" applyFont="1" applyFill="1" applyBorder="1" applyAlignment="1">
      <alignment horizontal="center"/>
    </xf>
    <xf numFmtId="0" fontId="28" fillId="2" borderId="3" xfId="0" applyFont="1" applyFill="1" applyBorder="1" applyAlignment="1">
      <alignment horizontal="center"/>
    </xf>
    <xf numFmtId="0" fontId="28" fillId="2" borderId="8" xfId="0" applyFont="1" applyFill="1" applyBorder="1" applyAlignment="1">
      <alignment horizontal="center"/>
    </xf>
    <xf numFmtId="0" fontId="28" fillId="2" borderId="7" xfId="0" applyFont="1" applyFill="1" applyBorder="1" applyAlignment="1">
      <alignment horizontal="center"/>
    </xf>
    <xf numFmtId="0" fontId="6" fillId="0" borderId="0" xfId="0" applyNumberFormat="1" applyFont="1"/>
    <xf numFmtId="49" fontId="6" fillId="0" borderId="0" xfId="0" applyNumberFormat="1" applyFont="1"/>
    <xf numFmtId="0" fontId="38" fillId="0" borderId="0" xfId="2" applyAlignment="1" applyProtection="1">
      <protection locked="0"/>
    </xf>
    <xf numFmtId="0" fontId="1" fillId="0" borderId="0" xfId="0" applyFont="1" applyFill="1" applyBorder="1" applyAlignment="1">
      <alignment horizontal="center" vertical="center"/>
    </xf>
    <xf numFmtId="0" fontId="25" fillId="2" borderId="0" xfId="0" applyFont="1" applyFill="1" applyAlignment="1">
      <alignment horizontal="left" vertic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2" fillId="2" borderId="0" xfId="0" applyFont="1" applyFill="1"/>
    <xf numFmtId="0" fontId="1" fillId="2" borderId="0" xfId="0" applyFont="1" applyFill="1"/>
    <xf numFmtId="0" fontId="2" fillId="0" borderId="0" xfId="0" applyFont="1" applyFill="1"/>
    <xf numFmtId="0" fontId="47" fillId="2" borderId="0" xfId="0" applyFont="1" applyFill="1" applyAlignment="1">
      <alignment horizontal="left" vertical="center"/>
    </xf>
    <xf numFmtId="0" fontId="1" fillId="2" borderId="0" xfId="0" applyFont="1" applyFill="1" applyAlignment="1" applyProtection="1">
      <alignment horizontal="left" vertical="top"/>
    </xf>
    <xf numFmtId="0" fontId="33" fillId="2" borderId="0" xfId="0" applyFont="1" applyFill="1" applyAlignment="1" applyProtection="1">
      <alignment horizontal="left" vertical="top"/>
    </xf>
    <xf numFmtId="0" fontId="2" fillId="2" borderId="0" xfId="0" applyFont="1" applyFill="1" applyBorder="1" applyAlignment="1" applyProtection="1">
      <alignment horizontal="left" wrapText="1" indent="2"/>
    </xf>
    <xf numFmtId="0" fontId="2" fillId="0" borderId="0" xfId="0" applyFont="1" applyAlignment="1" applyProtection="1"/>
    <xf numFmtId="49" fontId="2" fillId="2" borderId="0" xfId="0" applyNumberFormat="1" applyFont="1" applyFill="1" applyProtection="1"/>
    <xf numFmtId="0" fontId="2" fillId="0" borderId="0" xfId="0" applyFont="1" applyProtection="1"/>
    <xf numFmtId="0" fontId="41" fillId="0" borderId="0" xfId="0" applyFont="1" applyFill="1" applyBorder="1" applyAlignment="1" applyProtection="1">
      <alignment horizontal="left" vertical="center" indent="2"/>
    </xf>
    <xf numFmtId="0" fontId="2" fillId="2" borderId="0" xfId="0" applyFont="1" applyFill="1" applyBorder="1" applyAlignment="1" applyProtection="1">
      <alignment horizontal="left" vertical="center" wrapText="1" indent="4"/>
    </xf>
    <xf numFmtId="0" fontId="1" fillId="0" borderId="0" xfId="0" applyFont="1" applyFill="1" applyBorder="1" applyAlignment="1" applyProtection="1">
      <alignment horizontal="left" vertical="center" indent="2"/>
    </xf>
    <xf numFmtId="49" fontId="2" fillId="0" borderId="0" xfId="0" applyNumberFormat="1" applyFont="1" applyProtection="1"/>
    <xf numFmtId="0" fontId="2" fillId="2" borderId="0" xfId="0" applyFont="1" applyFill="1" applyBorder="1" applyAlignment="1" applyProtection="1">
      <alignment horizontal="left" wrapText="1" indent="4"/>
    </xf>
    <xf numFmtId="0" fontId="2" fillId="2" borderId="0" xfId="0" applyFont="1" applyFill="1" applyBorder="1" applyAlignment="1" applyProtection="1">
      <alignment horizontal="left" wrapText="1" indent="6"/>
    </xf>
    <xf numFmtId="0" fontId="56" fillId="2" borderId="0" xfId="0" applyFont="1" applyFill="1" applyAlignment="1" applyProtection="1">
      <alignment horizontal="left" vertical="top" indent="4"/>
    </xf>
    <xf numFmtId="0" fontId="30" fillId="2" borderId="0" xfId="0" applyFont="1" applyFill="1" applyBorder="1" applyAlignment="1" applyProtection="1">
      <alignment horizontal="left" wrapText="1" indent="4"/>
    </xf>
    <xf numFmtId="49" fontId="2" fillId="0" borderId="0" xfId="0" applyNumberFormat="1" applyFont="1" applyAlignment="1" applyProtection="1">
      <alignment horizontal="left" indent="4"/>
    </xf>
    <xf numFmtId="0" fontId="2" fillId="0" borderId="0" xfId="0" applyFont="1" applyAlignment="1" applyProtection="1">
      <alignment horizontal="left" indent="4"/>
    </xf>
    <xf numFmtId="0" fontId="2" fillId="2" borderId="0" xfId="0" applyFont="1" applyFill="1" applyBorder="1" applyAlignment="1" applyProtection="1">
      <alignment horizontal="left" indent="5"/>
    </xf>
    <xf numFmtId="49" fontId="2" fillId="0" borderId="0" xfId="0" applyNumberFormat="1" applyFont="1" applyBorder="1" applyProtection="1"/>
    <xf numFmtId="0" fontId="2" fillId="0" borderId="0" xfId="0" applyFont="1" applyBorder="1" applyProtection="1"/>
    <xf numFmtId="0" fontId="44" fillId="0" borderId="0" xfId="0" applyFont="1" applyFill="1" applyBorder="1" applyAlignment="1">
      <alignment horizontal="left" vertical="center"/>
    </xf>
    <xf numFmtId="0" fontId="2" fillId="2" borderId="0" xfId="0" applyFont="1" applyFill="1" applyAlignment="1" applyProtection="1">
      <protection locked="0"/>
    </xf>
    <xf numFmtId="0" fontId="2" fillId="2" borderId="0" xfId="0" applyFont="1" applyFill="1" applyAlignment="1"/>
    <xf numFmtId="0" fontId="2" fillId="0" borderId="0" xfId="0" applyFont="1"/>
    <xf numFmtId="0" fontId="2" fillId="2" borderId="0" xfId="0" applyFont="1" applyFill="1" applyAlignment="1" applyProtection="1"/>
    <xf numFmtId="0" fontId="19" fillId="2" borderId="0" xfId="0" applyFont="1" applyFill="1" applyAlignment="1" applyProtection="1">
      <alignment horizontal="left" vertical="top"/>
    </xf>
    <xf numFmtId="0" fontId="19" fillId="2" borderId="0" xfId="0" applyFont="1" applyFill="1" applyBorder="1" applyAlignment="1" applyProtection="1">
      <alignment horizontal="left" vertical="center" wrapText="1"/>
    </xf>
    <xf numFmtId="0" fontId="19" fillId="0" borderId="0" xfId="0" applyFont="1" applyProtection="1"/>
    <xf numFmtId="49" fontId="1" fillId="2" borderId="0" xfId="0" applyNumberFormat="1" applyFont="1" applyFill="1" applyAlignment="1" applyProtection="1">
      <alignment horizontal="centerContinuous" vertical="center"/>
    </xf>
    <xf numFmtId="0" fontId="2" fillId="2" borderId="0" xfId="0" applyFont="1" applyFill="1" applyAlignment="1" applyProtection="1">
      <alignment horizontal="left" vertical="center"/>
    </xf>
    <xf numFmtId="0" fontId="2" fillId="2" borderId="0" xfId="0" applyFont="1" applyFill="1" applyAlignment="1" applyProtection="1">
      <alignment horizontal="justify" vertical="center" wrapText="1"/>
    </xf>
    <xf numFmtId="0" fontId="2" fillId="2" borderId="0" xfId="0" applyFont="1" applyFill="1" applyAlignment="1" applyProtection="1">
      <alignment horizontal="left" vertical="top" wrapText="1" indent="3"/>
    </xf>
    <xf numFmtId="0" fontId="41" fillId="5" borderId="14" xfId="0" applyFont="1" applyFill="1" applyBorder="1" applyAlignment="1" applyProtection="1">
      <alignment horizontal="left" vertical="top"/>
    </xf>
    <xf numFmtId="0" fontId="41" fillId="5" borderId="0" xfId="0" applyFont="1" applyFill="1" applyBorder="1" applyAlignment="1" applyProtection="1">
      <alignment horizontal="left" vertical="top"/>
    </xf>
    <xf numFmtId="0" fontId="41" fillId="5" borderId="15" xfId="0" applyFont="1" applyFill="1" applyBorder="1" applyAlignment="1" applyProtection="1">
      <alignment horizontal="left" vertical="top"/>
    </xf>
    <xf numFmtId="0" fontId="41" fillId="0" borderId="0" xfId="0" applyFont="1" applyFill="1" applyBorder="1" applyAlignment="1" applyProtection="1">
      <alignment horizontal="left" vertical="top"/>
    </xf>
    <xf numFmtId="49" fontId="19" fillId="2" borderId="0" xfId="0" applyNumberFormat="1" applyFont="1" applyFill="1" applyAlignment="1" applyProtection="1">
      <alignment horizontal="left"/>
    </xf>
    <xf numFmtId="0" fontId="56" fillId="2" borderId="0" xfId="0" applyFont="1" applyFill="1" applyAlignment="1" applyProtection="1">
      <alignment horizontal="left" vertical="top"/>
    </xf>
    <xf numFmtId="0" fontId="2" fillId="2" borderId="10" xfId="0" applyFont="1" applyFill="1" applyBorder="1" applyAlignment="1" applyProtection="1">
      <alignment horizontal="left"/>
    </xf>
    <xf numFmtId="0" fontId="2" fillId="6" borderId="10" xfId="0" applyFont="1" applyFill="1" applyBorder="1" applyAlignment="1" applyProtection="1">
      <alignment horizontal="left"/>
    </xf>
    <xf numFmtId="0" fontId="2" fillId="3" borderId="10" xfId="0" applyFont="1" applyFill="1" applyBorder="1" applyAlignment="1" applyProtection="1">
      <alignment horizontal="left"/>
    </xf>
    <xf numFmtId="0" fontId="1" fillId="2" borderId="0" xfId="0" applyFont="1" applyFill="1" applyAlignment="1" applyProtection="1"/>
    <xf numFmtId="0" fontId="2" fillId="2" borderId="0" xfId="0" applyFont="1" applyFill="1" applyAlignment="1" applyProtection="1">
      <alignment vertical="top" wrapText="1"/>
    </xf>
    <xf numFmtId="0" fontId="2" fillId="2" borderId="0" xfId="0" applyFont="1" applyFill="1" applyAlignment="1" applyProtection="1">
      <alignment horizontal="left" vertical="top"/>
    </xf>
    <xf numFmtId="0" fontId="1" fillId="2" borderId="0" xfId="0" applyFont="1" applyFill="1" applyProtection="1"/>
    <xf numFmtId="0" fontId="1" fillId="0" borderId="0" xfId="0" applyFont="1" applyFill="1" applyBorder="1" applyAlignment="1" applyProtection="1">
      <alignment horizontal="center" vertical="center" wrapText="1"/>
    </xf>
    <xf numFmtId="0" fontId="41" fillId="0" borderId="0" xfId="0" applyFont="1" applyFill="1" applyBorder="1" applyAlignment="1" applyProtection="1">
      <alignment horizontal="center" vertical="center" wrapText="1"/>
    </xf>
    <xf numFmtId="0" fontId="2" fillId="2" borderId="0" xfId="0" applyFont="1" applyFill="1" applyAlignment="1" applyProtection="1">
      <alignment horizontal="left" indent="7"/>
    </xf>
    <xf numFmtId="0" fontId="3" fillId="2" borderId="0" xfId="0" applyFont="1" applyFill="1" applyProtection="1"/>
    <xf numFmtId="0" fontId="3" fillId="2" borderId="0" xfId="0" applyFont="1" applyFill="1" applyBorder="1" applyAlignment="1" applyProtection="1">
      <alignment horizontal="justify" vertical="top" wrapText="1"/>
    </xf>
    <xf numFmtId="0" fontId="1" fillId="2" borderId="0" xfId="0" applyFont="1" applyFill="1" applyBorder="1" applyAlignment="1" applyProtection="1">
      <alignment horizontal="center" vertical="center"/>
    </xf>
    <xf numFmtId="0" fontId="46" fillId="0" borderId="8" xfId="0" applyFont="1" applyFill="1" applyBorder="1" applyProtection="1"/>
    <xf numFmtId="3" fontId="5" fillId="0" borderId="3" xfId="0" applyNumberFormat="1" applyFont="1" applyFill="1" applyBorder="1" applyAlignment="1" applyProtection="1">
      <alignment horizontal="right"/>
      <protection locked="0"/>
    </xf>
    <xf numFmtId="0" fontId="57" fillId="2" borderId="0" xfId="0" applyFont="1" applyFill="1" applyBorder="1" applyAlignment="1">
      <alignment horizontal="left" vertical="center"/>
    </xf>
    <xf numFmtId="0" fontId="58" fillId="2" borderId="0" xfId="0" applyFont="1" applyFill="1" applyAlignment="1">
      <alignment horizontal="left" vertical="center"/>
    </xf>
    <xf numFmtId="0" fontId="5" fillId="2" borderId="0" xfId="0" applyFont="1" applyFill="1" applyAlignment="1" applyProtection="1">
      <alignment horizontal="left" vertical="top"/>
    </xf>
    <xf numFmtId="0" fontId="59" fillId="2" borderId="0" xfId="0" applyFont="1" applyFill="1" applyAlignment="1" applyProtection="1">
      <alignment horizontal="left" vertical="top" indent="2"/>
    </xf>
    <xf numFmtId="0" fontId="6" fillId="0" borderId="0" xfId="0" applyFont="1" applyFill="1"/>
    <xf numFmtId="0" fontId="6" fillId="2" borderId="0" xfId="0" applyFont="1" applyFill="1" applyAlignment="1" applyProtection="1">
      <alignment horizontal="left" indent="3"/>
    </xf>
    <xf numFmtId="0" fontId="6" fillId="2" borderId="0" xfId="0" applyFont="1" applyFill="1" applyAlignment="1" applyProtection="1">
      <alignment horizontal="left" indent="2"/>
    </xf>
    <xf numFmtId="0" fontId="59" fillId="2" borderId="0" xfId="0" applyFont="1" applyFill="1" applyAlignment="1" applyProtection="1">
      <alignment horizontal="left" indent="3"/>
    </xf>
    <xf numFmtId="0" fontId="59" fillId="2" borderId="0" xfId="0" applyFont="1" applyFill="1" applyAlignment="1" applyProtection="1">
      <alignment horizontal="left" vertical="top"/>
    </xf>
    <xf numFmtId="0" fontId="59" fillId="2" borderId="0" xfId="0" applyFont="1" applyFill="1" applyAlignment="1" applyProtection="1">
      <alignment horizontal="left" indent="6"/>
    </xf>
    <xf numFmtId="0" fontId="6" fillId="2" borderId="0" xfId="0" applyFont="1" applyFill="1" applyBorder="1" applyAlignment="1" applyProtection="1">
      <alignment horizontal="left" indent="6"/>
    </xf>
    <xf numFmtId="0" fontId="6" fillId="2" borderId="0" xfId="0" applyFont="1" applyFill="1" applyAlignment="1" applyProtection="1">
      <alignment horizontal="left" indent="6"/>
    </xf>
    <xf numFmtId="0" fontId="6" fillId="2" borderId="0" xfId="0" applyFont="1" applyFill="1" applyAlignment="1" applyProtection="1">
      <alignment horizontal="left" indent="1"/>
    </xf>
    <xf numFmtId="0" fontId="6" fillId="2" borderId="0" xfId="0" applyFont="1" applyFill="1" applyBorder="1" applyAlignment="1" applyProtection="1">
      <alignment horizontal="left" vertical="center" wrapText="1" indent="5"/>
    </xf>
    <xf numFmtId="0" fontId="57" fillId="2" borderId="0" xfId="0" applyFont="1" applyFill="1" applyAlignment="1">
      <alignment horizontal="left" vertical="center"/>
    </xf>
    <xf numFmtId="0" fontId="59" fillId="2" borderId="0" xfId="0" applyFont="1" applyFill="1" applyAlignment="1" applyProtection="1">
      <alignment horizontal="left" indent="1"/>
    </xf>
    <xf numFmtId="0" fontId="28" fillId="2" borderId="0" xfId="0" applyFont="1" applyFill="1" applyAlignment="1">
      <alignment horizontal="left" vertical="center"/>
    </xf>
    <xf numFmtId="0" fontId="28" fillId="2" borderId="0" xfId="0" applyFont="1" applyFill="1" applyBorder="1" applyAlignment="1">
      <alignment horizontal="left" vertical="center"/>
    </xf>
    <xf numFmtId="49" fontId="6" fillId="2" borderId="0" xfId="0" applyNumberFormat="1" applyFont="1" applyFill="1" applyAlignment="1" applyProtection="1"/>
    <xf numFmtId="0" fontId="59" fillId="2" borderId="0" xfId="0" applyFont="1" applyFill="1" applyAlignment="1" applyProtection="1">
      <alignment horizontal="left" indent="2"/>
    </xf>
    <xf numFmtId="0" fontId="6" fillId="2" borderId="0" xfId="0" applyFont="1" applyFill="1" applyBorder="1" applyAlignment="1" applyProtection="1">
      <alignment horizontal="left" wrapText="1" indent="2"/>
    </xf>
    <xf numFmtId="0" fontId="6" fillId="0" borderId="0" xfId="0" applyFont="1" applyAlignment="1" applyProtection="1"/>
    <xf numFmtId="49" fontId="6" fillId="2" borderId="0" xfId="0" applyNumberFormat="1" applyFont="1" applyFill="1" applyProtection="1"/>
    <xf numFmtId="0" fontId="6" fillId="0" borderId="0" xfId="0" applyFont="1" applyProtection="1"/>
    <xf numFmtId="0" fontId="6" fillId="2" borderId="0" xfId="0" applyFont="1" applyFill="1" applyBorder="1" applyAlignment="1" applyProtection="1">
      <alignment horizontal="left" vertical="center" wrapText="1" indent="4"/>
    </xf>
    <xf numFmtId="0" fontId="5" fillId="0" borderId="0" xfId="0" applyFont="1" applyFill="1" applyBorder="1" applyAlignment="1" applyProtection="1">
      <alignment horizontal="left" vertical="center" indent="2"/>
    </xf>
    <xf numFmtId="0" fontId="6" fillId="2" borderId="0" xfId="0" applyFont="1" applyFill="1" applyBorder="1" applyAlignment="1" applyProtection="1">
      <alignment horizontal="left" wrapText="1" indent="4"/>
    </xf>
    <xf numFmtId="0" fontId="6" fillId="0" borderId="0" xfId="0" applyFont="1" applyAlignment="1" applyProtection="1">
      <alignment horizontal="left" indent="4"/>
    </xf>
    <xf numFmtId="0" fontId="6" fillId="2" borderId="0" xfId="0" applyFont="1" applyFill="1" applyBorder="1" applyAlignment="1" applyProtection="1">
      <alignment horizontal="left" indent="5"/>
    </xf>
    <xf numFmtId="0" fontId="6" fillId="2" borderId="0" xfId="0" applyFont="1" applyFill="1" applyBorder="1" applyProtection="1"/>
    <xf numFmtId="0" fontId="3" fillId="2" borderId="0" xfId="0" applyFont="1" applyFill="1" applyAlignment="1" applyProtection="1">
      <alignment horizontal="left" indent="5"/>
    </xf>
    <xf numFmtId="0" fontId="3" fillId="2" borderId="0" xfId="0" applyFont="1" applyFill="1" applyAlignment="1" applyProtection="1">
      <alignment horizontal="left" indent="8"/>
    </xf>
    <xf numFmtId="0" fontId="2" fillId="2" borderId="0" xfId="0" applyFont="1" applyFill="1" applyAlignment="1" applyProtection="1">
      <alignment horizontal="left" indent="8"/>
    </xf>
    <xf numFmtId="2" fontId="5" fillId="6" borderId="16" xfId="0" applyNumberFormat="1" applyFont="1" applyFill="1" applyBorder="1" applyAlignment="1" applyProtection="1">
      <alignment horizontal="right"/>
    </xf>
    <xf numFmtId="49" fontId="5" fillId="7" borderId="3" xfId="0" applyNumberFormat="1" applyFont="1" applyFill="1" applyBorder="1" applyAlignment="1" applyProtection="1">
      <alignment horizontal="center"/>
    </xf>
    <xf numFmtId="0" fontId="5" fillId="0" borderId="0" xfId="0" applyFont="1" applyFill="1" applyBorder="1" applyAlignment="1" applyProtection="1">
      <alignment horizontal="center" vertical="center"/>
    </xf>
    <xf numFmtId="0" fontId="0" fillId="0" borderId="0" xfId="0" applyFill="1" applyBorder="1" applyAlignment="1"/>
    <xf numFmtId="0" fontId="0" fillId="0" borderId="0" xfId="0" applyAlignment="1"/>
    <xf numFmtId="0" fontId="5" fillId="2" borderId="6" xfId="0" applyNumberFormat="1" applyFont="1" applyFill="1" applyBorder="1" applyAlignment="1" applyProtection="1">
      <alignment horizontal="center"/>
      <protection locked="0"/>
    </xf>
    <xf numFmtId="0" fontId="24" fillId="2" borderId="0" xfId="0" applyFont="1" applyFill="1" applyAlignment="1" applyProtection="1">
      <alignment horizontal="left"/>
    </xf>
    <xf numFmtId="49" fontId="5" fillId="3" borderId="3" xfId="0" applyNumberFormat="1" applyFont="1" applyFill="1" applyBorder="1" applyAlignment="1" applyProtection="1">
      <alignment horizontal="right"/>
      <protection hidden="1"/>
    </xf>
    <xf numFmtId="38" fontId="5" fillId="3" borderId="3" xfId="0" applyNumberFormat="1" applyFont="1" applyFill="1" applyBorder="1" applyAlignment="1" applyProtection="1">
      <alignment horizontal="center"/>
      <protection hidden="1"/>
    </xf>
    <xf numFmtId="4" fontId="5" fillId="3" borderId="3" xfId="0" applyNumberFormat="1" applyFont="1" applyFill="1" applyBorder="1" applyProtection="1">
      <protection hidden="1"/>
    </xf>
    <xf numFmtId="38" fontId="5" fillId="3" borderId="3" xfId="0" applyNumberFormat="1" applyFont="1" applyFill="1" applyBorder="1" applyAlignment="1" applyProtection="1">
      <alignment horizontal="right"/>
      <protection hidden="1"/>
    </xf>
    <xf numFmtId="0" fontId="0" fillId="3" borderId="3" xfId="0" applyFill="1" applyBorder="1" applyProtection="1">
      <protection hidden="1"/>
    </xf>
    <xf numFmtId="181" fontId="5" fillId="0" borderId="3" xfId="0" applyNumberFormat="1" applyFont="1" applyFill="1" applyBorder="1" applyAlignment="1" applyProtection="1">
      <alignment horizontal="right"/>
      <protection locked="0"/>
    </xf>
    <xf numFmtId="182" fontId="0" fillId="2" borderId="0" xfId="0" applyNumberFormat="1" applyFill="1" applyProtection="1"/>
    <xf numFmtId="183" fontId="0" fillId="3" borderId="3" xfId="0" applyNumberFormat="1" applyFill="1" applyBorder="1" applyProtection="1"/>
    <xf numFmtId="0" fontId="6" fillId="2" borderId="0" xfId="0" applyFont="1" applyFill="1" applyBorder="1" applyAlignment="1" applyProtection="1">
      <alignment vertical="center"/>
    </xf>
    <xf numFmtId="0" fontId="6" fillId="2" borderId="0" xfId="0" applyFont="1" applyFill="1" applyBorder="1" applyAlignment="1" applyProtection="1">
      <alignment horizontal="right" vertical="center"/>
    </xf>
    <xf numFmtId="0" fontId="2" fillId="0" borderId="0" xfId="0" applyFont="1" applyBorder="1" applyAlignment="1" applyProtection="1">
      <alignment horizontal="left" indent="4"/>
    </xf>
    <xf numFmtId="1" fontId="5" fillId="0" borderId="6"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left"/>
      <protection locked="0"/>
    </xf>
    <xf numFmtId="0" fontId="5" fillId="0" borderId="3" xfId="0" applyNumberFormat="1" applyFont="1" applyFill="1" applyBorder="1" applyAlignment="1" applyProtection="1">
      <alignment horizontal="right"/>
      <protection locked="0"/>
    </xf>
    <xf numFmtId="0" fontId="46" fillId="0" borderId="9" xfId="0" applyFont="1" applyFill="1" applyBorder="1" applyProtection="1"/>
    <xf numFmtId="49" fontId="5" fillId="3" borderId="3" xfId="0" applyNumberFormat="1" applyFont="1" applyFill="1" applyBorder="1" applyAlignment="1" applyProtection="1">
      <alignment horizontal="center"/>
    </xf>
    <xf numFmtId="0" fontId="0" fillId="0" borderId="17" xfId="0" applyBorder="1" applyAlignment="1" applyProtection="1"/>
    <xf numFmtId="0" fontId="69" fillId="2" borderId="0" xfId="0" applyFont="1" applyFill="1" applyProtection="1">
      <protection locked="0"/>
    </xf>
    <xf numFmtId="0" fontId="69" fillId="2" borderId="0" xfId="0" applyFont="1" applyFill="1" applyProtection="1"/>
    <xf numFmtId="1" fontId="6" fillId="0" borderId="0" xfId="0" applyNumberFormat="1" applyFont="1" applyAlignment="1">
      <alignment horizontal="right"/>
    </xf>
    <xf numFmtId="1" fontId="6" fillId="0" borderId="0" xfId="0" applyNumberFormat="1" applyFont="1" applyFill="1" applyBorder="1"/>
    <xf numFmtId="49" fontId="6" fillId="0" borderId="0" xfId="0" applyNumberFormat="1" applyFont="1" applyFill="1" applyBorder="1"/>
    <xf numFmtId="0" fontId="6" fillId="0" borderId="0" xfId="0" applyFont="1" applyFill="1" applyBorder="1"/>
    <xf numFmtId="0" fontId="71" fillId="0" borderId="0" xfId="0" applyNumberFormat="1" applyFont="1"/>
    <xf numFmtId="0" fontId="6" fillId="0" borderId="0" xfId="0" applyNumberFormat="1" applyFont="1" applyFill="1" applyBorder="1"/>
    <xf numFmtId="49" fontId="71" fillId="0" borderId="0" xfId="0" applyNumberFormat="1" applyFont="1"/>
    <xf numFmtId="1" fontId="6" fillId="0" borderId="0" xfId="0" applyNumberFormat="1" applyFont="1" applyAlignment="1">
      <alignment horizontal="left"/>
    </xf>
    <xf numFmtId="0" fontId="2" fillId="2" borderId="8" xfId="0" applyFont="1" applyFill="1" applyBorder="1" applyProtection="1"/>
    <xf numFmtId="0" fontId="6" fillId="2" borderId="1" xfId="0" applyFont="1" applyFill="1" applyBorder="1" applyProtection="1"/>
    <xf numFmtId="0" fontId="0" fillId="0" borderId="0" xfId="0" applyBorder="1"/>
    <xf numFmtId="4" fontId="5" fillId="3" borderId="3" xfId="0" applyNumberFormat="1" applyFont="1" applyFill="1" applyBorder="1" applyProtection="1"/>
    <xf numFmtId="4" fontId="0" fillId="3" borderId="3" xfId="0" applyNumberFormat="1" applyFill="1" applyBorder="1" applyProtection="1">
      <protection hidden="1"/>
    </xf>
    <xf numFmtId="4" fontId="0" fillId="3" borderId="3" xfId="0" applyNumberFormat="1" applyFill="1" applyBorder="1" applyProtection="1"/>
    <xf numFmtId="0" fontId="74" fillId="0" borderId="0" xfId="0" applyFont="1" applyBorder="1"/>
    <xf numFmtId="3" fontId="5" fillId="6" borderId="3" xfId="0" applyNumberFormat="1" applyFont="1" applyFill="1" applyBorder="1" applyAlignment="1" applyProtection="1">
      <alignment horizontal="right"/>
    </xf>
    <xf numFmtId="0" fontId="12" fillId="0" borderId="0" xfId="0" applyFont="1"/>
    <xf numFmtId="49" fontId="75" fillId="0" borderId="3" xfId="0" applyNumberFormat="1" applyFont="1" applyBorder="1" applyAlignment="1" applyProtection="1">
      <alignment horizontal="center"/>
      <protection locked="0"/>
    </xf>
    <xf numFmtId="184" fontId="5" fillId="6" borderId="3" xfId="0" applyNumberFormat="1" applyFont="1" applyFill="1" applyBorder="1" applyAlignment="1" applyProtection="1">
      <alignment horizontal="right"/>
    </xf>
    <xf numFmtId="184" fontId="5" fillId="0" borderId="3" xfId="0" applyNumberFormat="1" applyFont="1" applyFill="1" applyBorder="1" applyAlignment="1" applyProtection="1">
      <alignment horizontal="right"/>
      <protection locked="0"/>
    </xf>
    <xf numFmtId="184" fontId="5" fillId="3" borderId="3" xfId="0" applyNumberFormat="1" applyFont="1" applyFill="1" applyBorder="1" applyAlignment="1" applyProtection="1">
      <alignment horizontal="right"/>
    </xf>
    <xf numFmtId="184" fontId="5" fillId="0" borderId="16" xfId="0" applyNumberFormat="1" applyFont="1" applyFill="1" applyBorder="1" applyAlignment="1" applyProtection="1">
      <alignment horizontal="right"/>
      <protection locked="0"/>
    </xf>
    <xf numFmtId="0" fontId="6" fillId="0" borderId="0" xfId="0" applyFont="1" applyFill="1" applyProtection="1"/>
    <xf numFmtId="0" fontId="76" fillId="2" borderId="6" xfId="2" applyFont="1" applyFill="1" applyBorder="1" applyAlignment="1" applyProtection="1">
      <protection locked="0"/>
    </xf>
    <xf numFmtId="49" fontId="5" fillId="2" borderId="0" xfId="0" applyNumberFormat="1" applyFont="1" applyFill="1" applyProtection="1"/>
    <xf numFmtId="3" fontId="5" fillId="0" borderId="9" xfId="0" applyNumberFormat="1" applyFont="1" applyFill="1" applyBorder="1" applyAlignment="1" applyProtection="1">
      <protection locked="0"/>
    </xf>
    <xf numFmtId="3" fontId="5" fillId="0" borderId="3" xfId="0" applyNumberFormat="1" applyFont="1" applyFill="1" applyBorder="1" applyAlignment="1" applyProtection="1">
      <alignment horizontal="center"/>
      <protection locked="0"/>
    </xf>
    <xf numFmtId="3" fontId="5" fillId="0" borderId="3" xfId="0" applyNumberFormat="1" applyFont="1" applyBorder="1" applyProtection="1">
      <protection locked="0"/>
    </xf>
    <xf numFmtId="3" fontId="0" fillId="3" borderId="3" xfId="0" applyNumberFormat="1" applyFill="1" applyBorder="1" applyProtection="1"/>
    <xf numFmtId="0" fontId="5" fillId="0" borderId="0" xfId="0" applyFont="1" applyBorder="1" applyAlignment="1" applyProtection="1">
      <alignment horizontal="center" vertical="center"/>
    </xf>
    <xf numFmtId="0" fontId="5" fillId="2" borderId="0" xfId="0" applyFont="1" applyFill="1" applyBorder="1" applyAlignment="1" applyProtection="1">
      <alignment horizontal="center"/>
    </xf>
    <xf numFmtId="0" fontId="23" fillId="0" borderId="0" xfId="0" applyFont="1" applyFill="1" applyAlignment="1" applyProtection="1"/>
    <xf numFmtId="0" fontId="5" fillId="2" borderId="0" xfId="0" applyFont="1" applyFill="1" applyProtection="1">
      <protection locked="0"/>
    </xf>
    <xf numFmtId="0" fontId="38" fillId="2" borderId="0" xfId="2" applyFill="1" applyAlignment="1" applyProtection="1">
      <protection locked="0"/>
    </xf>
    <xf numFmtId="0" fontId="43" fillId="0" borderId="0" xfId="0" applyFont="1" applyFill="1" applyBorder="1" applyAlignment="1">
      <alignment horizontal="left" vertical="center"/>
    </xf>
    <xf numFmtId="0" fontId="0" fillId="0" borderId="1" xfId="0" applyFill="1" applyBorder="1" applyAlignment="1"/>
    <xf numFmtId="0" fontId="0" fillId="0" borderId="0" xfId="0" applyBorder="1" applyAlignment="1">
      <alignment horizontal="center"/>
    </xf>
    <xf numFmtId="0" fontId="0" fillId="0" borderId="4" xfId="0" applyFill="1" applyBorder="1"/>
    <xf numFmtId="0" fontId="0" fillId="0" borderId="2" xfId="0" applyFill="1" applyBorder="1"/>
    <xf numFmtId="0" fontId="18" fillId="2" borderId="0" xfId="2" applyFont="1" applyFill="1" applyAlignment="1" applyProtection="1"/>
    <xf numFmtId="0" fontId="0" fillId="0" borderId="4" xfId="0" applyBorder="1"/>
    <xf numFmtId="0" fontId="6" fillId="0" borderId="0" xfId="0" applyFont="1" applyBorder="1"/>
    <xf numFmtId="0" fontId="6" fillId="3" borderId="0" xfId="0" applyFont="1" applyFill="1" applyBorder="1"/>
    <xf numFmtId="0" fontId="72" fillId="0" borderId="0" xfId="0" applyFont="1" applyBorder="1"/>
    <xf numFmtId="0" fontId="71" fillId="2" borderId="0" xfId="0" applyFont="1" applyFill="1" applyBorder="1"/>
    <xf numFmtId="0" fontId="74" fillId="2" borderId="0" xfId="0" applyFont="1" applyFill="1" applyBorder="1"/>
    <xf numFmtId="0" fontId="73" fillId="0" borderId="0" xfId="0" applyFont="1" applyBorder="1" applyAlignment="1">
      <alignment horizontal="left"/>
    </xf>
    <xf numFmtId="0" fontId="78" fillId="0" borderId="0" xfId="0" applyFont="1" applyBorder="1" applyAlignment="1">
      <alignment horizontal="left"/>
    </xf>
    <xf numFmtId="0" fontId="74" fillId="0" borderId="0" xfId="0" applyFont="1" applyBorder="1" applyAlignment="1">
      <alignment horizontal="left"/>
    </xf>
    <xf numFmtId="0" fontId="79" fillId="0" borderId="0" xfId="0" applyFont="1" applyBorder="1" applyAlignment="1">
      <alignment horizontal="left"/>
    </xf>
    <xf numFmtId="0" fontId="74" fillId="2" borderId="0" xfId="0" applyFont="1" applyFill="1" applyBorder="1" applyAlignment="1">
      <alignment horizontal="left" vertical="center" wrapText="1"/>
    </xf>
    <xf numFmtId="0" fontId="73" fillId="2" borderId="18" xfId="0" applyFont="1" applyFill="1" applyBorder="1"/>
    <xf numFmtId="0" fontId="12" fillId="2" borderId="19" xfId="0" applyFont="1" applyFill="1" applyBorder="1" applyProtection="1"/>
    <xf numFmtId="0" fontId="12" fillId="2" borderId="19" xfId="0" applyFont="1" applyFill="1" applyBorder="1"/>
    <xf numFmtId="0" fontId="12" fillId="0" borderId="19" xfId="0" applyFont="1" applyBorder="1"/>
    <xf numFmtId="0" fontId="12" fillId="0" borderId="20" xfId="0" applyFont="1" applyBorder="1"/>
    <xf numFmtId="0" fontId="6" fillId="0" borderId="1" xfId="0" applyFont="1" applyBorder="1"/>
    <xf numFmtId="0" fontId="0" fillId="0" borderId="1" xfId="0" applyBorder="1"/>
    <xf numFmtId="0" fontId="0" fillId="0" borderId="9" xfId="0" applyBorder="1"/>
    <xf numFmtId="0" fontId="0" fillId="0" borderId="2" xfId="0" applyBorder="1"/>
    <xf numFmtId="0" fontId="35" fillId="2" borderId="0" xfId="0" applyFont="1" applyFill="1" applyProtection="1"/>
    <xf numFmtId="0" fontId="6" fillId="0" borderId="0" xfId="0" applyFont="1" applyAlignment="1">
      <alignment horizontal="left"/>
    </xf>
    <xf numFmtId="49" fontId="80" fillId="2" borderId="0" xfId="0" applyNumberFormat="1" applyFont="1" applyFill="1" applyProtection="1"/>
    <xf numFmtId="49" fontId="6" fillId="0" borderId="5" xfId="0" applyNumberFormat="1" applyFont="1" applyFill="1" applyBorder="1" applyAlignment="1" applyProtection="1">
      <alignment horizontal="center" vertical="center"/>
    </xf>
    <xf numFmtId="184" fontId="5" fillId="6" borderId="3" xfId="0" applyNumberFormat="1" applyFont="1" applyFill="1" applyBorder="1" applyAlignment="1" applyProtection="1">
      <alignment horizontal="right" vertical="center"/>
    </xf>
    <xf numFmtId="0" fontId="77" fillId="0" borderId="8" xfId="0" applyFont="1" applyBorder="1" applyProtection="1"/>
    <xf numFmtId="0" fontId="0" fillId="0" borderId="1" xfId="0" applyBorder="1" applyProtection="1"/>
    <xf numFmtId="0" fontId="77" fillId="0" borderId="9" xfId="0" applyFont="1" applyBorder="1" applyProtection="1"/>
    <xf numFmtId="0" fontId="0" fillId="0" borderId="2" xfId="0" applyBorder="1" applyProtection="1"/>
    <xf numFmtId="49" fontId="6" fillId="0" borderId="0" xfId="0" applyNumberFormat="1" applyFont="1" applyFill="1" applyAlignment="1" applyProtection="1">
      <alignment horizontal="center"/>
    </xf>
    <xf numFmtId="38" fontId="46" fillId="0" borderId="8" xfId="0" applyNumberFormat="1" applyFont="1" applyFill="1" applyBorder="1" applyAlignment="1" applyProtection="1">
      <alignment horizontal="left"/>
    </xf>
    <xf numFmtId="0" fontId="81" fillId="0" borderId="8" xfId="0" applyFont="1" applyBorder="1" applyProtection="1"/>
    <xf numFmtId="38" fontId="5" fillId="0" borderId="1" xfId="0" applyNumberFormat="1" applyFont="1" applyFill="1" applyBorder="1" applyAlignment="1" applyProtection="1">
      <alignment horizontal="right"/>
    </xf>
    <xf numFmtId="38" fontId="23" fillId="0" borderId="1" xfId="0" applyNumberFormat="1" applyFont="1" applyFill="1" applyBorder="1" applyAlignment="1" applyProtection="1">
      <alignment horizontal="left"/>
    </xf>
    <xf numFmtId="38" fontId="46" fillId="0" borderId="9" xfId="0" applyNumberFormat="1" applyFont="1" applyFill="1" applyBorder="1" applyAlignment="1" applyProtection="1">
      <alignment horizontal="left"/>
    </xf>
    <xf numFmtId="38" fontId="23" fillId="0" borderId="2" xfId="0" applyNumberFormat="1" applyFont="1" applyFill="1" applyBorder="1" applyAlignment="1" applyProtection="1">
      <alignment horizontal="left"/>
    </xf>
    <xf numFmtId="0" fontId="1" fillId="4" borderId="0" xfId="0" applyFont="1" applyFill="1" applyBorder="1" applyAlignment="1" applyProtection="1">
      <alignment vertical="center"/>
    </xf>
    <xf numFmtId="0" fontId="0" fillId="3" borderId="0" xfId="0" applyFill="1" applyProtection="1"/>
    <xf numFmtId="0" fontId="81" fillId="0" borderId="18" xfId="0" applyFont="1" applyBorder="1" applyProtection="1"/>
    <xf numFmtId="0" fontId="0" fillId="0" borderId="20" xfId="0" applyBorder="1" applyProtection="1"/>
    <xf numFmtId="0" fontId="81" fillId="0" borderId="9" xfId="0" applyFont="1" applyBorder="1" applyProtection="1"/>
    <xf numFmtId="0" fontId="80" fillId="0" borderId="0" xfId="0" applyFont="1" applyProtection="1"/>
    <xf numFmtId="0" fontId="82" fillId="0" borderId="0" xfId="0" applyFont="1" applyProtection="1"/>
    <xf numFmtId="49" fontId="83" fillId="0" borderId="0" xfId="0" applyNumberFormat="1" applyFont="1" applyFill="1" applyAlignment="1" applyProtection="1">
      <alignment horizontal="center"/>
    </xf>
    <xf numFmtId="0" fontId="83" fillId="0" borderId="0" xfId="0" applyNumberFormat="1" applyFont="1" applyFill="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xf>
    <xf numFmtId="0" fontId="0" fillId="2" borderId="20" xfId="0" applyFill="1" applyBorder="1" applyProtection="1"/>
    <xf numFmtId="0" fontId="80" fillId="0" borderId="0" xfId="0" applyFont="1" applyFill="1" applyProtection="1"/>
    <xf numFmtId="49" fontId="84" fillId="0" borderId="0" xfId="0" applyNumberFormat="1" applyFont="1" applyFill="1" applyAlignment="1" applyProtection="1">
      <alignment horizontal="center"/>
    </xf>
    <xf numFmtId="0" fontId="82" fillId="0" borderId="0" xfId="0" applyFont="1" applyFill="1" applyBorder="1" applyProtection="1"/>
    <xf numFmtId="49" fontId="85" fillId="0" borderId="0" xfId="0" applyNumberFormat="1" applyFont="1" applyFill="1" applyAlignment="1" applyProtection="1">
      <alignment horizontal="center"/>
    </xf>
    <xf numFmtId="0" fontId="80" fillId="0" borderId="0" xfId="0" applyFont="1" applyFill="1" applyBorder="1" applyProtection="1"/>
    <xf numFmtId="0" fontId="75" fillId="0" borderId="0" xfId="0" applyFont="1"/>
    <xf numFmtId="0" fontId="75" fillId="0" borderId="0" xfId="0" applyFont="1" applyProtection="1">
      <protection locked="0"/>
    </xf>
    <xf numFmtId="49" fontId="75" fillId="0" borderId="0" xfId="0" applyNumberFormat="1" applyFont="1"/>
    <xf numFmtId="0" fontId="75" fillId="0" borderId="0" xfId="0" applyFont="1" applyProtection="1"/>
    <xf numFmtId="38" fontId="6" fillId="2" borderId="21" xfId="0" applyNumberFormat="1" applyFont="1" applyFill="1" applyBorder="1" applyAlignment="1">
      <alignment horizontal="center" vertical="center"/>
    </xf>
    <xf numFmtId="38" fontId="6" fillId="2" borderId="22" xfId="0" applyNumberFormat="1" applyFont="1" applyFill="1" applyBorder="1" applyAlignment="1">
      <alignment horizontal="center" vertical="center"/>
    </xf>
    <xf numFmtId="0" fontId="23" fillId="2" borderId="23" xfId="0" applyFont="1" applyFill="1" applyBorder="1" applyAlignment="1">
      <alignment horizontal="center"/>
    </xf>
    <xf numFmtId="38" fontId="6" fillId="2" borderId="24" xfId="0" applyNumberFormat="1" applyFont="1" applyFill="1" applyBorder="1" applyAlignment="1">
      <alignment horizontal="center"/>
    </xf>
    <xf numFmtId="0" fontId="46" fillId="0" borderId="0" xfId="0" applyFont="1" applyFill="1" applyBorder="1" applyProtection="1"/>
    <xf numFmtId="0" fontId="21" fillId="0" borderId="0" xfId="0" applyFont="1" applyFill="1" applyProtection="1"/>
    <xf numFmtId="0" fontId="18" fillId="3" borderId="0" xfId="0" applyFont="1" applyFill="1" applyAlignment="1" applyProtection="1">
      <alignment horizontal="left"/>
    </xf>
    <xf numFmtId="0" fontId="86" fillId="3" borderId="0" xfId="0" applyFont="1" applyFill="1" applyAlignment="1" applyProtection="1">
      <alignment horizontal="left"/>
    </xf>
    <xf numFmtId="0" fontId="86" fillId="3" borderId="0" xfId="0" applyFont="1" applyFill="1" applyAlignment="1" applyProtection="1"/>
    <xf numFmtId="180" fontId="67" fillId="0" borderId="0" xfId="3" applyFont="1" applyFill="1" applyBorder="1" applyAlignment="1" applyProtection="1">
      <alignment horizontal="center" vertical="center"/>
    </xf>
    <xf numFmtId="0" fontId="67" fillId="0" borderId="0" xfId="0" applyFont="1" applyFill="1" applyBorder="1" applyAlignment="1" applyProtection="1">
      <alignment horizontal="center" vertical="center" wrapText="1"/>
    </xf>
    <xf numFmtId="180" fontId="67" fillId="0" borderId="0" xfId="3" applyFont="1" applyFill="1" applyBorder="1" applyAlignment="1" applyProtection="1">
      <alignment horizontal="center" vertical="center" wrapText="1"/>
    </xf>
    <xf numFmtId="0" fontId="41" fillId="0" borderId="0" xfId="0" applyFont="1" applyFill="1" applyBorder="1" applyAlignment="1" applyProtection="1">
      <alignment horizontal="left"/>
    </xf>
    <xf numFmtId="0" fontId="32" fillId="0" borderId="0" xfId="0" applyFont="1" applyFill="1" applyBorder="1" applyAlignment="1" applyProtection="1"/>
    <xf numFmtId="49" fontId="67" fillId="0" borderId="0" xfId="0" applyNumberFormat="1" applyFont="1" applyFill="1" applyAlignment="1" applyProtection="1">
      <alignment horizontal="center"/>
    </xf>
    <xf numFmtId="184" fontId="67" fillId="0" borderId="0" xfId="0" applyNumberFormat="1" applyFont="1" applyFill="1" applyAlignment="1" applyProtection="1">
      <alignment horizontal="center"/>
    </xf>
    <xf numFmtId="0" fontId="41" fillId="0" borderId="0" xfId="0" applyNumberFormat="1" applyFont="1" applyFill="1" applyAlignment="1" applyProtection="1">
      <alignment horizontal="center"/>
    </xf>
    <xf numFmtId="49" fontId="41" fillId="0" borderId="0" xfId="0" applyNumberFormat="1" applyFont="1" applyFill="1" applyAlignment="1" applyProtection="1">
      <alignment horizontal="center"/>
    </xf>
    <xf numFmtId="0" fontId="2" fillId="2" borderId="4" xfId="0" applyFont="1" applyFill="1" applyBorder="1" applyProtection="1">
      <protection locked="0"/>
    </xf>
    <xf numFmtId="0" fontId="2" fillId="2" borderId="4" xfId="0" applyFont="1" applyFill="1" applyBorder="1" applyAlignment="1" applyProtection="1">
      <protection locked="0"/>
    </xf>
    <xf numFmtId="0" fontId="2" fillId="2" borderId="4" xfId="0" applyFont="1" applyFill="1" applyBorder="1" applyAlignment="1"/>
    <xf numFmtId="0" fontId="2" fillId="2" borderId="4" xfId="0" applyFont="1" applyFill="1" applyBorder="1"/>
    <xf numFmtId="0" fontId="2" fillId="0" borderId="4" xfId="0" applyFont="1" applyBorder="1"/>
    <xf numFmtId="0" fontId="38" fillId="2" borderId="6" xfId="2" applyFont="1" applyFill="1" applyBorder="1" applyAlignment="1" applyProtection="1">
      <protection locked="0"/>
    </xf>
    <xf numFmtId="0" fontId="5" fillId="0" borderId="3" xfId="0" applyFont="1" applyFill="1" applyBorder="1" applyAlignment="1" applyProtection="1">
      <alignment wrapText="1"/>
      <protection locked="0"/>
    </xf>
    <xf numFmtId="4" fontId="5" fillId="2" borderId="3" xfId="0" applyNumberFormat="1" applyFont="1" applyFill="1" applyBorder="1" applyAlignment="1" applyProtection="1">
      <alignment horizontal="right"/>
      <protection locked="0"/>
    </xf>
    <xf numFmtId="0" fontId="6" fillId="2" borderId="0" xfId="0" applyFont="1" applyFill="1" applyAlignment="1">
      <alignment vertical="center"/>
    </xf>
    <xf numFmtId="0" fontId="0" fillId="0" borderId="0" xfId="0" applyFill="1" applyAlignment="1"/>
    <xf numFmtId="0" fontId="66" fillId="0" borderId="0" xfId="0" applyFont="1" applyFill="1" applyAlignment="1">
      <alignment horizontal="center"/>
    </xf>
    <xf numFmtId="0" fontId="61" fillId="0" borderId="0" xfId="0" applyFont="1" applyFill="1" applyBorder="1" applyAlignment="1">
      <alignment horizontal="center" vertical="center"/>
    </xf>
    <xf numFmtId="0" fontId="62" fillId="0" borderId="0" xfId="0" applyFont="1" applyFill="1" applyBorder="1" applyAlignment="1">
      <alignment horizontal="center" vertical="center"/>
    </xf>
    <xf numFmtId="0" fontId="40" fillId="0" borderId="0" xfId="0" applyFont="1" applyFill="1" applyAlignment="1"/>
    <xf numFmtId="0" fontId="1" fillId="0" borderId="0" xfId="0" applyFont="1" applyFill="1" applyAlignment="1">
      <alignment horizontal="center"/>
    </xf>
    <xf numFmtId="0" fontId="5" fillId="0" borderId="0" xfId="0" applyFont="1" applyFill="1" applyBorder="1" applyAlignment="1">
      <alignment horizontal="left"/>
    </xf>
    <xf numFmtId="0" fontId="4" fillId="0" borderId="0" xfId="0" applyFont="1" applyFill="1" applyBorder="1" applyAlignment="1"/>
    <xf numFmtId="0" fontId="36" fillId="0" borderId="0" xfId="0" applyFont="1" applyFill="1" applyBorder="1" applyAlignment="1"/>
    <xf numFmtId="0" fontId="2" fillId="0" borderId="0" xfId="0" applyFont="1" applyFill="1" applyAlignment="1"/>
    <xf numFmtId="0" fontId="4" fillId="0" borderId="0" xfId="0" applyFont="1" applyFill="1" applyBorder="1" applyAlignment="1">
      <alignment horizontal="left"/>
    </xf>
    <xf numFmtId="0" fontId="63" fillId="0" borderId="0" xfId="0" applyFont="1" applyFill="1"/>
    <xf numFmtId="0" fontId="64" fillId="0" borderId="0" xfId="0" applyFont="1" applyFill="1" applyBorder="1"/>
    <xf numFmtId="0" fontId="63" fillId="0" borderId="0" xfId="0" applyFont="1" applyFill="1" applyBorder="1"/>
    <xf numFmtId="0" fontId="94" fillId="2" borderId="0" xfId="0" applyFont="1" applyFill="1" applyBorder="1" applyProtection="1"/>
    <xf numFmtId="0" fontId="94" fillId="2" borderId="15" xfId="0" applyFont="1" applyFill="1" applyBorder="1" applyProtection="1"/>
    <xf numFmtId="0" fontId="94" fillId="2" borderId="21" xfId="0" applyFont="1" applyFill="1" applyBorder="1" applyProtection="1"/>
    <xf numFmtId="0" fontId="94" fillId="2" borderId="11" xfId="0" applyFont="1" applyFill="1" applyBorder="1" applyProtection="1"/>
    <xf numFmtId="0" fontId="5" fillId="4" borderId="10" xfId="0" applyFont="1" applyFill="1" applyBorder="1" applyAlignment="1" applyProtection="1">
      <alignment horizontal="center"/>
    </xf>
    <xf numFmtId="0" fontId="5" fillId="4" borderId="25" xfId="0" applyFont="1" applyFill="1" applyBorder="1" applyAlignment="1" applyProtection="1">
      <alignment horizontal="center"/>
    </xf>
    <xf numFmtId="49" fontId="5" fillId="4" borderId="10" xfId="0" applyNumberFormat="1" applyFont="1" applyFill="1" applyBorder="1" applyAlignment="1" applyProtection="1">
      <alignment horizontal="center"/>
    </xf>
    <xf numFmtId="0" fontId="1" fillId="0" borderId="0" xfId="0" applyFont="1" applyFill="1" applyBorder="1" applyProtection="1"/>
    <xf numFmtId="0" fontId="5" fillId="4" borderId="20" xfId="0" applyFont="1" applyFill="1" applyBorder="1" applyAlignment="1" applyProtection="1">
      <alignment horizontal="center"/>
    </xf>
    <xf numFmtId="180" fontId="22" fillId="4" borderId="26" xfId="3" applyFont="1" applyFill="1" applyBorder="1" applyAlignment="1" applyProtection="1">
      <alignment horizontal="center"/>
    </xf>
    <xf numFmtId="180" fontId="5" fillId="4" borderId="18" xfId="3" applyFont="1" applyFill="1" applyBorder="1" applyAlignment="1" applyProtection="1">
      <alignment horizontal="center"/>
    </xf>
    <xf numFmtId="0" fontId="83" fillId="0" borderId="0" xfId="0" applyFont="1" applyFill="1" applyBorder="1" applyProtection="1"/>
    <xf numFmtId="0" fontId="83" fillId="0" borderId="1" xfId="0" applyFont="1" applyFill="1" applyBorder="1" applyProtection="1"/>
    <xf numFmtId="0" fontId="83" fillId="0" borderId="4" xfId="0" applyFont="1" applyFill="1" applyBorder="1" applyProtection="1"/>
    <xf numFmtId="0" fontId="83" fillId="0" borderId="2" xfId="0" applyFont="1" applyFill="1" applyBorder="1" applyProtection="1"/>
    <xf numFmtId="0" fontId="80" fillId="0" borderId="0" xfId="0" applyFont="1" applyFill="1" applyBorder="1" applyAlignment="1" applyProtection="1"/>
    <xf numFmtId="0" fontId="96" fillId="0" borderId="0" xfId="0" applyFont="1" applyFill="1" applyBorder="1" applyProtection="1"/>
    <xf numFmtId="0" fontId="32" fillId="0" borderId="0" xfId="0" applyFont="1" applyFill="1" applyBorder="1" applyProtection="1"/>
    <xf numFmtId="180" fontId="22" fillId="4" borderId="2" xfId="3" applyFont="1" applyFill="1" applyBorder="1" applyAlignment="1" applyProtection="1">
      <alignment horizontal="center" wrapText="1" shrinkToFit="1"/>
    </xf>
    <xf numFmtId="180" fontId="22" fillId="4" borderId="16" xfId="3" applyFont="1" applyFill="1" applyBorder="1" applyAlignment="1" applyProtection="1">
      <alignment horizontal="center" vertical="center"/>
    </xf>
    <xf numFmtId="180" fontId="22" fillId="4" borderId="16" xfId="3" applyFont="1" applyFill="1" applyBorder="1" applyAlignment="1" applyProtection="1">
      <alignment horizontal="center" vertical="center" wrapText="1"/>
    </xf>
    <xf numFmtId="0" fontId="5" fillId="4" borderId="3" xfId="0" applyFont="1" applyFill="1" applyBorder="1" applyAlignment="1" applyProtection="1">
      <alignment horizontal="center" vertical="center" wrapText="1"/>
    </xf>
    <xf numFmtId="180" fontId="5" fillId="4" borderId="3" xfId="3" applyFont="1" applyFill="1" applyBorder="1" applyAlignment="1" applyProtection="1">
      <alignment horizontal="center" vertical="center" wrapText="1"/>
    </xf>
    <xf numFmtId="0" fontId="5" fillId="4" borderId="3" xfId="0" applyFont="1" applyFill="1" applyBorder="1" applyAlignment="1" applyProtection="1">
      <alignment horizontal="center"/>
    </xf>
    <xf numFmtId="184" fontId="5" fillId="4" borderId="3" xfId="3" applyNumberFormat="1" applyFont="1" applyFill="1" applyBorder="1" applyAlignment="1" applyProtection="1">
      <alignment horizontal="center" vertical="center" wrapText="1"/>
    </xf>
    <xf numFmtId="0" fontId="97" fillId="0" borderId="0" xfId="0" applyFont="1" applyFill="1" applyProtection="1"/>
    <xf numFmtId="180" fontId="5" fillId="4" borderId="26" xfId="3" applyFont="1" applyFill="1" applyBorder="1" applyAlignment="1" applyProtection="1">
      <alignment horizontal="center"/>
    </xf>
    <xf numFmtId="180" fontId="5" fillId="4" borderId="16" xfId="3" applyFont="1" applyFill="1" applyBorder="1" applyAlignment="1" applyProtection="1">
      <alignment horizontal="center"/>
    </xf>
    <xf numFmtId="180" fontId="22" fillId="4" borderId="9" xfId="3" applyFont="1" applyFill="1" applyBorder="1" applyAlignment="1" applyProtection="1">
      <alignment horizontal="center" wrapText="1" shrinkToFit="1"/>
    </xf>
    <xf numFmtId="180" fontId="5" fillId="4" borderId="2" xfId="3" applyFont="1" applyFill="1" applyBorder="1" applyAlignment="1" applyProtection="1">
      <alignment horizontal="center" wrapText="1" shrinkToFit="1"/>
    </xf>
    <xf numFmtId="180" fontId="5" fillId="4" borderId="16" xfId="3" applyFont="1" applyFill="1" applyBorder="1" applyAlignment="1" applyProtection="1">
      <alignment horizontal="center" vertical="center" wrapText="1"/>
    </xf>
    <xf numFmtId="180" fontId="5" fillId="4" borderId="9" xfId="3" applyFont="1" applyFill="1" applyBorder="1" applyAlignment="1" applyProtection="1">
      <alignment horizontal="center" wrapText="1" shrinkToFit="1"/>
    </xf>
    <xf numFmtId="0" fontId="1" fillId="4" borderId="16" xfId="0" applyFont="1" applyFill="1" applyBorder="1" applyAlignment="1" applyProtection="1">
      <alignment horizontal="center"/>
    </xf>
    <xf numFmtId="0" fontId="27" fillId="4" borderId="27" xfId="0" applyFont="1" applyFill="1" applyBorder="1"/>
    <xf numFmtId="0" fontId="6" fillId="4" borderId="22" xfId="0" applyFont="1" applyFill="1" applyBorder="1"/>
    <xf numFmtId="0" fontId="28" fillId="4" borderId="28" xfId="0" applyFont="1" applyFill="1" applyBorder="1" applyAlignment="1">
      <alignment horizontal="center"/>
    </xf>
    <xf numFmtId="0" fontId="28" fillId="4" borderId="29" xfId="0" applyFont="1" applyFill="1" applyBorder="1" applyAlignment="1">
      <alignment horizontal="center"/>
    </xf>
    <xf numFmtId="0" fontId="27" fillId="4" borderId="28" xfId="0" applyFont="1" applyFill="1" applyBorder="1"/>
    <xf numFmtId="0" fontId="6" fillId="4" borderId="30" xfId="0" applyFont="1" applyFill="1" applyBorder="1"/>
    <xf numFmtId="180" fontId="5" fillId="4" borderId="9" xfId="3" applyFont="1" applyFill="1" applyBorder="1" applyAlignment="1" applyProtection="1">
      <alignment horizontal="center"/>
    </xf>
    <xf numFmtId="49" fontId="6" fillId="0" borderId="0" xfId="0" quotePrefix="1" applyNumberFormat="1" applyFont="1"/>
    <xf numFmtId="0" fontId="19" fillId="2" borderId="0" xfId="0" applyFont="1" applyFill="1" applyAlignment="1">
      <alignment horizontal="left" vertical="center"/>
    </xf>
    <xf numFmtId="0" fontId="19" fillId="2" borderId="0" xfId="0" applyFont="1" applyFill="1" applyBorder="1" applyAlignment="1">
      <alignment horizontal="left" vertical="center"/>
    </xf>
    <xf numFmtId="0" fontId="9" fillId="2" borderId="0" xfId="0" applyFont="1" applyFill="1" applyAlignment="1">
      <alignment horizontal="left"/>
    </xf>
    <xf numFmtId="0" fontId="77" fillId="0" borderId="0" xfId="0" applyFont="1" applyFill="1" applyAlignment="1" applyProtection="1">
      <alignment wrapText="1"/>
    </xf>
    <xf numFmtId="0" fontId="6" fillId="2" borderId="0" xfId="0" applyFont="1" applyFill="1" applyBorder="1" applyAlignment="1">
      <alignment wrapText="1"/>
    </xf>
    <xf numFmtId="38" fontId="6" fillId="2" borderId="0" xfId="0" applyNumberFormat="1" applyFont="1" applyFill="1" applyBorder="1" applyAlignment="1">
      <alignment horizontal="center" vertical="center"/>
    </xf>
    <xf numFmtId="38" fontId="6" fillId="2" borderId="8" xfId="0" applyNumberFormat="1" applyFont="1" applyFill="1" applyBorder="1" applyAlignment="1">
      <alignment horizontal="center" vertical="center"/>
    </xf>
    <xf numFmtId="38" fontId="6" fillId="2" borderId="29" xfId="0" applyNumberFormat="1" applyFont="1" applyFill="1" applyBorder="1" applyAlignment="1">
      <alignment horizontal="center" vertical="center"/>
    </xf>
    <xf numFmtId="38" fontId="23" fillId="2" borderId="31" xfId="0" applyNumberFormat="1" applyFont="1" applyFill="1" applyBorder="1" applyAlignment="1">
      <alignment horizontal="center" vertical="center" wrapText="1"/>
    </xf>
    <xf numFmtId="1" fontId="23" fillId="2" borderId="32" xfId="0" applyNumberFormat="1" applyFont="1" applyFill="1" applyBorder="1" applyAlignment="1">
      <alignment horizontal="center"/>
    </xf>
    <xf numFmtId="38" fontId="23" fillId="2" borderId="3" xfId="0" applyNumberFormat="1" applyFont="1" applyFill="1" applyBorder="1" applyAlignment="1">
      <alignment horizontal="center" vertical="center" wrapText="1"/>
    </xf>
    <xf numFmtId="1" fontId="23" fillId="2" borderId="33" xfId="0" applyNumberFormat="1" applyFont="1" applyFill="1" applyBorder="1" applyAlignment="1">
      <alignment horizontal="center"/>
    </xf>
    <xf numFmtId="38" fontId="23" fillId="2" borderId="29" xfId="0" applyNumberFormat="1" applyFont="1" applyFill="1" applyBorder="1" applyAlignment="1">
      <alignment horizontal="center" vertical="center" wrapText="1"/>
    </xf>
    <xf numFmtId="1" fontId="23" fillId="2" borderId="34" xfId="0" applyNumberFormat="1" applyFont="1" applyFill="1" applyBorder="1" applyAlignment="1">
      <alignment horizontal="center"/>
    </xf>
    <xf numFmtId="1" fontId="80" fillId="2" borderId="0" xfId="0" applyNumberFormat="1" applyFont="1" applyFill="1"/>
    <xf numFmtId="38" fontId="5" fillId="4" borderId="10" xfId="0" applyNumberFormat="1" applyFont="1" applyFill="1" applyBorder="1" applyAlignment="1">
      <alignment horizontal="center" vertical="distributed"/>
    </xf>
    <xf numFmtId="0" fontId="0" fillId="2" borderId="0" xfId="0" applyFill="1" applyAlignment="1">
      <alignment horizontal="center"/>
    </xf>
    <xf numFmtId="0" fontId="6" fillId="2" borderId="0" xfId="0" applyFont="1" applyFill="1" applyBorder="1" applyAlignment="1">
      <alignment horizontal="center"/>
    </xf>
    <xf numFmtId="0" fontId="5" fillId="4" borderId="34" xfId="0" applyFont="1" applyFill="1" applyBorder="1" applyAlignment="1">
      <alignment horizontal="center"/>
    </xf>
    <xf numFmtId="0" fontId="5" fillId="4" borderId="10" xfId="0" applyFont="1" applyFill="1" applyBorder="1" applyAlignment="1">
      <alignment horizontal="center"/>
    </xf>
    <xf numFmtId="0" fontId="23" fillId="2" borderId="32" xfId="0" applyFont="1" applyFill="1" applyBorder="1" applyAlignment="1">
      <alignment horizontal="center"/>
    </xf>
    <xf numFmtId="1" fontId="6" fillId="2" borderId="35" xfId="0" applyNumberFormat="1" applyFont="1" applyFill="1" applyBorder="1" applyAlignment="1">
      <alignment horizontal="center" vertical="center"/>
    </xf>
    <xf numFmtId="38" fontId="6" fillId="2" borderId="26" xfId="0" applyNumberFormat="1" applyFont="1" applyFill="1" applyBorder="1" applyAlignment="1">
      <alignment horizontal="center" vertical="center" wrapText="1"/>
    </xf>
    <xf numFmtId="1" fontId="6" fillId="2" borderId="36" xfId="0" applyNumberFormat="1" applyFont="1" applyFill="1" applyBorder="1" applyAlignment="1">
      <alignment horizontal="center" vertical="center"/>
    </xf>
    <xf numFmtId="1" fontId="6" fillId="2" borderId="28" xfId="0" applyNumberFormat="1" applyFont="1" applyFill="1" applyBorder="1" applyAlignment="1">
      <alignment horizontal="center" vertical="center"/>
    </xf>
    <xf numFmtId="0" fontId="23" fillId="0" borderId="8" xfId="0" applyFont="1" applyFill="1" applyBorder="1" applyProtection="1"/>
    <xf numFmtId="0" fontId="23" fillId="0" borderId="1" xfId="0" applyFont="1" applyFill="1" applyBorder="1" applyProtection="1"/>
    <xf numFmtId="0" fontId="23" fillId="0" borderId="9" xfId="0" applyFont="1" applyFill="1" applyBorder="1" applyProtection="1"/>
    <xf numFmtId="0" fontId="23" fillId="0" borderId="2" xfId="0" applyFont="1" applyFill="1" applyBorder="1" applyProtection="1"/>
    <xf numFmtId="0" fontId="83" fillId="0" borderId="0" xfId="0" applyFont="1" applyFill="1" applyProtection="1"/>
    <xf numFmtId="38" fontId="6" fillId="2" borderId="37" xfId="0" applyNumberFormat="1" applyFont="1" applyFill="1" applyBorder="1" applyAlignment="1">
      <alignment horizontal="center" vertical="center"/>
    </xf>
    <xf numFmtId="3" fontId="0" fillId="2" borderId="0" xfId="0" applyNumberFormat="1" applyFill="1" applyProtection="1"/>
    <xf numFmtId="3" fontId="80" fillId="2" borderId="0" xfId="0" applyNumberFormat="1" applyFont="1" applyFill="1" applyProtection="1"/>
    <xf numFmtId="0" fontId="38" fillId="0" borderId="0" xfId="2" applyFont="1" applyAlignment="1" applyProtection="1">
      <protection locked="0"/>
    </xf>
    <xf numFmtId="0" fontId="99" fillId="0" borderId="14" xfId="0" applyFont="1" applyBorder="1"/>
    <xf numFmtId="0" fontId="99" fillId="0" borderId="14" xfId="0" applyFont="1" applyBorder="1" applyAlignment="1">
      <alignment horizontal="left"/>
    </xf>
    <xf numFmtId="0" fontId="101" fillId="0" borderId="14" xfId="2" applyFont="1" applyBorder="1" applyAlignment="1" applyProtection="1"/>
    <xf numFmtId="0" fontId="99" fillId="0" borderId="12" xfId="0" applyFont="1" applyBorder="1"/>
    <xf numFmtId="0" fontId="103" fillId="2" borderId="8" xfId="0" applyFont="1" applyFill="1" applyBorder="1"/>
    <xf numFmtId="0" fontId="10" fillId="2" borderId="0" xfId="0" applyFont="1" applyFill="1" applyBorder="1"/>
    <xf numFmtId="0" fontId="103" fillId="0" borderId="0" xfId="0" applyFont="1" applyBorder="1"/>
    <xf numFmtId="0" fontId="103" fillId="0" borderId="8" xfId="0" applyFont="1" applyBorder="1"/>
    <xf numFmtId="0" fontId="103" fillId="0" borderId="0" xfId="0" applyFont="1" applyBorder="1" applyAlignment="1">
      <alignment horizontal="left"/>
    </xf>
    <xf numFmtId="0" fontId="10" fillId="0" borderId="8" xfId="0" applyFont="1" applyBorder="1"/>
    <xf numFmtId="0" fontId="104" fillId="0" borderId="0" xfId="0" applyFont="1" applyBorder="1" applyAlignment="1">
      <alignment horizontal="left"/>
    </xf>
    <xf numFmtId="0" fontId="10" fillId="0" borderId="0" xfId="0" applyFont="1" applyBorder="1" applyAlignment="1">
      <alignment horizontal="left"/>
    </xf>
    <xf numFmtId="0" fontId="105" fillId="0" borderId="8" xfId="2" applyFont="1" applyBorder="1" applyAlignment="1" applyProtection="1"/>
    <xf numFmtId="0" fontId="105" fillId="0" borderId="0" xfId="2" applyFont="1" applyBorder="1" applyAlignment="1" applyProtection="1">
      <alignment horizontal="left"/>
    </xf>
    <xf numFmtId="0" fontId="10" fillId="2" borderId="8" xfId="0" applyFont="1" applyFill="1" applyBorder="1"/>
    <xf numFmtId="0" fontId="10" fillId="0" borderId="0" xfId="0" applyFont="1" applyBorder="1"/>
    <xf numFmtId="0" fontId="103" fillId="0" borderId="0" xfId="0" applyFont="1" applyBorder="1" applyAlignment="1">
      <alignment horizontal="justify"/>
    </xf>
    <xf numFmtId="0" fontId="103" fillId="0" borderId="8" xfId="0" applyFont="1" applyBorder="1" applyAlignment="1">
      <alignment horizontal="left"/>
    </xf>
    <xf numFmtId="0" fontId="104" fillId="0" borderId="8" xfId="0" applyFont="1" applyBorder="1" applyAlignment="1">
      <alignment horizontal="left"/>
    </xf>
    <xf numFmtId="0" fontId="105" fillId="0" borderId="8" xfId="2" applyFont="1" applyBorder="1" applyAlignment="1" applyProtection="1">
      <alignment horizontal="left"/>
    </xf>
    <xf numFmtId="0" fontId="106" fillId="0" borderId="8" xfId="0" applyFont="1" applyBorder="1" applyAlignment="1">
      <alignment horizontal="justify"/>
    </xf>
    <xf numFmtId="0" fontId="10" fillId="0" borderId="8" xfId="0" applyFont="1" applyBorder="1" applyAlignment="1">
      <alignment horizontal="left"/>
    </xf>
    <xf numFmtId="0" fontId="103" fillId="2" borderId="0" xfId="0" applyFont="1" applyFill="1" applyBorder="1"/>
    <xf numFmtId="0" fontId="105" fillId="0" borderId="0" xfId="0" applyFont="1" applyBorder="1" applyAlignment="1">
      <alignment horizontal="left"/>
    </xf>
    <xf numFmtId="0" fontId="107" fillId="0" borderId="0" xfId="0" applyFont="1" applyBorder="1"/>
    <xf numFmtId="0" fontId="103" fillId="0" borderId="8" xfId="0" applyFont="1" applyBorder="1" applyAlignment="1">
      <alignment horizontal="justify"/>
    </xf>
    <xf numFmtId="0" fontId="108" fillId="0" borderId="0" xfId="0" applyFont="1" applyBorder="1" applyAlignment="1">
      <alignment horizontal="justify"/>
    </xf>
    <xf numFmtId="0" fontId="108" fillId="0" borderId="8" xfId="0" applyFont="1" applyBorder="1" applyAlignment="1">
      <alignment horizontal="left"/>
    </xf>
    <xf numFmtId="0" fontId="108" fillId="0" borderId="0" xfId="0" applyFont="1" applyBorder="1" applyAlignment="1">
      <alignment horizontal="left"/>
    </xf>
    <xf numFmtId="0" fontId="106" fillId="0" borderId="0" xfId="0" applyFont="1" applyBorder="1" applyAlignment="1">
      <alignment horizontal="left"/>
    </xf>
    <xf numFmtId="0" fontId="75" fillId="0" borderId="0" xfId="0" applyFont="1" applyBorder="1"/>
    <xf numFmtId="0" fontId="107" fillId="2" borderId="0" xfId="0" applyFont="1" applyFill="1" applyBorder="1"/>
    <xf numFmtId="0" fontId="107" fillId="2" borderId="8" xfId="0" applyFont="1" applyFill="1" applyBorder="1"/>
    <xf numFmtId="0" fontId="4" fillId="0" borderId="8" xfId="0" applyFont="1" applyBorder="1" applyAlignment="1" applyProtection="1">
      <alignment horizontal="left" vertical="center"/>
    </xf>
    <xf numFmtId="0" fontId="4" fillId="2" borderId="8" xfId="0" applyFont="1" applyFill="1" applyBorder="1" applyAlignment="1" applyProtection="1">
      <alignment horizontal="left"/>
    </xf>
    <xf numFmtId="0" fontId="4" fillId="0" borderId="8" xfId="0" applyFont="1" applyBorder="1" applyAlignment="1" applyProtection="1">
      <alignment horizontal="left"/>
    </xf>
    <xf numFmtId="0" fontId="4" fillId="2" borderId="8" xfId="0" applyFont="1" applyFill="1" applyBorder="1" applyAlignment="1">
      <alignment horizontal="left"/>
    </xf>
    <xf numFmtId="0" fontId="4" fillId="0" borderId="9" xfId="0" applyFont="1" applyFill="1" applyBorder="1"/>
    <xf numFmtId="0" fontId="53" fillId="0" borderId="0" xfId="0" applyFont="1" applyFill="1" applyAlignment="1">
      <alignment horizontal="center"/>
    </xf>
    <xf numFmtId="0" fontId="52" fillId="0" borderId="0" xfId="0" applyFont="1" applyFill="1" applyBorder="1" applyAlignment="1">
      <alignment horizontal="center"/>
    </xf>
    <xf numFmtId="0" fontId="61" fillId="0" borderId="0" xfId="0" applyFont="1" applyFill="1" applyBorder="1" applyAlignment="1">
      <alignment horizontal="center" vertical="center"/>
    </xf>
    <xf numFmtId="0" fontId="0" fillId="0" borderId="0" xfId="0" applyFill="1" applyBorder="1" applyAlignment="1"/>
    <xf numFmtId="0" fontId="62"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66" fillId="0" borderId="0" xfId="0" applyFont="1" applyFill="1" applyBorder="1" applyAlignment="1">
      <alignment horizontal="center"/>
    </xf>
    <xf numFmtId="0" fontId="66" fillId="0" borderId="0" xfId="0" applyFont="1" applyFill="1" applyAlignment="1">
      <alignment horizontal="center"/>
    </xf>
    <xf numFmtId="0" fontId="41" fillId="9" borderId="7" xfId="0" applyFont="1" applyFill="1" applyBorder="1" applyAlignment="1" applyProtection="1">
      <alignment horizontal="center" vertical="center"/>
    </xf>
    <xf numFmtId="0" fontId="41" fillId="9" borderId="5" xfId="0" applyFont="1" applyFill="1" applyBorder="1" applyAlignment="1" applyProtection="1">
      <alignment horizontal="center" vertical="center"/>
    </xf>
    <xf numFmtId="0" fontId="4" fillId="2" borderId="0" xfId="0" applyFont="1" applyFill="1" applyAlignment="1" applyProtection="1">
      <alignment horizontal="left" vertical="top" wrapText="1"/>
    </xf>
    <xf numFmtId="0" fontId="3" fillId="2" borderId="0" xfId="0" applyFont="1" applyFill="1" applyBorder="1" applyAlignment="1" applyProtection="1">
      <alignment horizontal="left" vertical="top" wrapText="1"/>
    </xf>
    <xf numFmtId="0" fontId="4" fillId="2" borderId="0" xfId="0" applyFont="1" applyFill="1" applyBorder="1" applyAlignment="1" applyProtection="1">
      <alignment horizontal="left" vertical="top" wrapText="1"/>
    </xf>
    <xf numFmtId="0" fontId="35" fillId="10" borderId="7" xfId="0" applyFont="1" applyFill="1" applyBorder="1" applyAlignment="1" applyProtection="1"/>
    <xf numFmtId="0" fontId="0" fillId="10" borderId="38" xfId="0" applyFill="1" applyBorder="1" applyAlignment="1"/>
    <xf numFmtId="0" fontId="0" fillId="10" borderId="5" xfId="0" applyFill="1" applyBorder="1" applyAlignment="1"/>
    <xf numFmtId="0" fontId="99" fillId="10" borderId="41" xfId="0" applyFont="1" applyFill="1" applyBorder="1" applyAlignment="1">
      <alignment horizontal="center"/>
    </xf>
    <xf numFmtId="0" fontId="99" fillId="10" borderId="39" xfId="0" applyFont="1" applyFill="1" applyBorder="1" applyAlignment="1">
      <alignment horizontal="center"/>
    </xf>
    <xf numFmtId="0" fontId="99" fillId="10" borderId="40" xfId="0" applyFont="1" applyFill="1" applyBorder="1" applyAlignment="1">
      <alignment horizontal="center"/>
    </xf>
    <xf numFmtId="0" fontId="1" fillId="2" borderId="0" xfId="0" applyFont="1" applyFill="1" applyAlignment="1" applyProtection="1">
      <alignment horizontal="justify" vertical="top" wrapText="1"/>
    </xf>
    <xf numFmtId="0" fontId="2" fillId="2" borderId="0" xfId="0" applyFont="1" applyFill="1" applyAlignment="1" applyProtection="1">
      <alignment horizontal="justify" vertical="top" wrapText="1"/>
    </xf>
    <xf numFmtId="0" fontId="1" fillId="2" borderId="0" xfId="0" applyFont="1" applyFill="1" applyBorder="1" applyAlignment="1" applyProtection="1">
      <alignment horizontal="justify" wrapText="1"/>
    </xf>
    <xf numFmtId="0" fontId="2" fillId="0" borderId="0" xfId="0" applyFont="1" applyBorder="1"/>
    <xf numFmtId="0" fontId="1" fillId="4" borderId="25" xfId="0" applyFont="1" applyFill="1" applyBorder="1" applyAlignment="1" applyProtection="1">
      <alignment horizontal="center" vertical="center" wrapText="1"/>
    </xf>
    <xf numFmtId="0" fontId="1" fillId="4" borderId="42" xfId="0" applyFont="1" applyFill="1" applyBorder="1" applyAlignment="1" applyProtection="1">
      <alignment horizontal="center" vertical="center" wrapText="1"/>
    </xf>
    <xf numFmtId="0" fontId="1" fillId="4" borderId="43" xfId="0" applyFont="1" applyFill="1" applyBorder="1" applyAlignment="1" applyProtection="1">
      <alignment horizontal="center" vertical="center" wrapText="1"/>
    </xf>
    <xf numFmtId="0" fontId="2" fillId="2" borderId="9" xfId="0" applyFont="1" applyFill="1" applyBorder="1" applyAlignment="1" applyProtection="1">
      <alignment horizontal="left" wrapText="1"/>
    </xf>
    <xf numFmtId="0" fontId="2" fillId="2" borderId="4" xfId="0" applyFont="1" applyFill="1" applyBorder="1" applyAlignment="1" applyProtection="1">
      <alignment horizontal="left" wrapText="1"/>
    </xf>
    <xf numFmtId="0" fontId="2" fillId="2" borderId="2" xfId="0" applyFont="1" applyFill="1" applyBorder="1" applyAlignment="1" applyProtection="1">
      <alignment horizontal="left" wrapText="1"/>
    </xf>
    <xf numFmtId="0" fontId="1" fillId="0" borderId="18" xfId="0" applyFont="1" applyBorder="1" applyAlignment="1">
      <alignment horizontal="center"/>
    </xf>
    <xf numFmtId="0" fontId="1" fillId="0" borderId="19" xfId="0" applyFont="1" applyBorder="1" applyAlignment="1">
      <alignment horizontal="center"/>
    </xf>
    <xf numFmtId="0" fontId="1" fillId="0" borderId="20" xfId="0" applyFont="1" applyBorder="1" applyAlignment="1">
      <alignment horizontal="center"/>
    </xf>
    <xf numFmtId="0" fontId="1" fillId="8" borderId="7" xfId="0" applyFont="1" applyFill="1" applyBorder="1" applyAlignment="1" applyProtection="1">
      <alignment horizontal="center"/>
    </xf>
    <xf numFmtId="0" fontId="1" fillId="8" borderId="38" xfId="0" applyFont="1" applyFill="1" applyBorder="1" applyAlignment="1" applyProtection="1">
      <alignment horizontal="center"/>
    </xf>
    <xf numFmtId="0" fontId="1" fillId="8" borderId="5" xfId="0" applyFont="1" applyFill="1" applyBorder="1" applyAlignment="1" applyProtection="1">
      <alignment horizontal="center"/>
    </xf>
    <xf numFmtId="0" fontId="33" fillId="2" borderId="0" xfId="0" applyFont="1" applyFill="1" applyBorder="1" applyAlignment="1" applyProtection="1">
      <alignment horizontal="left" wrapText="1" indent="1"/>
    </xf>
    <xf numFmtId="0" fontId="1" fillId="2" borderId="0" xfId="0" applyFont="1" applyFill="1" applyBorder="1" applyAlignment="1" applyProtection="1">
      <alignment horizontal="left" wrapText="1" indent="1"/>
    </xf>
    <xf numFmtId="0" fontId="1" fillId="2" borderId="0" xfId="0" applyFont="1" applyFill="1" applyAlignment="1" applyProtection="1">
      <alignment vertical="top" wrapText="1"/>
    </xf>
    <xf numFmtId="0" fontId="2" fillId="2" borderId="0" xfId="0" applyFont="1" applyFill="1" applyAlignment="1" applyProtection="1">
      <alignment horizontal="left" vertical="top" wrapText="1"/>
    </xf>
    <xf numFmtId="0" fontId="1" fillId="2" borderId="8" xfId="0" applyFont="1" applyFill="1" applyBorder="1" applyAlignment="1" applyProtection="1">
      <alignment horizontal="justify" vertical="justify" wrapText="1"/>
    </xf>
    <xf numFmtId="0" fontId="2" fillId="2" borderId="0" xfId="0" applyFont="1" applyFill="1" applyBorder="1" applyAlignment="1" applyProtection="1">
      <alignment horizontal="justify" vertical="justify" wrapText="1"/>
    </xf>
    <xf numFmtId="0" fontId="2" fillId="2" borderId="1" xfId="0" applyFont="1" applyFill="1" applyBorder="1" applyAlignment="1" applyProtection="1">
      <alignment horizontal="justify" vertical="justify" wrapText="1"/>
    </xf>
    <xf numFmtId="0" fontId="41" fillId="5" borderId="25" xfId="0" applyFont="1" applyFill="1" applyBorder="1" applyAlignment="1" applyProtection="1">
      <alignment horizontal="center" vertical="center" wrapText="1"/>
    </xf>
    <xf numFmtId="0" fontId="41" fillId="5" borderId="42" xfId="0" applyFont="1" applyFill="1" applyBorder="1" applyAlignment="1" applyProtection="1">
      <alignment horizontal="center" vertical="center" wrapText="1"/>
    </xf>
    <xf numFmtId="0" fontId="41" fillId="5" borderId="43" xfId="0" applyFont="1" applyFill="1" applyBorder="1" applyAlignment="1" applyProtection="1">
      <alignment horizontal="center" vertical="center" wrapText="1"/>
    </xf>
    <xf numFmtId="0" fontId="2" fillId="2" borderId="0" xfId="0" applyFont="1" applyFill="1" applyBorder="1" applyAlignment="1" applyProtection="1">
      <alignment horizontal="left" vertical="center" wrapText="1" indent="1"/>
    </xf>
    <xf numFmtId="0" fontId="1" fillId="2" borderId="9" xfId="0" applyFont="1" applyFill="1" applyBorder="1" applyAlignment="1" applyProtection="1">
      <alignment horizontal="left" wrapText="1"/>
    </xf>
    <xf numFmtId="0" fontId="1" fillId="2" borderId="0" xfId="0" applyFont="1" applyFill="1" applyAlignment="1" applyProtection="1">
      <alignment horizontal="justify" wrapText="1"/>
    </xf>
    <xf numFmtId="0" fontId="2" fillId="2" borderId="0" xfId="0" applyFont="1" applyFill="1" applyAlignment="1" applyProtection="1">
      <alignment horizontal="justify" wrapText="1"/>
    </xf>
    <xf numFmtId="0" fontId="2" fillId="2" borderId="0" xfId="0" applyFont="1" applyFill="1" applyAlignment="1" applyProtection="1">
      <alignment vertical="top" wrapText="1"/>
    </xf>
    <xf numFmtId="0" fontId="1" fillId="0" borderId="0" xfId="0" applyFont="1"/>
    <xf numFmtId="0" fontId="1" fillId="2" borderId="0" xfId="0" applyFont="1" applyFill="1" applyBorder="1" applyAlignment="1" applyProtection="1">
      <alignment horizontal="left" wrapText="1"/>
    </xf>
    <xf numFmtId="0" fontId="0" fillId="0" borderId="0" xfId="0"/>
    <xf numFmtId="0" fontId="55" fillId="5" borderId="41" xfId="0" applyFont="1" applyFill="1" applyBorder="1" applyAlignment="1" applyProtection="1">
      <alignment horizontal="center" vertical="top"/>
    </xf>
    <xf numFmtId="0" fontId="55" fillId="5" borderId="39" xfId="0" applyFont="1" applyFill="1" applyBorder="1" applyAlignment="1" applyProtection="1">
      <alignment horizontal="center" vertical="top"/>
    </xf>
    <xf numFmtId="0" fontId="55" fillId="5" borderId="40" xfId="0" applyFont="1" applyFill="1" applyBorder="1" applyAlignment="1" applyProtection="1">
      <alignment horizontal="center" vertical="top"/>
    </xf>
    <xf numFmtId="0" fontId="2" fillId="2" borderId="0" xfId="0" applyFont="1" applyFill="1" applyAlignment="1" applyProtection="1">
      <alignment horizontal="left" vertical="center" wrapText="1" indent="3"/>
    </xf>
    <xf numFmtId="0" fontId="2" fillId="2" borderId="0" xfId="0" applyFont="1" applyFill="1" applyAlignment="1" applyProtection="1">
      <alignment horizontal="left" vertical="top" wrapText="1" indent="2"/>
    </xf>
    <xf numFmtId="0" fontId="2" fillId="2" borderId="0" xfId="0" applyFont="1" applyFill="1" applyAlignment="1" applyProtection="1">
      <alignment horizontal="left" vertical="top" wrapText="1" indent="3"/>
    </xf>
    <xf numFmtId="0" fontId="2" fillId="2" borderId="0" xfId="0" applyFont="1" applyFill="1" applyBorder="1" applyAlignment="1" applyProtection="1">
      <alignment horizontal="left" wrapText="1" indent="1"/>
    </xf>
    <xf numFmtId="0" fontId="2" fillId="2" borderId="15" xfId="0" applyFont="1" applyFill="1" applyBorder="1" applyAlignment="1" applyProtection="1">
      <alignment horizontal="left" wrapText="1" indent="1"/>
    </xf>
    <xf numFmtId="0" fontId="41" fillId="9" borderId="38" xfId="0" applyFont="1" applyFill="1" applyBorder="1" applyAlignment="1" applyProtection="1">
      <alignment horizontal="center" vertical="center"/>
    </xf>
    <xf numFmtId="0" fontId="1" fillId="2" borderId="0" xfId="0" applyFont="1" applyFill="1" applyAlignment="1" applyProtection="1">
      <alignment horizontal="left" vertical="top" wrapText="1"/>
    </xf>
    <xf numFmtId="0" fontId="38" fillId="0" borderId="0" xfId="2" applyAlignment="1" applyProtection="1">
      <alignment horizontal="left"/>
      <protection locked="0"/>
    </xf>
    <xf numFmtId="0" fontId="2" fillId="0" borderId="0" xfId="0" applyFont="1" applyAlignment="1" applyProtection="1">
      <protection locked="0"/>
    </xf>
    <xf numFmtId="0" fontId="41" fillId="5" borderId="14" xfId="0" applyFont="1" applyFill="1" applyBorder="1" applyAlignment="1" applyProtection="1">
      <alignment horizontal="left" vertical="top"/>
    </xf>
    <xf numFmtId="0" fontId="41" fillId="5" borderId="0" xfId="0" applyFont="1" applyFill="1" applyBorder="1" applyAlignment="1" applyProtection="1">
      <alignment horizontal="left" vertical="top"/>
    </xf>
    <xf numFmtId="0" fontId="41" fillId="5" borderId="15" xfId="0" applyFont="1" applyFill="1" applyBorder="1" applyAlignment="1" applyProtection="1">
      <alignment horizontal="left" vertical="top"/>
    </xf>
    <xf numFmtId="0" fontId="41" fillId="5" borderId="12" xfId="0" applyFont="1" applyFill="1" applyBorder="1" applyAlignment="1" applyProtection="1">
      <alignment horizontal="left" vertical="top"/>
    </xf>
    <xf numFmtId="0" fontId="41" fillId="5" borderId="21" xfId="0" applyFont="1" applyFill="1" applyBorder="1" applyAlignment="1" applyProtection="1">
      <alignment horizontal="left" vertical="top"/>
    </xf>
    <xf numFmtId="0" fontId="41" fillId="5" borderId="11" xfId="0" applyFont="1" applyFill="1" applyBorder="1" applyAlignment="1" applyProtection="1">
      <alignment horizontal="left" vertical="top"/>
    </xf>
    <xf numFmtId="0" fontId="1" fillId="0" borderId="18" xfId="0" applyFont="1" applyBorder="1" applyAlignment="1" applyProtection="1">
      <alignment horizontal="center" vertical="center"/>
    </xf>
    <xf numFmtId="0" fontId="2" fillId="0" borderId="19" xfId="0" applyFont="1" applyBorder="1" applyAlignment="1">
      <alignment horizontal="center" vertical="center"/>
    </xf>
    <xf numFmtId="0" fontId="2" fillId="0" borderId="20" xfId="0" applyFont="1" applyBorder="1" applyAlignment="1">
      <alignment horizontal="center" vertical="center"/>
    </xf>
    <xf numFmtId="0" fontId="1" fillId="10" borderId="7" xfId="0" applyFont="1" applyFill="1" applyBorder="1" applyAlignment="1">
      <alignment horizontal="center" vertical="center"/>
    </xf>
    <xf numFmtId="0" fontId="0" fillId="10" borderId="38" xfId="0" applyFill="1" applyBorder="1" applyAlignment="1">
      <alignment horizontal="center" vertical="center"/>
    </xf>
    <xf numFmtId="0" fontId="0" fillId="10" borderId="5" xfId="0" applyFill="1" applyBorder="1" applyAlignment="1">
      <alignment horizontal="center" vertical="center"/>
    </xf>
    <xf numFmtId="0" fontId="6" fillId="2" borderId="0" xfId="0" applyFont="1" applyFill="1" applyBorder="1" applyAlignment="1" applyProtection="1">
      <alignment horizontal="left" wrapText="1" indent="2"/>
    </xf>
    <xf numFmtId="0" fontId="6" fillId="2" borderId="7" xfId="0" applyFont="1" applyFill="1" applyBorder="1" applyAlignment="1">
      <alignment horizontal="left"/>
    </xf>
    <xf numFmtId="0" fontId="6" fillId="2" borderId="38" xfId="0" applyFont="1" applyFill="1" applyBorder="1" applyAlignment="1">
      <alignment horizontal="left"/>
    </xf>
    <xf numFmtId="0" fontId="6" fillId="2" borderId="5" xfId="0" applyFont="1" applyFill="1" applyBorder="1" applyAlignment="1">
      <alignment horizontal="left"/>
    </xf>
    <xf numFmtId="0" fontId="41" fillId="5" borderId="41" xfId="0" applyFont="1" applyFill="1" applyBorder="1" applyAlignment="1" applyProtection="1">
      <alignment horizontal="center" vertical="center"/>
    </xf>
    <xf numFmtId="0" fontId="41" fillId="5" borderId="39" xfId="0" applyFont="1" applyFill="1" applyBorder="1" applyAlignment="1" applyProtection="1">
      <alignment horizontal="center" vertical="center"/>
    </xf>
    <xf numFmtId="0" fontId="41" fillId="5" borderId="40" xfId="0" applyFont="1" applyFill="1" applyBorder="1" applyAlignment="1" applyProtection="1">
      <alignment horizontal="center" vertical="center"/>
    </xf>
    <xf numFmtId="0" fontId="41" fillId="5" borderId="14" xfId="0" applyFont="1" applyFill="1" applyBorder="1" applyAlignment="1" applyProtection="1">
      <alignment horizontal="center" vertical="center"/>
    </xf>
    <xf numFmtId="0" fontId="41" fillId="5" borderId="0" xfId="0" applyFont="1" applyFill="1" applyBorder="1" applyAlignment="1" applyProtection="1">
      <alignment horizontal="center" vertical="center"/>
    </xf>
    <xf numFmtId="0" fontId="41" fillId="5" borderId="15" xfId="0" applyFont="1" applyFill="1" applyBorder="1" applyAlignment="1" applyProtection="1">
      <alignment horizontal="center" vertical="center"/>
    </xf>
    <xf numFmtId="0" fontId="41" fillId="5" borderId="12" xfId="0" applyFont="1" applyFill="1" applyBorder="1" applyAlignment="1" applyProtection="1">
      <alignment horizontal="center" vertical="center"/>
    </xf>
    <xf numFmtId="0" fontId="41" fillId="5" borderId="21" xfId="0" applyFont="1" applyFill="1" applyBorder="1" applyAlignment="1" applyProtection="1">
      <alignment horizontal="center" vertical="center"/>
    </xf>
    <xf numFmtId="0" fontId="41" fillId="5" borderId="11" xfId="0" applyFont="1" applyFill="1" applyBorder="1" applyAlignment="1" applyProtection="1">
      <alignment horizontal="center" vertical="center"/>
    </xf>
    <xf numFmtId="0" fontId="55" fillId="5" borderId="25" xfId="0" applyFont="1" applyFill="1" applyBorder="1" applyAlignment="1" applyProtection="1">
      <alignment horizontal="center" vertical="center" wrapText="1"/>
    </xf>
    <xf numFmtId="0" fontId="55" fillId="5" borderId="42" xfId="0" applyFont="1" applyFill="1" applyBorder="1" applyAlignment="1" applyProtection="1">
      <alignment horizontal="center" vertical="center" wrapText="1"/>
    </xf>
    <xf numFmtId="0" fontId="55" fillId="5" borderId="43" xfId="0" applyFont="1" applyFill="1" applyBorder="1" applyAlignment="1" applyProtection="1">
      <alignment horizontal="center" vertical="center" wrapText="1"/>
    </xf>
    <xf numFmtId="0" fontId="6" fillId="2" borderId="7" xfId="0" applyFont="1" applyFill="1" applyBorder="1" applyAlignment="1"/>
    <xf numFmtId="0" fontId="6" fillId="2" borderId="38" xfId="0" applyFont="1" applyFill="1" applyBorder="1" applyAlignment="1"/>
    <xf numFmtId="0" fontId="6" fillId="2" borderId="5" xfId="0" applyFont="1" applyFill="1" applyBorder="1" applyAlignment="1"/>
    <xf numFmtId="0" fontId="4" fillId="2" borderId="19" xfId="0" applyFont="1" applyFill="1" applyBorder="1" applyAlignment="1">
      <alignment horizontal="left"/>
    </xf>
    <xf numFmtId="0" fontId="1" fillId="10" borderId="41" xfId="0" applyFont="1" applyFill="1" applyBorder="1" applyAlignment="1">
      <alignment horizontal="center"/>
    </xf>
    <xf numFmtId="0" fontId="1" fillId="10" borderId="39" xfId="0" applyFont="1" applyFill="1" applyBorder="1" applyAlignment="1">
      <alignment horizontal="center"/>
    </xf>
    <xf numFmtId="0" fontId="1" fillId="10" borderId="40" xfId="0" applyFont="1" applyFill="1" applyBorder="1" applyAlignment="1">
      <alignment horizontal="center"/>
    </xf>
    <xf numFmtId="0" fontId="6" fillId="2" borderId="0" xfId="0" applyFont="1" applyFill="1" applyBorder="1" applyAlignment="1" applyProtection="1">
      <alignment horizontal="left" indent="4"/>
    </xf>
    <xf numFmtId="0" fontId="5" fillId="2" borderId="0" xfId="0" applyFont="1" applyFill="1" applyBorder="1" applyAlignment="1" applyProtection="1">
      <alignment horizontal="left" wrapText="1" indent="4"/>
    </xf>
    <xf numFmtId="0" fontId="6" fillId="2" borderId="0" xfId="0" applyFont="1" applyFill="1" applyBorder="1" applyAlignment="1" applyProtection="1">
      <alignment horizontal="left" wrapText="1" indent="4"/>
    </xf>
    <xf numFmtId="0" fontId="6" fillId="2" borderId="0" xfId="0" applyFont="1" applyFill="1" applyBorder="1" applyAlignment="1" applyProtection="1">
      <alignment horizontal="left" vertical="center" wrapText="1" indent="2"/>
    </xf>
    <xf numFmtId="0" fontId="6" fillId="2" borderId="0" xfId="0" applyFont="1" applyFill="1" applyBorder="1" applyAlignment="1" applyProtection="1">
      <alignment horizontal="left" vertical="center" wrapText="1" indent="3"/>
    </xf>
    <xf numFmtId="0" fontId="41" fillId="5" borderId="12" xfId="0" applyFont="1" applyFill="1" applyBorder="1" applyAlignment="1" applyProtection="1">
      <alignment horizontal="left" vertical="center" wrapText="1"/>
    </xf>
    <xf numFmtId="0" fontId="41" fillId="5" borderId="21" xfId="0" applyFont="1" applyFill="1" applyBorder="1" applyAlignment="1" applyProtection="1">
      <alignment horizontal="left" vertical="center" wrapText="1"/>
    </xf>
    <xf numFmtId="0" fontId="41" fillId="5" borderId="11" xfId="0" applyFont="1" applyFill="1" applyBorder="1" applyAlignment="1" applyProtection="1">
      <alignment horizontal="left" vertical="center" wrapText="1"/>
    </xf>
    <xf numFmtId="0" fontId="41" fillId="5" borderId="44" xfId="0" applyFont="1" applyFill="1" applyBorder="1" applyAlignment="1" applyProtection="1">
      <alignment horizontal="center" vertical="center" wrapText="1"/>
    </xf>
    <xf numFmtId="0" fontId="41" fillId="5" borderId="45" xfId="0" applyFont="1" applyFill="1" applyBorder="1" applyAlignment="1" applyProtection="1">
      <alignment horizontal="center" vertical="center" wrapText="1"/>
    </xf>
    <xf numFmtId="0" fontId="41" fillId="5" borderId="46" xfId="0" applyFont="1" applyFill="1" applyBorder="1" applyAlignment="1" applyProtection="1">
      <alignment horizontal="center" vertical="center" wrapText="1"/>
    </xf>
    <xf numFmtId="0" fontId="41" fillId="5" borderId="12" xfId="0" applyFont="1" applyFill="1" applyBorder="1" applyAlignment="1" applyProtection="1">
      <alignment horizontal="center" vertical="center" wrapText="1"/>
    </xf>
    <xf numFmtId="0" fontId="41" fillId="5" borderId="21" xfId="0" applyFont="1" applyFill="1" applyBorder="1" applyAlignment="1" applyProtection="1">
      <alignment horizontal="center" vertical="center" wrapText="1"/>
    </xf>
    <xf numFmtId="0" fontId="41" fillId="5" borderId="11" xfId="0" applyFont="1" applyFill="1" applyBorder="1" applyAlignment="1" applyProtection="1">
      <alignment horizontal="center" vertical="center" wrapText="1"/>
    </xf>
    <xf numFmtId="0" fontId="5" fillId="2" borderId="0" xfId="0" applyFont="1" applyFill="1" applyBorder="1" applyAlignment="1">
      <alignment vertical="center"/>
    </xf>
    <xf numFmtId="0" fontId="6" fillId="2" borderId="0" xfId="0" applyFont="1" applyFill="1" applyAlignment="1">
      <alignment vertical="center"/>
    </xf>
    <xf numFmtId="0" fontId="41" fillId="5" borderId="14" xfId="0" applyFont="1" applyFill="1" applyBorder="1" applyAlignment="1" applyProtection="1">
      <alignment horizontal="left" wrapText="1"/>
    </xf>
    <xf numFmtId="0" fontId="41" fillId="5" borderId="0" xfId="0" applyFont="1" applyFill="1" applyBorder="1" applyAlignment="1" applyProtection="1">
      <alignment horizontal="left" wrapText="1"/>
    </xf>
    <xf numFmtId="0" fontId="41" fillId="5" borderId="15" xfId="0" applyFont="1" applyFill="1" applyBorder="1" applyAlignment="1" applyProtection="1">
      <alignment horizontal="left" wrapText="1"/>
    </xf>
    <xf numFmtId="0" fontId="41" fillId="5" borderId="14" xfId="0" applyFont="1" applyFill="1" applyBorder="1" applyAlignment="1" applyProtection="1">
      <alignment horizontal="left" vertical="center" wrapText="1"/>
    </xf>
    <xf numFmtId="0" fontId="41" fillId="5" borderId="0" xfId="0" applyFont="1" applyFill="1" applyBorder="1" applyAlignment="1" applyProtection="1">
      <alignment horizontal="left" vertical="center" wrapText="1"/>
    </xf>
    <xf numFmtId="0" fontId="41" fillId="5" borderId="15" xfId="0" applyFont="1" applyFill="1" applyBorder="1" applyAlignment="1" applyProtection="1">
      <alignment horizontal="left" vertical="center" wrapText="1"/>
    </xf>
    <xf numFmtId="0" fontId="5" fillId="2" borderId="3" xfId="0" applyFont="1" applyFill="1" applyBorder="1" applyAlignment="1">
      <alignment horizontal="center"/>
    </xf>
    <xf numFmtId="0" fontId="5" fillId="2" borderId="33" xfId="0" applyFont="1" applyFill="1" applyBorder="1" applyAlignment="1">
      <alignment horizontal="center"/>
    </xf>
    <xf numFmtId="0" fontId="1" fillId="4" borderId="25" xfId="0" applyFont="1" applyFill="1" applyBorder="1" applyAlignment="1" applyProtection="1">
      <alignment horizontal="center" wrapText="1"/>
    </xf>
    <xf numFmtId="0" fontId="1" fillId="4" borderId="42" xfId="0" applyFont="1" applyFill="1" applyBorder="1" applyAlignment="1" applyProtection="1">
      <alignment horizontal="center" wrapText="1"/>
    </xf>
    <xf numFmtId="0" fontId="1" fillId="4" borderId="43" xfId="0" applyFont="1" applyFill="1" applyBorder="1" applyAlignment="1" applyProtection="1">
      <alignment horizontal="center" wrapText="1"/>
    </xf>
    <xf numFmtId="0" fontId="5" fillId="2" borderId="0" xfId="0" applyFont="1" applyFill="1" applyBorder="1" applyAlignment="1" applyProtection="1">
      <alignment horizontal="left" vertical="center" wrapText="1" indent="3"/>
    </xf>
    <xf numFmtId="0" fontId="41" fillId="5" borderId="41" xfId="0" applyFont="1" applyFill="1" applyBorder="1" applyAlignment="1" applyProtection="1">
      <alignment horizontal="center" wrapText="1"/>
    </xf>
    <xf numFmtId="0" fontId="41" fillId="5" borderId="39" xfId="0" applyFont="1" applyFill="1" applyBorder="1" applyAlignment="1" applyProtection="1">
      <alignment horizontal="center" wrapText="1"/>
    </xf>
    <xf numFmtId="0" fontId="41" fillId="5" borderId="40" xfId="0" applyFont="1" applyFill="1" applyBorder="1" applyAlignment="1" applyProtection="1">
      <alignment horizontal="center" wrapText="1"/>
    </xf>
    <xf numFmtId="0" fontId="58" fillId="2" borderId="0" xfId="0" applyFont="1" applyFill="1" applyBorder="1" applyAlignment="1" applyProtection="1">
      <alignment horizontal="left" wrapText="1" indent="3"/>
    </xf>
    <xf numFmtId="0" fontId="41" fillId="11" borderId="7" xfId="0" applyFont="1" applyFill="1" applyBorder="1" applyAlignment="1">
      <alignment horizontal="center"/>
    </xf>
    <xf numFmtId="0" fontId="41" fillId="11" borderId="38" xfId="0" applyFont="1" applyFill="1" applyBorder="1" applyAlignment="1">
      <alignment horizontal="center"/>
    </xf>
    <xf numFmtId="0" fontId="41" fillId="11" borderId="5" xfId="0" applyFont="1" applyFill="1" applyBorder="1" applyAlignment="1">
      <alignment horizontal="center"/>
    </xf>
    <xf numFmtId="0" fontId="6" fillId="2" borderId="0" xfId="0" applyFont="1" applyFill="1" applyBorder="1" applyAlignment="1" applyProtection="1">
      <alignment horizontal="left" vertical="center" wrapText="1" indent="5"/>
    </xf>
    <xf numFmtId="0" fontId="5" fillId="2" borderId="54" xfId="0" applyFont="1" applyFill="1" applyBorder="1" applyAlignment="1" applyProtection="1">
      <alignment horizontal="left"/>
      <protection locked="0"/>
    </xf>
    <xf numFmtId="0" fontId="5" fillId="2" borderId="47" xfId="0" applyFont="1" applyFill="1" applyBorder="1" applyAlignment="1" applyProtection="1">
      <alignment horizontal="left"/>
      <protection locked="0"/>
    </xf>
    <xf numFmtId="0" fontId="5" fillId="2" borderId="55" xfId="0" applyFont="1" applyFill="1" applyBorder="1" applyAlignment="1" applyProtection="1">
      <alignment horizontal="left"/>
      <protection locked="0"/>
    </xf>
    <xf numFmtId="0" fontId="5" fillId="4" borderId="13" xfId="0" applyFont="1" applyFill="1" applyBorder="1" applyAlignment="1" applyProtection="1">
      <alignment horizontal="center"/>
    </xf>
    <xf numFmtId="0" fontId="5" fillId="4" borderId="5" xfId="0" applyFont="1" applyFill="1" applyBorder="1" applyAlignment="1">
      <alignment horizontal="center"/>
    </xf>
    <xf numFmtId="0" fontId="5" fillId="4" borderId="25" xfId="0" applyFont="1" applyFill="1" applyBorder="1" applyAlignment="1" applyProtection="1">
      <alignment horizontal="center" vertical="center"/>
    </xf>
    <xf numFmtId="0" fontId="0" fillId="4" borderId="43" xfId="0" applyFill="1" applyBorder="1" applyAlignment="1"/>
    <xf numFmtId="0" fontId="8" fillId="2" borderId="0" xfId="0" applyFont="1" applyFill="1" applyBorder="1" applyAlignment="1" applyProtection="1">
      <alignment horizontal="center"/>
    </xf>
    <xf numFmtId="0" fontId="0" fillId="0" borderId="0" xfId="0" applyBorder="1" applyAlignment="1"/>
    <xf numFmtId="0" fontId="5" fillId="2" borderId="54" xfId="0" applyFont="1" applyFill="1" applyBorder="1" applyAlignment="1" applyProtection="1">
      <alignment horizontal="center"/>
      <protection locked="0"/>
    </xf>
    <xf numFmtId="0" fontId="5" fillId="2" borderId="48" xfId="0" applyFont="1" applyFill="1" applyBorder="1" applyAlignment="1" applyProtection="1">
      <alignment horizontal="center"/>
      <protection locked="0"/>
    </xf>
    <xf numFmtId="0" fontId="49" fillId="12" borderId="52" xfId="0" applyFont="1" applyFill="1" applyBorder="1" applyAlignment="1" applyProtection="1">
      <alignment vertical="center" textRotation="180"/>
    </xf>
    <xf numFmtId="0" fontId="49" fillId="12" borderId="53" xfId="0" applyFont="1" applyFill="1" applyBorder="1" applyAlignment="1">
      <alignment vertical="center" textRotation="180"/>
    </xf>
    <xf numFmtId="0" fontId="49" fillId="12" borderId="6" xfId="0" applyFont="1" applyFill="1" applyBorder="1" applyAlignment="1">
      <alignment vertical="center" textRotation="180"/>
    </xf>
    <xf numFmtId="0" fontId="4" fillId="4" borderId="38" xfId="0" applyFont="1" applyFill="1" applyBorder="1" applyAlignment="1" applyProtection="1">
      <alignment horizontal="center"/>
    </xf>
    <xf numFmtId="0" fontId="4" fillId="4" borderId="50" xfId="0" applyFont="1" applyFill="1" applyBorder="1" applyAlignment="1" applyProtection="1">
      <alignment horizontal="center"/>
    </xf>
    <xf numFmtId="0" fontId="5" fillId="4" borderId="38" xfId="0" applyFont="1" applyFill="1" applyBorder="1" applyAlignment="1" applyProtection="1">
      <alignment horizontal="center"/>
    </xf>
    <xf numFmtId="0" fontId="5" fillId="4" borderId="50" xfId="0" applyFont="1" applyFill="1" applyBorder="1" applyAlignment="1" applyProtection="1">
      <alignment horizontal="center"/>
    </xf>
    <xf numFmtId="0" fontId="41" fillId="12" borderId="44" xfId="0" applyFont="1" applyFill="1" applyBorder="1" applyAlignment="1" applyProtection="1">
      <alignment horizontal="center"/>
    </xf>
    <xf numFmtId="0" fontId="41" fillId="12" borderId="45" xfId="0" applyFont="1" applyFill="1" applyBorder="1" applyAlignment="1" applyProtection="1">
      <alignment horizontal="center"/>
    </xf>
    <xf numFmtId="0" fontId="41" fillId="12" borderId="46" xfId="0" applyFont="1" applyFill="1" applyBorder="1" applyAlignment="1" applyProtection="1">
      <alignment horizontal="center"/>
    </xf>
    <xf numFmtId="0" fontId="5" fillId="4" borderId="25" xfId="0" applyFont="1" applyFill="1" applyBorder="1" applyAlignment="1" applyProtection="1">
      <alignment horizontal="left" vertical="center"/>
    </xf>
    <xf numFmtId="0" fontId="0" fillId="4" borderId="43" xfId="0" applyFill="1" applyBorder="1" applyAlignment="1">
      <alignment horizontal="left"/>
    </xf>
    <xf numFmtId="0" fontId="5" fillId="2" borderId="25" xfId="0" applyFont="1" applyFill="1" applyBorder="1" applyAlignment="1" applyProtection="1">
      <alignment horizontal="center"/>
      <protection locked="0"/>
    </xf>
    <xf numFmtId="0" fontId="5" fillId="0" borderId="43" xfId="0" applyFont="1" applyBorder="1" applyProtection="1">
      <protection locked="0"/>
    </xf>
    <xf numFmtId="49" fontId="5" fillId="0" borderId="0" xfId="0" applyNumberFormat="1" applyFont="1" applyFill="1" applyBorder="1" applyAlignment="1" applyProtection="1">
      <alignment horizontal="center" vertical="center"/>
    </xf>
    <xf numFmtId="0" fontId="0" fillId="0" borderId="0" xfId="0" applyFill="1" applyBorder="1" applyAlignment="1" applyProtection="1">
      <alignment horizontal="center" vertical="center"/>
    </xf>
    <xf numFmtId="49" fontId="5" fillId="0" borderId="0" xfId="0" applyNumberFormat="1" applyFont="1" applyFill="1" applyBorder="1" applyAlignment="1" applyProtection="1">
      <alignment horizontal="center"/>
    </xf>
    <xf numFmtId="49" fontId="5" fillId="4" borderId="25" xfId="0" applyNumberFormat="1" applyFont="1" applyFill="1" applyBorder="1" applyAlignment="1" applyProtection="1">
      <alignment horizontal="left" vertical="center"/>
    </xf>
    <xf numFmtId="49" fontId="5" fillId="4" borderId="43" xfId="0" applyNumberFormat="1" applyFont="1" applyFill="1" applyBorder="1" applyAlignment="1" applyProtection="1">
      <alignment horizontal="left" vertical="center"/>
    </xf>
    <xf numFmtId="49" fontId="5" fillId="2" borderId="25" xfId="0" applyNumberFormat="1" applyFont="1" applyFill="1" applyBorder="1" applyAlignment="1" applyProtection="1">
      <alignment horizontal="center"/>
      <protection locked="0"/>
    </xf>
    <xf numFmtId="49" fontId="5" fillId="2" borderId="43" xfId="0" applyNumberFormat="1" applyFont="1" applyFill="1" applyBorder="1" applyAlignment="1" applyProtection="1">
      <alignment horizontal="center"/>
      <protection locked="0"/>
    </xf>
    <xf numFmtId="0" fontId="6" fillId="4" borderId="43" xfId="0" applyFont="1" applyFill="1" applyBorder="1" applyAlignment="1">
      <alignment horizontal="left" vertical="center"/>
    </xf>
    <xf numFmtId="0" fontId="0" fillId="7" borderId="39" xfId="0" applyFill="1" applyBorder="1" applyAlignment="1" applyProtection="1">
      <alignment horizontal="center"/>
    </xf>
    <xf numFmtId="0" fontId="0" fillId="7" borderId="40" xfId="0" applyFill="1" applyBorder="1" applyAlignment="1" applyProtection="1">
      <alignment horizontal="center"/>
    </xf>
    <xf numFmtId="0" fontId="5" fillId="2" borderId="38" xfId="0" applyFont="1" applyFill="1" applyBorder="1" applyAlignment="1" applyProtection="1">
      <alignment horizontal="center"/>
    </xf>
    <xf numFmtId="0" fontId="5" fillId="2" borderId="19" xfId="0" applyFont="1" applyFill="1" applyBorder="1" applyAlignment="1" applyProtection="1">
      <alignment horizontal="center"/>
    </xf>
    <xf numFmtId="0" fontId="5" fillId="2" borderId="51" xfId="0" applyFont="1" applyFill="1" applyBorder="1" applyAlignment="1" applyProtection="1">
      <alignment horizontal="center"/>
    </xf>
    <xf numFmtId="0" fontId="4" fillId="0" borderId="25" xfId="0" applyFont="1" applyFill="1" applyBorder="1" applyAlignment="1" applyProtection="1">
      <alignment horizontal="center"/>
    </xf>
    <xf numFmtId="0" fontId="4" fillId="0" borderId="43" xfId="0" applyFont="1" applyFill="1" applyBorder="1" applyAlignment="1" applyProtection="1">
      <alignment horizontal="center"/>
    </xf>
    <xf numFmtId="0" fontId="0" fillId="4" borderId="19" xfId="0" applyFill="1" applyBorder="1" applyAlignment="1" applyProtection="1">
      <alignment horizontal="center"/>
    </xf>
    <xf numFmtId="0" fontId="0" fillId="4" borderId="51" xfId="0" applyFill="1" applyBorder="1" applyAlignment="1" applyProtection="1">
      <alignment horizontal="center"/>
    </xf>
    <xf numFmtId="0" fontId="0" fillId="4" borderId="0" xfId="0" applyFill="1" applyBorder="1" applyAlignment="1">
      <alignment horizontal="center"/>
    </xf>
    <xf numFmtId="0" fontId="0" fillId="4" borderId="15" xfId="0" applyFill="1" applyBorder="1" applyAlignment="1">
      <alignment horizontal="center"/>
    </xf>
    <xf numFmtId="0" fontId="0" fillId="7" borderId="0" xfId="0" applyFill="1" applyBorder="1" applyAlignment="1" applyProtection="1">
      <alignment horizontal="center"/>
    </xf>
    <xf numFmtId="0" fontId="0" fillId="7" borderId="15" xfId="0" applyFill="1" applyBorder="1" applyAlignment="1" applyProtection="1">
      <alignment horizontal="center"/>
    </xf>
    <xf numFmtId="0" fontId="12" fillId="4" borderId="0" xfId="0" applyFont="1" applyFill="1" applyBorder="1" applyAlignment="1" applyProtection="1">
      <alignment horizontal="center"/>
    </xf>
    <xf numFmtId="0" fontId="12" fillId="4" borderId="15" xfId="0" applyFont="1" applyFill="1" applyBorder="1" applyAlignment="1" applyProtection="1">
      <alignment horizontal="center"/>
    </xf>
    <xf numFmtId="0" fontId="0" fillId="4" borderId="0" xfId="0" applyFill="1" applyBorder="1" applyAlignment="1" applyProtection="1">
      <alignment horizontal="center"/>
    </xf>
    <xf numFmtId="0" fontId="0" fillId="4" borderId="15" xfId="0" applyFill="1" applyBorder="1" applyAlignment="1" applyProtection="1">
      <alignment horizontal="center"/>
    </xf>
    <xf numFmtId="0" fontId="5" fillId="2" borderId="0" xfId="0" applyFont="1" applyFill="1" applyBorder="1" applyAlignment="1" applyProtection="1">
      <alignment horizontal="center" vertical="center"/>
      <protection locked="0"/>
    </xf>
    <xf numFmtId="0" fontId="5" fillId="2" borderId="15" xfId="0" applyFont="1" applyFill="1" applyBorder="1" applyAlignment="1" applyProtection="1">
      <alignment horizontal="center" vertical="center"/>
      <protection locked="0"/>
    </xf>
    <xf numFmtId="0" fontId="0" fillId="4" borderId="21" xfId="0" applyFill="1" applyBorder="1" applyAlignment="1" applyProtection="1">
      <alignment horizontal="center"/>
    </xf>
    <xf numFmtId="0" fontId="0" fillId="4" borderId="11" xfId="0" applyFill="1" applyBorder="1" applyAlignment="1" applyProtection="1">
      <alignment horizontal="center"/>
    </xf>
    <xf numFmtId="0" fontId="5" fillId="4" borderId="7" xfId="0" applyFont="1" applyFill="1" applyBorder="1" applyAlignment="1">
      <alignment horizontal="center"/>
    </xf>
    <xf numFmtId="0" fontId="5" fillId="4" borderId="38" xfId="0" applyFont="1" applyFill="1" applyBorder="1" applyAlignment="1">
      <alignment horizontal="center"/>
    </xf>
    <xf numFmtId="0" fontId="5" fillId="2" borderId="30" xfId="0" applyFont="1" applyFill="1" applyBorder="1" applyAlignment="1" applyProtection="1">
      <alignment horizontal="left"/>
      <protection locked="0"/>
    </xf>
    <xf numFmtId="0" fontId="5" fillId="2" borderId="48" xfId="0" applyFont="1" applyFill="1" applyBorder="1" applyAlignment="1" applyProtection="1">
      <alignment horizontal="left"/>
      <protection locked="0"/>
    </xf>
    <xf numFmtId="0" fontId="41" fillId="12" borderId="41" xfId="0" applyFont="1" applyFill="1" applyBorder="1" applyAlignment="1" applyProtection="1">
      <alignment horizontal="center"/>
    </xf>
    <xf numFmtId="0" fontId="41" fillId="12" borderId="39" xfId="0" applyFont="1" applyFill="1" applyBorder="1" applyAlignment="1" applyProtection="1">
      <alignment horizontal="center"/>
    </xf>
    <xf numFmtId="0" fontId="41" fillId="12" borderId="40" xfId="0" applyFont="1" applyFill="1" applyBorder="1" applyAlignment="1" applyProtection="1">
      <alignment horizontal="center"/>
    </xf>
    <xf numFmtId="0" fontId="5" fillId="4" borderId="9" xfId="0" applyFont="1" applyFill="1" applyBorder="1" applyAlignment="1" applyProtection="1">
      <alignment horizontal="center"/>
    </xf>
    <xf numFmtId="0" fontId="5" fillId="4" borderId="4" xfId="0" applyFont="1" applyFill="1" applyBorder="1" applyAlignment="1" applyProtection="1">
      <alignment horizontal="center"/>
    </xf>
    <xf numFmtId="0" fontId="5" fillId="4" borderId="49" xfId="0" applyFont="1" applyFill="1" applyBorder="1" applyAlignment="1" applyProtection="1">
      <alignment horizontal="center"/>
    </xf>
    <xf numFmtId="49" fontId="5" fillId="2" borderId="22" xfId="0" applyNumberFormat="1" applyFont="1" applyFill="1" applyBorder="1" applyAlignment="1" applyProtection="1">
      <alignment horizontal="center"/>
      <protection locked="0"/>
    </xf>
    <xf numFmtId="49" fontId="5" fillId="2" borderId="21" xfId="0" applyNumberFormat="1" applyFont="1" applyFill="1" applyBorder="1" applyAlignment="1" applyProtection="1">
      <alignment horizontal="center"/>
      <protection locked="0"/>
    </xf>
    <xf numFmtId="49" fontId="5" fillId="2" borderId="11" xfId="0" applyNumberFormat="1" applyFont="1" applyFill="1" applyBorder="1" applyAlignment="1" applyProtection="1">
      <alignment horizontal="center"/>
      <protection locked="0"/>
    </xf>
    <xf numFmtId="0" fontId="5" fillId="4" borderId="44" xfId="0" applyFont="1" applyFill="1" applyBorder="1" applyAlignment="1" applyProtection="1">
      <alignment horizontal="center"/>
    </xf>
    <xf numFmtId="0" fontId="5" fillId="4" borderId="46" xfId="0" applyFont="1" applyFill="1" applyBorder="1" applyAlignment="1" applyProtection="1">
      <alignment horizontal="center"/>
    </xf>
    <xf numFmtId="0" fontId="5" fillId="2" borderId="12" xfId="0" applyFont="1" applyFill="1" applyBorder="1" applyAlignment="1" applyProtection="1">
      <alignment horizontal="center"/>
      <protection locked="0"/>
    </xf>
    <xf numFmtId="0" fontId="5" fillId="2" borderId="11" xfId="0" applyFont="1" applyFill="1" applyBorder="1" applyAlignment="1" applyProtection="1">
      <alignment horizontal="center"/>
      <protection locked="0"/>
    </xf>
    <xf numFmtId="0" fontId="11" fillId="0" borderId="9"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2" xfId="0" applyFont="1" applyFill="1" applyBorder="1" applyAlignment="1" applyProtection="1">
      <alignment horizontal="center"/>
    </xf>
    <xf numFmtId="0" fontId="11" fillId="0" borderId="18" xfId="0" applyFont="1" applyFill="1" applyBorder="1" applyAlignment="1" applyProtection="1">
      <alignment horizontal="center"/>
    </xf>
    <xf numFmtId="0" fontId="11" fillId="0" borderId="19" xfId="0" applyFont="1" applyFill="1" applyBorder="1" applyAlignment="1" applyProtection="1">
      <alignment horizontal="center"/>
    </xf>
    <xf numFmtId="0" fontId="11" fillId="0" borderId="20" xfId="0" applyFont="1" applyFill="1" applyBorder="1" applyAlignment="1" applyProtection="1">
      <alignment horizontal="center"/>
    </xf>
    <xf numFmtId="0" fontId="11" fillId="0" borderId="8" xfId="0" applyFont="1" applyFill="1" applyBorder="1" applyAlignment="1" applyProtection="1">
      <alignment horizontal="center"/>
    </xf>
    <xf numFmtId="0" fontId="11" fillId="0" borderId="0" xfId="0" applyFont="1" applyFill="1" applyBorder="1" applyAlignment="1" applyProtection="1">
      <alignment horizontal="center"/>
    </xf>
    <xf numFmtId="0" fontId="11" fillId="0" borderId="1" xfId="0" applyFont="1" applyFill="1" applyBorder="1" applyAlignment="1" applyProtection="1">
      <alignment horizontal="center"/>
    </xf>
    <xf numFmtId="0" fontId="41" fillId="0" borderId="0" xfId="0" applyFont="1" applyFill="1" applyBorder="1" applyAlignment="1" applyProtection="1">
      <alignment horizontal="center" vertical="center"/>
    </xf>
    <xf numFmtId="0" fontId="5" fillId="0" borderId="7" xfId="0" applyFont="1" applyFill="1" applyBorder="1" applyAlignment="1" applyProtection="1">
      <alignment horizontal="left" wrapText="1"/>
    </xf>
    <xf numFmtId="0" fontId="5" fillId="0" borderId="5" xfId="0" applyFont="1" applyFill="1" applyBorder="1" applyAlignment="1" applyProtection="1">
      <alignment horizontal="left" wrapText="1"/>
    </xf>
    <xf numFmtId="49" fontId="5" fillId="0" borderId="7" xfId="0" applyNumberFormat="1" applyFont="1" applyFill="1" applyBorder="1" applyAlignment="1" applyProtection="1">
      <alignment horizontal="center" vertical="center"/>
    </xf>
    <xf numFmtId="49" fontId="5" fillId="0" borderId="5" xfId="0" applyNumberFormat="1" applyFont="1" applyFill="1" applyBorder="1" applyAlignment="1" applyProtection="1">
      <alignment horizontal="center" vertical="center"/>
    </xf>
    <xf numFmtId="0" fontId="6" fillId="0" borderId="7" xfId="0" applyFont="1" applyFill="1" applyBorder="1" applyAlignment="1" applyProtection="1">
      <alignment horizontal="left"/>
    </xf>
    <xf numFmtId="0" fontId="6" fillId="0" borderId="5" xfId="0" applyFont="1" applyFill="1" applyBorder="1" applyAlignment="1" applyProtection="1">
      <alignment horizontal="left"/>
    </xf>
    <xf numFmtId="0" fontId="6" fillId="0" borderId="7" xfId="0" applyFont="1" applyFill="1" applyBorder="1" applyAlignment="1" applyProtection="1">
      <alignment horizontal="left" wrapText="1"/>
    </xf>
    <xf numFmtId="0" fontId="6" fillId="0" borderId="5" xfId="0" applyFont="1" applyFill="1" applyBorder="1" applyAlignment="1" applyProtection="1">
      <alignment horizontal="left" wrapText="1"/>
    </xf>
    <xf numFmtId="0" fontId="6" fillId="0" borderId="7" xfId="0" applyFont="1" applyFill="1" applyBorder="1" applyAlignment="1" applyProtection="1">
      <alignment horizontal="left" wrapText="1" indent="1"/>
    </xf>
    <xf numFmtId="0" fontId="6" fillId="0" borderId="5" xfId="0" applyFont="1" applyFill="1" applyBorder="1" applyAlignment="1" applyProtection="1">
      <alignment horizontal="left" wrapText="1" indent="1"/>
    </xf>
    <xf numFmtId="180" fontId="5" fillId="4" borderId="18" xfId="3" applyFont="1" applyFill="1" applyBorder="1" applyAlignment="1" applyProtection="1">
      <alignment horizontal="center" vertical="center" wrapText="1"/>
    </xf>
    <xf numFmtId="180" fontId="5" fillId="4" borderId="20" xfId="3" applyFont="1" applyFill="1" applyBorder="1" applyAlignment="1" applyProtection="1">
      <alignment horizontal="center" vertical="center" wrapText="1"/>
    </xf>
    <xf numFmtId="180" fontId="5" fillId="4" borderId="9" xfId="3" applyFont="1" applyFill="1" applyBorder="1" applyAlignment="1" applyProtection="1">
      <alignment horizontal="center" vertical="center" wrapText="1"/>
    </xf>
    <xf numFmtId="180" fontId="5" fillId="4" borderId="2" xfId="3" applyFont="1" applyFill="1" applyBorder="1" applyAlignment="1" applyProtection="1">
      <alignment horizontal="center" vertical="center" wrapText="1"/>
    </xf>
    <xf numFmtId="180" fontId="5" fillId="4" borderId="18" xfId="3" applyFont="1" applyFill="1" applyBorder="1" applyAlignment="1" applyProtection="1">
      <alignment horizontal="center" vertical="center"/>
    </xf>
    <xf numFmtId="180" fontId="5" fillId="4" borderId="20" xfId="3" applyFont="1" applyFill="1" applyBorder="1" applyAlignment="1" applyProtection="1">
      <alignment horizontal="center" vertical="center"/>
    </xf>
    <xf numFmtId="180" fontId="5" fillId="4" borderId="9" xfId="3" applyFont="1" applyFill="1" applyBorder="1" applyAlignment="1" applyProtection="1">
      <alignment horizontal="center" vertical="center"/>
    </xf>
    <xf numFmtId="180" fontId="5" fillId="4" borderId="2" xfId="3" applyFont="1" applyFill="1" applyBorder="1" applyAlignment="1" applyProtection="1">
      <alignment horizontal="center" vertical="center"/>
    </xf>
    <xf numFmtId="0" fontId="6" fillId="0" borderId="9" xfId="0" applyFont="1" applyFill="1" applyBorder="1" applyAlignment="1" applyProtection="1">
      <protection locked="0"/>
    </xf>
    <xf numFmtId="0" fontId="0" fillId="0" borderId="2" xfId="0" applyFill="1" applyBorder="1" applyAlignment="1" applyProtection="1">
      <protection locked="0"/>
    </xf>
    <xf numFmtId="0" fontId="2" fillId="0" borderId="5" xfId="0" applyFont="1" applyFill="1" applyBorder="1" applyAlignment="1" applyProtection="1">
      <alignment horizontal="left" wrapText="1"/>
    </xf>
    <xf numFmtId="0" fontId="6" fillId="0" borderId="9" xfId="0" applyFont="1" applyFill="1" applyBorder="1" applyAlignment="1" applyProtection="1"/>
    <xf numFmtId="0" fontId="0" fillId="0" borderId="2" xfId="0" applyFill="1" applyBorder="1" applyAlignment="1" applyProtection="1"/>
    <xf numFmtId="180" fontId="5" fillId="4" borderId="7" xfId="3" applyFont="1" applyFill="1" applyBorder="1" applyAlignment="1" applyProtection="1">
      <alignment horizontal="center" vertical="center" wrapText="1"/>
    </xf>
    <xf numFmtId="0" fontId="6" fillId="4" borderId="5" xfId="0" applyFont="1" applyFill="1" applyBorder="1" applyAlignment="1" applyProtection="1">
      <alignment horizontal="center" vertical="center" wrapText="1"/>
    </xf>
    <xf numFmtId="0" fontId="5" fillId="0" borderId="7"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9" xfId="0" applyFont="1" applyFill="1" applyBorder="1" applyAlignment="1" applyProtection="1"/>
    <xf numFmtId="0" fontId="1" fillId="0" borderId="2" xfId="0" applyFont="1" applyFill="1" applyBorder="1" applyAlignment="1" applyProtection="1"/>
    <xf numFmtId="0" fontId="1" fillId="4" borderId="18" xfId="0" applyFont="1" applyFill="1" applyBorder="1" applyAlignment="1" applyProtection="1">
      <alignment horizontal="center" vertical="center"/>
    </xf>
    <xf numFmtId="0" fontId="1" fillId="4" borderId="20" xfId="0" applyFont="1" applyFill="1" applyBorder="1" applyAlignment="1" applyProtection="1">
      <alignment horizontal="center" vertical="center"/>
    </xf>
    <xf numFmtId="0" fontId="1" fillId="4" borderId="9" xfId="0" applyFont="1" applyFill="1" applyBorder="1" applyAlignment="1" applyProtection="1">
      <alignment horizontal="center" vertical="center"/>
    </xf>
    <xf numFmtId="0" fontId="1" fillId="4" borderId="2" xfId="0" applyFont="1" applyFill="1" applyBorder="1" applyAlignment="1" applyProtection="1">
      <alignment horizontal="center" vertical="center"/>
    </xf>
    <xf numFmtId="180" fontId="22" fillId="4" borderId="7" xfId="3" applyFont="1" applyFill="1" applyBorder="1" applyAlignment="1" applyProtection="1">
      <alignment horizontal="center" vertical="center"/>
    </xf>
    <xf numFmtId="180" fontId="22" fillId="4" borderId="5" xfId="3" applyFont="1" applyFill="1" applyBorder="1" applyAlignment="1" applyProtection="1">
      <alignment horizontal="center" vertical="center"/>
    </xf>
    <xf numFmtId="0" fontId="41" fillId="0" borderId="0" xfId="0" applyFont="1" applyFill="1" applyBorder="1" applyAlignment="1" applyProtection="1">
      <alignment horizontal="left"/>
    </xf>
    <xf numFmtId="0" fontId="32" fillId="0" borderId="0" xfId="0" applyFont="1" applyFill="1" applyBorder="1" applyAlignment="1" applyProtection="1"/>
    <xf numFmtId="0" fontId="23" fillId="0" borderId="8" xfId="0" applyFont="1" applyFill="1" applyBorder="1" applyAlignment="1" applyProtection="1">
      <alignment horizontal="center" wrapText="1"/>
    </xf>
    <xf numFmtId="0" fontId="23" fillId="0" borderId="0" xfId="0" applyFont="1" applyFill="1" applyBorder="1" applyAlignment="1" applyProtection="1">
      <alignment horizontal="center" wrapText="1"/>
    </xf>
    <xf numFmtId="180" fontId="22" fillId="4" borderId="26" xfId="3" applyFont="1" applyFill="1" applyBorder="1" applyAlignment="1" applyProtection="1">
      <alignment horizontal="center" vertical="center" wrapText="1"/>
    </xf>
    <xf numFmtId="180" fontId="22" fillId="4" borderId="16" xfId="3" applyFont="1" applyFill="1" applyBorder="1" applyAlignment="1" applyProtection="1">
      <alignment horizontal="center" vertical="center" wrapText="1"/>
    </xf>
    <xf numFmtId="0" fontId="1" fillId="0" borderId="0" xfId="0" applyFont="1" applyFill="1" applyAlignment="1" applyProtection="1">
      <alignment horizontal="center"/>
    </xf>
    <xf numFmtId="0" fontId="1" fillId="2" borderId="0" xfId="0" applyFont="1" applyFill="1" applyBorder="1" applyAlignment="1" applyProtection="1">
      <alignment horizontal="center" vertical="center"/>
    </xf>
    <xf numFmtId="0" fontId="24" fillId="0" borderId="0" xfId="0" applyFont="1" applyFill="1" applyAlignment="1" applyProtection="1">
      <alignment horizontal="left"/>
    </xf>
    <xf numFmtId="0" fontId="25" fillId="0" borderId="0" xfId="0" applyFont="1" applyFill="1" applyAlignment="1" applyProtection="1">
      <alignment horizontal="left"/>
    </xf>
    <xf numFmtId="0" fontId="25" fillId="0" borderId="0" xfId="0" applyFont="1" applyFill="1" applyAlignment="1" applyProtection="1"/>
    <xf numFmtId="0" fontId="11" fillId="0" borderId="0" xfId="0" applyFont="1" applyFill="1" applyBorder="1" applyAlignment="1" applyProtection="1">
      <alignment horizontal="left"/>
    </xf>
    <xf numFmtId="0" fontId="21" fillId="0" borderId="0" xfId="0" applyFont="1" applyFill="1" applyBorder="1" applyAlignment="1" applyProtection="1"/>
    <xf numFmtId="0" fontId="0" fillId="0" borderId="0" xfId="0" applyFill="1" applyBorder="1" applyAlignment="1" applyProtection="1"/>
    <xf numFmtId="180" fontId="5" fillId="4" borderId="18" xfId="3" applyFont="1" applyFill="1" applyBorder="1" applyAlignment="1" applyProtection="1">
      <alignment horizontal="center"/>
    </xf>
    <xf numFmtId="0" fontId="6" fillId="4" borderId="20" xfId="0" applyFont="1" applyFill="1" applyBorder="1" applyAlignment="1" applyProtection="1">
      <alignment horizontal="center"/>
    </xf>
    <xf numFmtId="0" fontId="6" fillId="0" borderId="7" xfId="0" applyFont="1" applyFill="1" applyBorder="1" applyAlignment="1" applyProtection="1">
      <alignment horizontal="justify"/>
    </xf>
    <xf numFmtId="0" fontId="0" fillId="0" borderId="5" xfId="0" applyFill="1" applyBorder="1" applyAlignment="1" applyProtection="1">
      <alignment horizontal="justify"/>
    </xf>
    <xf numFmtId="180" fontId="23" fillId="4" borderId="7" xfId="3" applyFont="1" applyFill="1" applyBorder="1" applyAlignment="1" applyProtection="1">
      <alignment horizontal="left"/>
    </xf>
    <xf numFmtId="180" fontId="23" fillId="4" borderId="38" xfId="3" applyFont="1" applyFill="1" applyBorder="1" applyAlignment="1" applyProtection="1">
      <alignment horizontal="left"/>
    </xf>
    <xf numFmtId="180" fontId="23" fillId="4" borderId="5" xfId="3" applyFont="1" applyFill="1" applyBorder="1" applyAlignment="1" applyProtection="1">
      <alignment horizontal="left"/>
    </xf>
    <xf numFmtId="0" fontId="45" fillId="0" borderId="18" xfId="0" applyFont="1" applyFill="1" applyBorder="1" applyAlignment="1" applyProtection="1">
      <alignment horizontal="center"/>
    </xf>
    <xf numFmtId="0" fontId="45" fillId="0" borderId="19" xfId="0" applyFont="1" applyFill="1" applyBorder="1" applyAlignment="1" applyProtection="1">
      <alignment horizontal="center"/>
    </xf>
    <xf numFmtId="0" fontId="45" fillId="0" borderId="20" xfId="0" applyFont="1" applyFill="1" applyBorder="1" applyAlignment="1" applyProtection="1">
      <alignment horizontal="center"/>
    </xf>
    <xf numFmtId="0" fontId="1" fillId="0" borderId="5" xfId="0" applyFont="1" applyFill="1" applyBorder="1" applyAlignment="1" applyProtection="1">
      <alignment horizontal="center"/>
    </xf>
    <xf numFmtId="180" fontId="5" fillId="4" borderId="7" xfId="3" applyFont="1" applyFill="1" applyBorder="1" applyAlignment="1" applyProtection="1">
      <alignment horizontal="center" vertical="center"/>
    </xf>
    <xf numFmtId="180" fontId="5" fillId="4" borderId="5" xfId="3" applyFont="1" applyFill="1" applyBorder="1" applyAlignment="1" applyProtection="1">
      <alignment horizontal="center" vertical="center"/>
    </xf>
    <xf numFmtId="0" fontId="81" fillId="0" borderId="0" xfId="0" applyFont="1" applyFill="1" applyAlignment="1" applyProtection="1">
      <alignment wrapText="1"/>
    </xf>
    <xf numFmtId="180" fontId="5" fillId="4" borderId="26" xfId="3" applyFont="1" applyFill="1" applyBorder="1" applyAlignment="1" applyProtection="1">
      <alignment horizontal="center" vertical="center" wrapText="1"/>
    </xf>
    <xf numFmtId="180" fontId="5" fillId="4" borderId="16" xfId="3" applyFont="1" applyFill="1" applyBorder="1" applyAlignment="1" applyProtection="1">
      <alignment horizontal="center" vertical="center" wrapText="1"/>
    </xf>
    <xf numFmtId="180" fontId="5" fillId="4" borderId="7" xfId="3" applyFont="1" applyFill="1" applyBorder="1" applyAlignment="1" applyProtection="1">
      <alignment horizontal="center"/>
    </xf>
    <xf numFmtId="180" fontId="5" fillId="4" borderId="38" xfId="3" applyFont="1" applyFill="1" applyBorder="1" applyAlignment="1" applyProtection="1">
      <alignment horizontal="center"/>
    </xf>
    <xf numFmtId="180" fontId="5" fillId="4" borderId="5" xfId="3" applyFont="1" applyFill="1" applyBorder="1" applyAlignment="1" applyProtection="1">
      <alignment horizontal="center"/>
    </xf>
    <xf numFmtId="180" fontId="5" fillId="0" borderId="0" xfId="3" applyFont="1" applyFill="1" applyBorder="1" applyAlignment="1" applyProtection="1">
      <alignment horizontal="center" vertical="center" wrapText="1"/>
    </xf>
    <xf numFmtId="180" fontId="5" fillId="4" borderId="26" xfId="3" applyFont="1" applyFill="1" applyBorder="1" applyAlignment="1" applyProtection="1">
      <alignment horizontal="center" vertical="center"/>
    </xf>
    <xf numFmtId="180" fontId="5" fillId="4" borderId="16" xfId="3" applyFont="1" applyFill="1" applyBorder="1" applyAlignment="1" applyProtection="1">
      <alignment horizontal="center" vertical="center"/>
    </xf>
    <xf numFmtId="0" fontId="5" fillId="4" borderId="26" xfId="0" applyFont="1" applyFill="1" applyBorder="1" applyAlignment="1" applyProtection="1">
      <alignment horizontal="center" vertical="center"/>
    </xf>
    <xf numFmtId="0" fontId="5" fillId="4" borderId="16" xfId="0" applyFont="1" applyFill="1" applyBorder="1" applyAlignment="1" applyProtection="1">
      <alignment horizontal="center" vertical="center"/>
    </xf>
    <xf numFmtId="0" fontId="5" fillId="4" borderId="7" xfId="0" applyFont="1" applyFill="1" applyBorder="1" applyAlignment="1" applyProtection="1">
      <alignment horizontal="center"/>
    </xf>
    <xf numFmtId="0" fontId="5" fillId="4" borderId="5" xfId="0" applyFont="1" applyFill="1" applyBorder="1" applyAlignment="1" applyProtection="1">
      <alignment horizontal="center"/>
    </xf>
    <xf numFmtId="0" fontId="4" fillId="4" borderId="18" xfId="0" applyFont="1" applyFill="1" applyBorder="1" applyAlignment="1" applyProtection="1">
      <alignment horizontal="center"/>
    </xf>
    <xf numFmtId="0" fontId="4" fillId="4" borderId="19" xfId="0" applyFont="1" applyFill="1" applyBorder="1" applyAlignment="1" applyProtection="1">
      <alignment horizontal="center"/>
    </xf>
    <xf numFmtId="0" fontId="4" fillId="4" borderId="20" xfId="0" applyFont="1" applyFill="1" applyBorder="1" applyAlignment="1" applyProtection="1">
      <alignment horizontal="center"/>
    </xf>
    <xf numFmtId="0" fontId="75" fillId="0" borderId="7" xfId="0" applyFont="1" applyBorder="1" applyAlignment="1" applyProtection="1">
      <alignment horizontal="left" wrapText="1" shrinkToFit="1"/>
      <protection locked="0"/>
    </xf>
    <xf numFmtId="0" fontId="75" fillId="0" borderId="38" xfId="0" applyFont="1" applyBorder="1" applyAlignment="1" applyProtection="1">
      <alignment horizontal="left" wrapText="1" shrinkToFit="1"/>
      <protection locked="0"/>
    </xf>
    <xf numFmtId="0" fontId="75" fillId="0" borderId="5" xfId="0" applyFont="1" applyBorder="1" applyAlignment="1" applyProtection="1">
      <alignment horizontal="left" wrapText="1" shrinkToFit="1"/>
      <protection locked="0"/>
    </xf>
    <xf numFmtId="49" fontId="35" fillId="0" borderId="0" xfId="0" applyNumberFormat="1" applyFont="1" applyFill="1" applyBorder="1" applyAlignment="1" applyProtection="1">
      <alignment horizontal="center" vertical="center"/>
    </xf>
    <xf numFmtId="49" fontId="1" fillId="0" borderId="0" xfId="0" applyNumberFormat="1" applyFont="1" applyFill="1" applyBorder="1" applyAlignment="1" applyProtection="1">
      <alignment horizontal="center"/>
    </xf>
    <xf numFmtId="0" fontId="1" fillId="4" borderId="9" xfId="0" applyFont="1" applyFill="1" applyBorder="1" applyAlignment="1" applyProtection="1">
      <alignment horizontal="center"/>
    </xf>
    <xf numFmtId="0" fontId="1" fillId="4" borderId="4" xfId="0" applyFont="1" applyFill="1" applyBorder="1" applyAlignment="1" applyProtection="1">
      <alignment horizontal="center"/>
    </xf>
    <xf numFmtId="0" fontId="1" fillId="4" borderId="2" xfId="0" applyFont="1" applyFill="1" applyBorder="1" applyAlignment="1" applyProtection="1">
      <alignment horizontal="center"/>
    </xf>
    <xf numFmtId="0" fontId="41" fillId="5" borderId="25" xfId="0" applyFont="1" applyFill="1" applyBorder="1" applyAlignment="1" applyProtection="1">
      <alignment horizontal="left" vertical="justify" wrapText="1"/>
    </xf>
    <xf numFmtId="0" fontId="41" fillId="5" borderId="42" xfId="0" applyFont="1" applyFill="1" applyBorder="1" applyAlignment="1" applyProtection="1">
      <alignment horizontal="left" vertical="justify" wrapText="1"/>
    </xf>
    <xf numFmtId="0" fontId="41" fillId="5" borderId="43" xfId="0" applyFont="1" applyFill="1" applyBorder="1" applyAlignment="1" applyProtection="1">
      <alignment horizontal="left" vertical="justify" wrapText="1"/>
    </xf>
    <xf numFmtId="0" fontId="11" fillId="2" borderId="21" xfId="0" applyFont="1" applyFill="1" applyBorder="1" applyAlignment="1" applyProtection="1">
      <alignment horizontal="left"/>
    </xf>
    <xf numFmtId="0" fontId="68" fillId="2" borderId="0" xfId="0" applyFont="1" applyFill="1" applyAlignment="1" applyProtection="1">
      <alignment horizontal="center"/>
    </xf>
    <xf numFmtId="0" fontId="0" fillId="0" borderId="0" xfId="0" applyAlignment="1">
      <alignment horizontal="center"/>
    </xf>
    <xf numFmtId="0" fontId="6" fillId="2" borderId="28" xfId="0" applyFont="1" applyFill="1" applyBorder="1" applyAlignment="1">
      <alignment horizontal="left"/>
    </xf>
    <xf numFmtId="0" fontId="6" fillId="2" borderId="34" xfId="0" applyFont="1" applyFill="1" applyBorder="1" applyAlignment="1">
      <alignment horizontal="left"/>
    </xf>
    <xf numFmtId="0" fontId="54" fillId="2" borderId="0" xfId="0" applyFont="1" applyFill="1" applyAlignment="1">
      <alignment horizontal="left"/>
    </xf>
    <xf numFmtId="0" fontId="5" fillId="4" borderId="25" xfId="0" applyFont="1" applyFill="1" applyBorder="1" applyAlignment="1">
      <alignment horizontal="left" wrapText="1"/>
    </xf>
    <xf numFmtId="0" fontId="5" fillId="4" borderId="43" xfId="0" applyFont="1" applyFill="1" applyBorder="1" applyAlignment="1">
      <alignment horizontal="left" wrapText="1"/>
    </xf>
    <xf numFmtId="0" fontId="6" fillId="2" borderId="44" xfId="0" applyFont="1" applyFill="1" applyBorder="1" applyAlignment="1">
      <alignment horizontal="left" wrapText="1"/>
    </xf>
    <xf numFmtId="0" fontId="6" fillId="2" borderId="46" xfId="0" applyFont="1" applyFill="1" applyBorder="1" applyAlignment="1">
      <alignment horizontal="left" wrapText="1"/>
    </xf>
    <xf numFmtId="0" fontId="6" fillId="2" borderId="13" xfId="0" applyFont="1" applyFill="1" applyBorder="1" applyAlignment="1">
      <alignment horizontal="left" wrapText="1"/>
    </xf>
    <xf numFmtId="0" fontId="6" fillId="2" borderId="50" xfId="0" applyFont="1" applyFill="1" applyBorder="1" applyAlignment="1">
      <alignment horizontal="left" wrapText="1"/>
    </xf>
    <xf numFmtId="0" fontId="6" fillId="2" borderId="27" xfId="0" applyFont="1" applyFill="1" applyBorder="1" applyAlignment="1">
      <alignment wrapText="1"/>
    </xf>
    <xf numFmtId="0" fontId="6" fillId="2" borderId="24" xfId="0" applyFont="1" applyFill="1" applyBorder="1" applyAlignment="1">
      <alignment wrapText="1"/>
    </xf>
    <xf numFmtId="0" fontId="6" fillId="2" borderId="0" xfId="0" applyFont="1" applyFill="1" applyBorder="1" applyAlignment="1"/>
    <xf numFmtId="0" fontId="5" fillId="4" borderId="41" xfId="0" applyFont="1" applyFill="1" applyBorder="1" applyAlignment="1"/>
    <xf numFmtId="0" fontId="5" fillId="4" borderId="39" xfId="0" applyFont="1" applyFill="1" applyBorder="1" applyAlignment="1"/>
    <xf numFmtId="0" fontId="5" fillId="2" borderId="0" xfId="0" applyFont="1" applyFill="1" applyBorder="1" applyAlignment="1">
      <alignment horizontal="center"/>
    </xf>
    <xf numFmtId="0" fontId="5" fillId="2" borderId="21" xfId="0" applyFont="1" applyFill="1" applyBorder="1" applyAlignment="1"/>
    <xf numFmtId="0" fontId="5" fillId="2" borderId="21" xfId="0" applyFont="1" applyFill="1" applyBorder="1" applyAlignment="1">
      <alignment horizontal="center"/>
    </xf>
    <xf numFmtId="0" fontId="5" fillId="4" borderId="25" xfId="0" applyFont="1" applyFill="1" applyBorder="1" applyAlignment="1"/>
    <xf numFmtId="0" fontId="5" fillId="4" borderId="42" xfId="0" applyFont="1" applyFill="1" applyBorder="1" applyAlignment="1"/>
    <xf numFmtId="0" fontId="5" fillId="4" borderId="41" xfId="0" applyFont="1" applyFill="1" applyBorder="1" applyAlignment="1">
      <alignment horizontal="center"/>
    </xf>
    <xf numFmtId="0" fontId="5" fillId="4" borderId="39" xfId="0" applyFont="1" applyFill="1" applyBorder="1" applyAlignment="1">
      <alignment horizontal="center"/>
    </xf>
    <xf numFmtId="0" fontId="5" fillId="4" borderId="40" xfId="0" applyFont="1" applyFill="1" applyBorder="1" applyAlignment="1">
      <alignment horizontal="center"/>
    </xf>
    <xf numFmtId="0" fontId="11" fillId="0" borderId="25" xfId="0" applyFont="1" applyFill="1" applyBorder="1" applyAlignment="1" applyProtection="1">
      <alignment horizontal="center" vertical="center"/>
      <protection locked="0"/>
    </xf>
    <xf numFmtId="0" fontId="1" fillId="0" borderId="42" xfId="0" applyFont="1" applyFill="1" applyBorder="1" applyAlignment="1" applyProtection="1">
      <alignment horizontal="center" vertical="center"/>
      <protection locked="0"/>
    </xf>
    <xf numFmtId="0" fontId="1" fillId="0" borderId="43" xfId="0" applyFont="1" applyFill="1" applyBorder="1" applyAlignment="1" applyProtection="1">
      <alignment horizontal="center" vertical="center"/>
      <protection locked="0"/>
    </xf>
    <xf numFmtId="0" fontId="34" fillId="0" borderId="0" xfId="0" applyFont="1" applyFill="1" applyBorder="1" applyAlignment="1" applyProtection="1">
      <alignment horizontal="center"/>
    </xf>
    <xf numFmtId="0" fontId="0" fillId="0" borderId="0" xfId="0" applyFill="1" applyBorder="1" applyAlignment="1" applyProtection="1">
      <alignment horizontal="center"/>
    </xf>
    <xf numFmtId="0" fontId="6" fillId="2" borderId="54" xfId="0" applyFont="1" applyFill="1" applyBorder="1" applyAlignment="1">
      <alignment horizontal="left" wrapText="1"/>
    </xf>
    <xf numFmtId="0" fontId="6" fillId="2" borderId="48" xfId="0" applyFont="1" applyFill="1" applyBorder="1" applyAlignment="1">
      <alignment horizontal="left" wrapText="1"/>
    </xf>
    <xf numFmtId="0" fontId="6" fillId="2" borderId="25" xfId="0" applyFont="1" applyFill="1" applyBorder="1" applyAlignment="1">
      <alignment horizontal="left" vertical="center" wrapText="1"/>
    </xf>
    <xf numFmtId="0" fontId="0" fillId="0" borderId="58" xfId="0" applyBorder="1" applyAlignment="1">
      <alignment horizontal="left" vertical="center" wrapText="1"/>
    </xf>
    <xf numFmtId="0" fontId="6" fillId="2" borderId="56" xfId="0" applyFont="1" applyFill="1" applyBorder="1" applyAlignment="1">
      <alignment wrapText="1"/>
    </xf>
    <xf numFmtId="0" fontId="6" fillId="2" borderId="57" xfId="0" applyFont="1" applyFill="1" applyBorder="1" applyAlignment="1">
      <alignment wrapText="1"/>
    </xf>
    <xf numFmtId="0" fontId="41" fillId="12" borderId="41" xfId="0" applyFont="1" applyFill="1" applyBorder="1" applyAlignment="1" applyProtection="1">
      <alignment horizontal="center" vertical="center"/>
    </xf>
    <xf numFmtId="0" fontId="41" fillId="12" borderId="39" xfId="0" applyFont="1" applyFill="1" applyBorder="1" applyAlignment="1" applyProtection="1">
      <alignment horizontal="center" vertical="center"/>
    </xf>
    <xf numFmtId="0" fontId="41" fillId="12" borderId="40" xfId="0" applyFont="1" applyFill="1" applyBorder="1" applyAlignment="1" applyProtection="1">
      <alignment horizontal="center" vertical="center"/>
    </xf>
    <xf numFmtId="0" fontId="41" fillId="12" borderId="12" xfId="0" applyFont="1" applyFill="1" applyBorder="1" applyAlignment="1" applyProtection="1">
      <alignment horizontal="center" vertical="center"/>
    </xf>
    <xf numFmtId="0" fontId="41" fillId="12" borderId="21" xfId="0" applyFont="1" applyFill="1" applyBorder="1" applyAlignment="1" applyProtection="1">
      <alignment horizontal="center" vertical="center"/>
    </xf>
    <xf numFmtId="0" fontId="41" fillId="12" borderId="11" xfId="0" applyFont="1" applyFill="1" applyBorder="1" applyAlignment="1" applyProtection="1">
      <alignment horizontal="center" vertical="center"/>
    </xf>
    <xf numFmtId="0" fontId="33" fillId="2" borderId="0" xfId="0" applyFont="1" applyFill="1" applyAlignment="1" applyProtection="1">
      <alignment horizontal="center"/>
    </xf>
    <xf numFmtId="0" fontId="11" fillId="2" borderId="0" xfId="0" applyFont="1" applyFill="1" applyBorder="1" applyAlignment="1" applyProtection="1">
      <alignment horizontal="left"/>
    </xf>
  </cellXfs>
  <cellStyles count="4">
    <cellStyle name="Encabez1" xfId="1"/>
    <cellStyle name="Hyperlink" xfId="2" builtinId="8"/>
    <cellStyle name="Normal" xfId="0" builtinId="0"/>
    <cellStyle name="Normal_Pesca F1-B" xfId="3"/>
  </cellStyles>
  <dxfs count="6">
    <dxf>
      <font>
        <b/>
        <i val="0"/>
        <condense val="0"/>
        <extend val="0"/>
        <color indexed="9"/>
      </font>
      <fill>
        <patternFill>
          <bgColor indexed="10"/>
        </patternFill>
      </fill>
    </dxf>
    <dxf>
      <font>
        <b/>
        <i val="0"/>
        <condense val="0"/>
        <extend val="0"/>
        <color indexed="9"/>
      </font>
      <fill>
        <patternFill>
          <bgColor indexed="58"/>
        </patternFill>
      </fill>
    </dxf>
    <dxf>
      <font>
        <condense val="0"/>
        <extend val="0"/>
        <color indexed="9"/>
      </font>
      <fill>
        <patternFill patternType="none">
          <bgColor indexed="65"/>
        </patternFill>
      </fill>
      <border>
        <left/>
        <right/>
        <top/>
        <bottom/>
      </border>
    </dxf>
    <dxf>
      <font>
        <b/>
        <i val="0"/>
        <condense val="0"/>
        <extend val="0"/>
        <color auto="1"/>
      </font>
      <fill>
        <patternFill patternType="solid">
          <bgColor indexed="41"/>
        </patternFill>
      </fill>
      <border>
        <left style="thin">
          <color indexed="64"/>
        </left>
        <right style="thin">
          <color indexed="64"/>
        </right>
        <top style="thin">
          <color indexed="64"/>
        </top>
        <bottom style="thin">
          <color indexed="64"/>
        </bottom>
      </border>
    </dxf>
    <dxf>
      <font>
        <condense val="0"/>
        <extend val="0"/>
        <color indexed="9"/>
      </font>
      <fill>
        <patternFill patternType="none">
          <bgColor indexed="65"/>
        </patternFill>
      </fill>
      <border>
        <left/>
        <right/>
        <top/>
        <bottom/>
      </border>
    </dxf>
    <dxf>
      <fill>
        <patternFill patternType="none">
          <bgColor indexed="65"/>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39" fmlaLink="TabOrgJ!$D$1" fmlaRange="TabOrgJ!$C$2:$C$34" sel="1" val="0"/>
</file>

<file path=xl/ctrlProps/ctrlProp25.xml><?xml version="1.0" encoding="utf-8"?>
<formControlPr xmlns="http://schemas.microsoft.com/office/spreadsheetml/2009/9/main" objectType="Drop" dropStyle="combo" dx="39" fmlaLink="TabUbica!$A$1" fmlaRange="TabUbica!$C$1846:$C$1871" sel="1" val="18"/>
</file>

<file path=xl/ctrlProps/ctrlProp26.xml><?xml version="1.0" encoding="utf-8"?>
<formControlPr xmlns="http://schemas.microsoft.com/office/spreadsheetml/2009/9/main" objectType="Drop" dropStyle="combo" dx="39" fmlaLink="TabUbica!$A$2" fmlaRange="TabUbica!$E$1881:$E$1910" sel="1" val="0"/>
</file>

<file path=xl/ctrlProps/ctrlProp27.xml><?xml version="1.0" encoding="utf-8"?>
<formControlPr xmlns="http://schemas.microsoft.com/office/spreadsheetml/2009/9/main" objectType="Drop" dropStyle="combo" dx="39" fmlaLink="TabUbica!$A$3" fmlaRange="TabUbica!$G$1921:$G$1970" sel="1" val="0"/>
</file>

<file path=xl/ctrlProps/ctrlProp28.xml><?xml version="1.0" encoding="utf-8"?>
<formControlPr xmlns="http://schemas.microsoft.com/office/spreadsheetml/2009/9/main" objectType="Drop" dropStyle="combo" dx="39" fmlaLink="TabCiiu!$B$2" fmlaRange="TabCiiu!$C$1930:$C$2043" sel="1" val="0"/>
</file>

<file path=xl/ctrlProps/ctrlProp29.xml><?xml version="1.0" encoding="utf-8"?>
<formControlPr xmlns="http://schemas.microsoft.com/office/spreadsheetml/2009/9/main" objectType="Drop" dropStyle="combo" dx="39" fmlaLink="TabCiiu!$E$2" fmlaRange="TabCiiu!$D$2055:$D$2112" sel="1" val="0"/>
</file>

<file path=xl/ctrlProps/ctrlProp30.xml><?xml version="1.0" encoding="utf-8"?>
<formControlPr xmlns="http://schemas.microsoft.com/office/spreadsheetml/2009/9/main" objectType="Drop" dropStyle="combo" dx="39" fmlaLink="TabOrgJ!$J$1" fmlaRange="TabOrgJ!$I$2:$I$8" sel="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TabOrgJ!$F$1" lockText="1" noThreeD="1"/>
</file>

<file path=xl/ctrlProps/ctrlProp36.xml><?xml version="1.0" encoding="utf-8"?>
<formControlPr xmlns="http://schemas.microsoft.com/office/spreadsheetml/2009/9/main" objectType="CheckBox" fmlaLink="TabOrgJ!$F$2" lockText="1" noThreeD="1"/>
</file>

<file path=xl/ctrlProps/ctrlProp37.xml><?xml version="1.0" encoding="utf-8"?>
<formControlPr xmlns="http://schemas.microsoft.com/office/spreadsheetml/2009/9/main" objectType="CheckBox" fmlaLink="TabOrgJ!$F$3" lockText="1" noThreeD="1"/>
</file>

<file path=xl/ctrlProps/ctrlProp38.xml><?xml version="1.0" encoding="utf-8"?>
<formControlPr xmlns="http://schemas.microsoft.com/office/spreadsheetml/2009/9/main" objectType="CheckBox" fmlaLink="TabOrgJ!$F$4" lockText="1" noThreeD="1"/>
</file>

<file path=xl/ctrlProps/ctrlProp39.xml><?xml version="1.0" encoding="utf-8"?>
<formControlPr xmlns="http://schemas.microsoft.com/office/spreadsheetml/2009/9/main" objectType="CheckBox" fmlaLink="TabOrgJ!$F$5" lockText="1" noThreeD="1"/>
</file>

<file path=xl/ctrlProps/ctrlProp40.xml><?xml version="1.0" encoding="utf-8"?>
<formControlPr xmlns="http://schemas.microsoft.com/office/spreadsheetml/2009/9/main" objectType="CheckBox" fmlaLink="TabOrgJ!$F$6" lockText="1" noThreeD="1"/>
</file>

<file path=xl/ctrlProps/ctrlProp41.xml><?xml version="1.0" encoding="utf-8"?>
<formControlPr xmlns="http://schemas.microsoft.com/office/spreadsheetml/2009/9/main" objectType="CheckBox" fmlaLink="TabOrgJ!$F$7" lockText="1" noThreeD="1"/>
</file>

<file path=xl/ctrlProps/ctrlProp42.xml><?xml version="1.0" encoding="utf-8"?>
<formControlPr xmlns="http://schemas.microsoft.com/office/spreadsheetml/2009/9/main" objectType="CheckBox" fmlaLink="TabOrgJ!$F$8" lockText="1" noThreeD="1"/>
</file>

<file path=xl/ctrlProps/ctrlProp43.xml><?xml version="1.0" encoding="utf-8"?>
<formControlPr xmlns="http://schemas.microsoft.com/office/spreadsheetml/2009/9/main" objectType="CheckBox" fmlaLink="TabOrgJ!$F$9" lockText="1" noThreeD="1"/>
</file>

<file path=xl/ctrlProps/ctrlProp44.xml><?xml version="1.0" encoding="utf-8"?>
<formControlPr xmlns="http://schemas.microsoft.com/office/spreadsheetml/2009/9/main" objectType="CheckBox" fmlaLink="TabOrgJ!$F$10" lockText="1" noThreeD="1"/>
</file>

<file path=xl/ctrlProps/ctrlProp45.xml><?xml version="1.0" encoding="utf-8"?>
<formControlPr xmlns="http://schemas.microsoft.com/office/spreadsheetml/2009/9/main" objectType="CheckBox" fmlaLink="TabOrgJ!$F$11" lockText="1" noThreeD="1"/>
</file>

<file path=xl/ctrlProps/ctrlProp46.xml><?xml version="1.0" encoding="utf-8"?>
<formControlPr xmlns="http://schemas.microsoft.com/office/spreadsheetml/2009/9/main" objectType="CheckBox" fmlaLink="TabOrgJ!$F$12"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Ayuda!A1"/><Relationship Id="rId2" Type="http://schemas.openxmlformats.org/officeDocument/2006/relationships/hyperlink" Target="#Cedulas!A1"/><Relationship Id="rId1" Type="http://schemas.openxmlformats.org/officeDocument/2006/relationships/hyperlink" Target="#Instue!A1"/><Relationship Id="rId6" Type="http://schemas.openxmlformats.org/officeDocument/2006/relationships/image" Target="../media/image3.png"/><Relationship Id="rId5" Type="http://schemas.openxmlformats.org/officeDocument/2006/relationships/image" Target="../media/image6.jpeg"/><Relationship Id="rId4" Type="http://schemas.openxmlformats.org/officeDocument/2006/relationships/hyperlink" Target="#MenuP!A1"/></Relationships>
</file>

<file path=xl/drawings/_rels/drawing3.xml.rels><?xml version="1.0" encoding="UTF-8" standalone="yes"?>
<Relationships xmlns="http://schemas.openxmlformats.org/package/2006/relationships"><Relationship Id="rId3" Type="http://schemas.openxmlformats.org/officeDocument/2006/relationships/hyperlink" Target="#Ayuda!A1"/><Relationship Id="rId2" Type="http://schemas.openxmlformats.org/officeDocument/2006/relationships/hyperlink" Target="#Cedulas!A1"/><Relationship Id="rId1" Type="http://schemas.openxmlformats.org/officeDocument/2006/relationships/hyperlink" Target="#Legal!A1"/><Relationship Id="rId5" Type="http://schemas.openxmlformats.org/officeDocument/2006/relationships/image" Target="../media/image3.png"/><Relationship Id="rId4" Type="http://schemas.openxmlformats.org/officeDocument/2006/relationships/hyperlink" Target="#MenuP!A1"/></Relationships>
</file>

<file path=xl/drawings/_rels/drawing4.xml.rels><?xml version="1.0" encoding="UTF-8" standalone="yes"?>
<Relationships xmlns="http://schemas.openxmlformats.org/package/2006/relationships"><Relationship Id="rId3" Type="http://schemas.openxmlformats.org/officeDocument/2006/relationships/hyperlink" Target="#Ayuda!A1"/><Relationship Id="rId2" Type="http://schemas.openxmlformats.org/officeDocument/2006/relationships/hyperlink" Target="#Cedulas!A1"/><Relationship Id="rId1" Type="http://schemas.openxmlformats.org/officeDocument/2006/relationships/hyperlink" Target="#Legal!A1"/><Relationship Id="rId5" Type="http://schemas.openxmlformats.org/officeDocument/2006/relationships/image" Target="../media/image3.png"/><Relationship Id="rId4" Type="http://schemas.openxmlformats.org/officeDocument/2006/relationships/hyperlink" Target="#MenuP!A1"/></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jpe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1104900</xdr:colOff>
      <xdr:row>0</xdr:row>
      <xdr:rowOff>9525</xdr:rowOff>
    </xdr:from>
    <xdr:to>
      <xdr:col>9</xdr:col>
      <xdr:colOff>142875</xdr:colOff>
      <xdr:row>5</xdr:row>
      <xdr:rowOff>38100</xdr:rowOff>
    </xdr:to>
    <xdr:sp macro="" textlink="">
      <xdr:nvSpPr>
        <xdr:cNvPr id="21577" name="Text Box 73">
          <a:extLst>
            <a:ext uri="{FF2B5EF4-FFF2-40B4-BE49-F238E27FC236}">
              <a16:creationId xmlns:a16="http://schemas.microsoft.com/office/drawing/2014/main" id="{D613E7F8-1CF3-4107-9C7C-D2406183F0AA}"/>
            </a:ext>
          </a:extLst>
        </xdr:cNvPr>
        <xdr:cNvSpPr txBox="1">
          <a:spLocks noChangeArrowheads="1"/>
        </xdr:cNvSpPr>
      </xdr:nvSpPr>
      <xdr:spPr bwMode="auto">
        <a:xfrm>
          <a:off x="1585913" y="9525"/>
          <a:ext cx="5005387" cy="695325"/>
        </a:xfrm>
        <a:prstGeom prst="rect">
          <a:avLst/>
        </a:prstGeom>
        <a:solidFill>
          <a:srgbClr xmlns:mc="http://schemas.openxmlformats.org/markup-compatibility/2006" xmlns:a14="http://schemas.microsoft.com/office/drawing/2010/main" val="003366" mc:Ignorable="a14" a14:legacySpreadsheetColorIndex="56">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64008" tIns="59436" rIns="64008" bIns="59436" anchor="ctr" upright="1"/>
        <a:lstStyle/>
        <a:p>
          <a:pPr algn="ctr" rtl="0">
            <a:lnSpc>
              <a:spcPts val="1500"/>
            </a:lnSpc>
            <a:defRPr sz="1000"/>
          </a:pPr>
          <a:r>
            <a:rPr lang="en-HK" sz="1600" b="1" i="0" u="none" strike="noStrike" baseline="0">
              <a:solidFill>
                <a:srgbClr val="000000"/>
              </a:solidFill>
              <a:latin typeface="Arial"/>
              <a:cs typeface="Arial"/>
            </a:rPr>
            <a:t>ENCUESTA ECONÓMICA ANUAL 2006</a:t>
          </a:r>
          <a:endParaRPr lang="en-HK" sz="1000" b="1" i="0" u="none" strike="noStrike" baseline="0">
            <a:solidFill>
              <a:srgbClr val="000000"/>
            </a:solidFill>
            <a:latin typeface="Arial"/>
            <a:cs typeface="Arial"/>
          </a:endParaRPr>
        </a:p>
        <a:p>
          <a:pPr algn="ctr" rtl="0">
            <a:lnSpc>
              <a:spcPts val="1300"/>
            </a:lnSpc>
            <a:defRPr sz="1000"/>
          </a:pPr>
          <a:r>
            <a:rPr lang="en-HK" sz="1400" b="1" i="0" u="none" strike="noStrike" baseline="0">
              <a:solidFill>
                <a:srgbClr val="000000"/>
              </a:solidFill>
              <a:latin typeface="Arial"/>
              <a:cs typeface="Arial"/>
            </a:rPr>
            <a:t>ESTADISTICA MANUFACTURERA</a:t>
          </a:r>
        </a:p>
      </xdr:txBody>
    </xdr:sp>
    <xdr:clientData/>
  </xdr:twoCellAnchor>
  <xdr:twoCellAnchor>
    <xdr:from>
      <xdr:col>4</xdr:col>
      <xdr:colOff>742950</xdr:colOff>
      <xdr:row>12</xdr:row>
      <xdr:rowOff>123825</xdr:rowOff>
    </xdr:from>
    <xdr:to>
      <xdr:col>11</xdr:col>
      <xdr:colOff>609600</xdr:colOff>
      <xdr:row>15</xdr:row>
      <xdr:rowOff>38100</xdr:rowOff>
    </xdr:to>
    <xdr:sp macro="" textlink="">
      <xdr:nvSpPr>
        <xdr:cNvPr id="21574" name="Text Box 70">
          <a:extLst>
            <a:ext uri="{FF2B5EF4-FFF2-40B4-BE49-F238E27FC236}">
              <a16:creationId xmlns:a16="http://schemas.microsoft.com/office/drawing/2014/main" id="{5C341082-45CA-48AE-B5EF-8C369C41DED0}"/>
            </a:ext>
          </a:extLst>
        </xdr:cNvPr>
        <xdr:cNvSpPr txBox="1">
          <a:spLocks noChangeArrowheads="1"/>
        </xdr:cNvSpPr>
      </xdr:nvSpPr>
      <xdr:spPr bwMode="auto">
        <a:xfrm>
          <a:off x="3262313" y="2171700"/>
          <a:ext cx="4681537" cy="400050"/>
        </a:xfrm>
        <a:prstGeom prst="rect">
          <a:avLst/>
        </a:prstGeom>
        <a:solidFill>
          <a:srgbClr xmlns:mc="http://schemas.openxmlformats.org/markup-compatibility/2006" xmlns:a14="http://schemas.microsoft.com/office/drawing/2010/main" val="003366" mc:Ignorable="a14" a14:legacySpreadsheetColorIndex="56">
            <a:alpha val="7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0" bIns="36576" anchor="ctr" upright="1"/>
        <a:lstStyle/>
        <a:p>
          <a:pPr algn="l" rtl="0">
            <a:lnSpc>
              <a:spcPts val="900"/>
            </a:lnSpc>
            <a:defRPr sz="1000"/>
          </a:pPr>
          <a:r>
            <a:rPr lang="en-HK" sz="900" b="1" i="0" u="none" strike="noStrike" baseline="0">
              <a:solidFill>
                <a:srgbClr val="FFFFFF"/>
              </a:solidFill>
              <a:latin typeface="Arial"/>
              <a:cs typeface="Arial"/>
            </a:rPr>
            <a:t> Para  empresas  con  Ventas  Netas MENORES a </a:t>
          </a:r>
        </a:p>
        <a:p>
          <a:pPr algn="l" rtl="0">
            <a:lnSpc>
              <a:spcPts val="800"/>
            </a:lnSpc>
            <a:defRPr sz="1000"/>
          </a:pPr>
          <a:r>
            <a:rPr lang="en-HK" sz="900" b="1" i="0" u="none" strike="noStrike" baseline="0">
              <a:solidFill>
                <a:srgbClr val="FFFFFF"/>
              </a:solidFill>
              <a:latin typeface="Arial"/>
              <a:cs typeface="Arial"/>
            </a:rPr>
            <a:t> 300 000 Nuevos Soles</a:t>
          </a:r>
        </a:p>
      </xdr:txBody>
    </xdr:sp>
    <xdr:clientData/>
  </xdr:twoCellAnchor>
  <xdr:twoCellAnchor>
    <xdr:from>
      <xdr:col>1</xdr:col>
      <xdr:colOff>938213</xdr:colOff>
      <xdr:row>0</xdr:row>
      <xdr:rowOff>0</xdr:rowOff>
    </xdr:from>
    <xdr:to>
      <xdr:col>12</xdr:col>
      <xdr:colOff>681038</xdr:colOff>
      <xdr:row>28</xdr:row>
      <xdr:rowOff>57150</xdr:rowOff>
    </xdr:to>
    <xdr:sp macro="" textlink="">
      <xdr:nvSpPr>
        <xdr:cNvPr id="21566" name="Rectangle 62">
          <a:extLst>
            <a:ext uri="{FF2B5EF4-FFF2-40B4-BE49-F238E27FC236}">
              <a16:creationId xmlns:a16="http://schemas.microsoft.com/office/drawing/2014/main" id="{6E865389-4F90-4F48-B220-89EF2253E99A}"/>
            </a:ext>
          </a:extLst>
        </xdr:cNvPr>
        <xdr:cNvSpPr>
          <a:spLocks noChangeArrowheads="1"/>
        </xdr:cNvSpPr>
      </xdr:nvSpPr>
      <xdr:spPr bwMode="auto">
        <a:xfrm>
          <a:off x="1419225" y="0"/>
          <a:ext cx="7410450" cy="5005388"/>
        </a:xfrm>
        <a:prstGeom prst="rect">
          <a:avLst/>
        </a:prstGeom>
        <a:solidFill>
          <a:srgbClr xmlns:mc="http://schemas.openxmlformats.org/markup-compatibility/2006" xmlns:a14="http://schemas.microsoft.com/office/drawing/2010/main" val="FFCC00" mc:Ignorable="a14" a14:legacySpreadsheetColorIndex="51">
            <a:alpha val="3999"/>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11</xdr:row>
      <xdr:rowOff>66675</xdr:rowOff>
    </xdr:from>
    <xdr:to>
      <xdr:col>11</xdr:col>
      <xdr:colOff>609600</xdr:colOff>
      <xdr:row>16</xdr:row>
      <xdr:rowOff>133350</xdr:rowOff>
    </xdr:to>
    <xdr:sp macro="" textlink="">
      <xdr:nvSpPr>
        <xdr:cNvPr id="21571" name="Rectangle 67">
          <a:extLst>
            <a:ext uri="{FF2B5EF4-FFF2-40B4-BE49-F238E27FC236}">
              <a16:creationId xmlns:a16="http://schemas.microsoft.com/office/drawing/2014/main" id="{196B93A2-08E6-4A74-83ED-A36B63182A98}"/>
            </a:ext>
          </a:extLst>
        </xdr:cNvPr>
        <xdr:cNvSpPr>
          <a:spLocks noChangeArrowheads="1"/>
        </xdr:cNvSpPr>
      </xdr:nvSpPr>
      <xdr:spPr bwMode="auto">
        <a:xfrm>
          <a:off x="0" y="1952625"/>
          <a:ext cx="7943850" cy="876300"/>
        </a:xfrm>
        <a:prstGeom prst="rect">
          <a:avLst/>
        </a:prstGeom>
        <a:solidFill>
          <a:srgbClr xmlns:mc="http://schemas.openxmlformats.org/markup-compatibility/2006" xmlns:a14="http://schemas.microsoft.com/office/drawing/2010/main" val="003366" mc:Ignorable="a14" a14:legacySpreadsheetColorIndex="56">
            <a:alpha val="10001"/>
          </a:srgbClr>
        </a:solidFill>
        <a:ln>
          <a:noFill/>
        </a:ln>
        <a:effectLst/>
        <a:extLst>
          <a:ext uri="{91240B29-F687-4F45-9708-019B960494DF}">
            <a14:hiddenLine xmlns:a14="http://schemas.microsoft.com/office/drawing/2010/main" w="12700" algn="ctr">
              <a:solidFill>
                <a:srgbClr xmlns:mc="http://schemas.openxmlformats.org/markup-compatibility/2006" val="800000" mc:Ignorable="a14" a14:legacySpreadsheetColorIndex="16"/>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0</xdr:rowOff>
    </xdr:from>
    <xdr:to>
      <xdr:col>1</xdr:col>
      <xdr:colOff>952500</xdr:colOff>
      <xdr:row>72</xdr:row>
      <xdr:rowOff>104775</xdr:rowOff>
    </xdr:to>
    <xdr:sp macro="" textlink="">
      <xdr:nvSpPr>
        <xdr:cNvPr id="21572" name="Rectangle 68">
          <a:extLst>
            <a:ext uri="{FF2B5EF4-FFF2-40B4-BE49-F238E27FC236}">
              <a16:creationId xmlns:a16="http://schemas.microsoft.com/office/drawing/2014/main" id="{8CFC56A6-6FF0-47E0-AB2E-75B24EDC4A22}"/>
            </a:ext>
          </a:extLst>
        </xdr:cNvPr>
        <xdr:cNvSpPr>
          <a:spLocks noChangeArrowheads="1"/>
        </xdr:cNvSpPr>
      </xdr:nvSpPr>
      <xdr:spPr bwMode="auto">
        <a:xfrm>
          <a:off x="0" y="0"/>
          <a:ext cx="1433513" cy="12177713"/>
        </a:xfrm>
        <a:prstGeom prst="rect">
          <a:avLst/>
        </a:prstGeom>
        <a:solidFill>
          <a:srgbClr xmlns:mc="http://schemas.openxmlformats.org/markup-compatibility/2006" xmlns:a14="http://schemas.microsoft.com/office/drawing/2010/main" val="008000" mc:Ignorable="a14" a14:legacySpreadsheetColorIndex="17">
            <a:alpha val="10001"/>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0</xdr:col>
          <xdr:colOff>114300</xdr:colOff>
          <xdr:row>17</xdr:row>
          <xdr:rowOff>0</xdr:rowOff>
        </xdr:from>
        <xdr:to>
          <xdr:col>1</xdr:col>
          <xdr:colOff>847725</xdr:colOff>
          <xdr:row>19</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FC877529-AC9A-4570-93C2-6B52C5EE4FB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3366"/>
                  </a:solidFill>
                  <a:latin typeface="Arial Narrow"/>
                </a:rPr>
                <a:t>MANUAL DE</a:t>
              </a:r>
            </a:p>
            <a:p>
              <a:pPr algn="ctr" rtl="0">
                <a:defRPr sz="1000"/>
              </a:pPr>
              <a:r>
                <a:rPr lang="en-HK" sz="800" b="1" i="0" u="none" strike="noStrike" baseline="0">
                  <a:solidFill>
                    <a:srgbClr val="003366"/>
                  </a:solidFill>
                  <a:latin typeface="Arial Narrow"/>
                </a:rPr>
                <a:t>INSTALACION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1204913</xdr:colOff>
          <xdr:row>13</xdr:row>
          <xdr:rowOff>38100</xdr:rowOff>
        </xdr:from>
        <xdr:to>
          <xdr:col>11</xdr:col>
          <xdr:colOff>385763</xdr:colOff>
          <xdr:row>14</xdr:row>
          <xdr:rowOff>142875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75A45E51-2AB5-4888-AB02-0F470F92F59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1400" b="1" i="0" u="none" strike="noStrike" baseline="0">
                  <a:solidFill>
                    <a:srgbClr val="003366"/>
                  </a:solidFill>
                  <a:latin typeface="Arial Narrow"/>
                </a:rPr>
                <a:t>»</a:t>
              </a:r>
              <a:r>
                <a:rPr lang="en-HK" sz="800" b="1" i="0" u="none" strike="noStrike" baseline="0">
                  <a:solidFill>
                    <a:srgbClr val="003366"/>
                  </a:solidFill>
                  <a:latin typeface="Arial Narrow"/>
                </a:rPr>
                <a:t> INGRESE AL 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xdr:row>
          <xdr:rowOff>57150</xdr:rowOff>
        </xdr:from>
        <xdr:to>
          <xdr:col>1</xdr:col>
          <xdr:colOff>847725</xdr:colOff>
          <xdr:row>16</xdr:row>
          <xdr:rowOff>57150</xdr:rowOff>
        </xdr:to>
        <xdr:sp macro="" textlink="">
          <xdr:nvSpPr>
            <xdr:cNvPr id="21528" name="Button 24" hidden="1">
              <a:extLst>
                <a:ext uri="{63B3BB69-23CF-44E3-9099-C40C66FF867C}">
                  <a14:compatExt spid="_x0000_s21528"/>
                </a:ext>
                <a:ext uri="{FF2B5EF4-FFF2-40B4-BE49-F238E27FC236}">
                  <a16:creationId xmlns:a16="http://schemas.microsoft.com/office/drawing/2014/main" id="{A353BC42-1B1E-4866-BA31-3D07E49BBEA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3366"/>
                  </a:solidFill>
                  <a:latin typeface="Arial"/>
                  <a:cs typeface="Arial"/>
                </a:rPr>
                <a:t>INSTRUCCIONES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11</xdr:row>
          <xdr:rowOff>104775</xdr:rowOff>
        </xdr:from>
        <xdr:to>
          <xdr:col>1</xdr:col>
          <xdr:colOff>857250</xdr:colOff>
          <xdr:row>13</xdr:row>
          <xdr:rowOff>104775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2B597C99-6EE1-4AAF-8655-9180F8DC05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3366"/>
                  </a:solidFill>
                  <a:latin typeface="Arial Narrow"/>
                </a:rPr>
                <a:t>BASE LEGAL</a:t>
              </a:r>
            </a:p>
          </xdr:txBody>
        </xdr:sp>
        <xdr:clientData/>
      </xdr:twoCellAnchor>
    </mc:Choice>
    <mc:Fallback/>
  </mc:AlternateContent>
  <xdr:twoCellAnchor>
    <xdr:from>
      <xdr:col>3</xdr:col>
      <xdr:colOff>171450</xdr:colOff>
      <xdr:row>18</xdr:row>
      <xdr:rowOff>76200</xdr:rowOff>
    </xdr:from>
    <xdr:to>
      <xdr:col>11</xdr:col>
      <xdr:colOff>490538</xdr:colOff>
      <xdr:row>23</xdr:row>
      <xdr:rowOff>28575</xdr:rowOff>
    </xdr:to>
    <xdr:sp macro="" textlink="">
      <xdr:nvSpPr>
        <xdr:cNvPr id="21540" name="Text Box 36">
          <a:extLst>
            <a:ext uri="{FF2B5EF4-FFF2-40B4-BE49-F238E27FC236}">
              <a16:creationId xmlns:a16="http://schemas.microsoft.com/office/drawing/2014/main" id="{287CD87F-AA95-48CF-AFA2-C478C78006F5}"/>
            </a:ext>
          </a:extLst>
        </xdr:cNvPr>
        <xdr:cNvSpPr txBox="1">
          <a:spLocks noChangeArrowheads="1"/>
        </xdr:cNvSpPr>
      </xdr:nvSpPr>
      <xdr:spPr bwMode="auto">
        <a:xfrm>
          <a:off x="1876425" y="3095625"/>
          <a:ext cx="5948363" cy="766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just" rtl="0">
            <a:defRPr sz="1000"/>
          </a:pPr>
          <a:r>
            <a:rPr lang="en-HK" sz="800" b="1" i="0" u="none" strike="noStrike" baseline="0">
              <a:solidFill>
                <a:srgbClr val="000000"/>
              </a:solidFill>
              <a:latin typeface="Arial"/>
              <a:cs typeface="Arial"/>
            </a:rPr>
            <a:t>Están obligadas a diligenciar este formulario, las empresas manufactureras con ventas netas menores  a  S/. 300 000 , ubicadas dentro del territorio nacional, que se dedican a la transformación mecánica o química de sustancias inorgánicas u orgánicas en productos nuevos, incluye también los procesos de montaje de las partes que componen los productos manufacturados. </a:t>
          </a:r>
        </a:p>
      </xdr:txBody>
    </xdr:sp>
    <xdr:clientData/>
  </xdr:twoCellAnchor>
  <xdr:twoCellAnchor editAs="oneCell">
    <xdr:from>
      <xdr:col>0</xdr:col>
      <xdr:colOff>71438</xdr:colOff>
      <xdr:row>5</xdr:row>
      <xdr:rowOff>9525</xdr:rowOff>
    </xdr:from>
    <xdr:to>
      <xdr:col>1</xdr:col>
      <xdr:colOff>795338</xdr:colOff>
      <xdr:row>8</xdr:row>
      <xdr:rowOff>47625</xdr:rowOff>
    </xdr:to>
    <xdr:pic>
      <xdr:nvPicPr>
        <xdr:cNvPr id="21548" name="Picture 44">
          <a:extLst>
            <a:ext uri="{FF2B5EF4-FFF2-40B4-BE49-F238E27FC236}">
              <a16:creationId xmlns:a16="http://schemas.microsoft.com/office/drawing/2014/main" id="{37551822-2441-492F-A2C1-D4AC173D3356}"/>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438" y="676275"/>
          <a:ext cx="1204912" cy="671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133350</xdr:colOff>
          <xdr:row>8</xdr:row>
          <xdr:rowOff>195263</xdr:rowOff>
        </xdr:from>
        <xdr:to>
          <xdr:col>1</xdr:col>
          <xdr:colOff>866775</xdr:colOff>
          <xdr:row>10</xdr:row>
          <xdr:rowOff>95250</xdr:rowOff>
        </xdr:to>
        <xdr:sp macro="" textlink="">
          <xdr:nvSpPr>
            <xdr:cNvPr id="21550" name="Button 46" hidden="1">
              <a:extLst>
                <a:ext uri="{63B3BB69-23CF-44E3-9099-C40C66FF867C}">
                  <a14:compatExt spid="_x0000_s21550"/>
                </a:ext>
                <a:ext uri="{FF2B5EF4-FFF2-40B4-BE49-F238E27FC236}">
                  <a16:creationId xmlns:a16="http://schemas.microsoft.com/office/drawing/2014/main" id="{8D4652D0-9723-4185-8191-25DC00FBC09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32004" rIns="36576" bIns="32004" anchor="ctr" upright="1"/>
            <a:lstStyle/>
            <a:p>
              <a:pPr algn="ctr" rtl="0">
                <a:defRPr sz="1000"/>
              </a:pPr>
              <a:r>
                <a:rPr lang="en-HK" sz="800" b="1" i="0" u="none" strike="noStrike" baseline="0">
                  <a:solidFill>
                    <a:srgbClr val="003366"/>
                  </a:solidFill>
                  <a:latin typeface="Arial Narrow"/>
                </a:rPr>
                <a:t>CONSULTAS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19</xdr:row>
          <xdr:rowOff>119063</xdr:rowOff>
        </xdr:from>
        <xdr:to>
          <xdr:col>1</xdr:col>
          <xdr:colOff>847725</xdr:colOff>
          <xdr:row>21</xdr:row>
          <xdr:rowOff>114300</xdr:rowOff>
        </xdr:to>
        <xdr:sp macro="" textlink="">
          <xdr:nvSpPr>
            <xdr:cNvPr id="21562" name="Button 58" hidden="1">
              <a:extLst>
                <a:ext uri="{63B3BB69-23CF-44E3-9099-C40C66FF867C}">
                  <a14:compatExt spid="_x0000_s21562"/>
                </a:ext>
                <a:ext uri="{FF2B5EF4-FFF2-40B4-BE49-F238E27FC236}">
                  <a16:creationId xmlns:a16="http://schemas.microsoft.com/office/drawing/2014/main" id="{1D6B0A40-0B06-4038-8963-0F58CEE607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3366"/>
                  </a:solidFill>
                  <a:latin typeface="Arial Narrow"/>
                </a:rPr>
                <a:t>ENTREGA DE ARCHIVOS TXT</a:t>
              </a:r>
            </a:p>
          </xdr:txBody>
        </xdr:sp>
        <xdr:clientData/>
      </xdr:twoCellAnchor>
    </mc:Choice>
    <mc:Fallback/>
  </mc:AlternateContent>
  <xdr:twoCellAnchor editAs="oneCell">
    <xdr:from>
      <xdr:col>3</xdr:col>
      <xdr:colOff>252413</xdr:colOff>
      <xdr:row>11</xdr:row>
      <xdr:rowOff>76200</xdr:rowOff>
    </xdr:from>
    <xdr:to>
      <xdr:col>4</xdr:col>
      <xdr:colOff>538163</xdr:colOff>
      <xdr:row>16</xdr:row>
      <xdr:rowOff>123825</xdr:rowOff>
    </xdr:to>
    <xdr:pic>
      <xdr:nvPicPr>
        <xdr:cNvPr id="21565" name="Picture 61">
          <a:extLst>
            <a:ext uri="{FF2B5EF4-FFF2-40B4-BE49-F238E27FC236}">
              <a16:creationId xmlns:a16="http://schemas.microsoft.com/office/drawing/2014/main" id="{A86C03D1-8A0B-44FF-87D3-CC5661FDEA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7388" y="1962150"/>
          <a:ext cx="1100137"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366713</xdr:colOff>
      <xdr:row>0</xdr:row>
      <xdr:rowOff>28575</xdr:rowOff>
    </xdr:from>
    <xdr:to>
      <xdr:col>11</xdr:col>
      <xdr:colOff>481013</xdr:colOff>
      <xdr:row>5</xdr:row>
      <xdr:rowOff>9525</xdr:rowOff>
    </xdr:to>
    <xdr:pic>
      <xdr:nvPicPr>
        <xdr:cNvPr id="21567" name="Picture 63" descr="logoeea">
          <a:extLst>
            <a:ext uri="{FF2B5EF4-FFF2-40B4-BE49-F238E27FC236}">
              <a16:creationId xmlns:a16="http://schemas.microsoft.com/office/drawing/2014/main" id="{6065C049-E66F-4428-BEBB-D1922E8910BB}"/>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815138" y="28575"/>
          <a:ext cx="10001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900113</xdr:colOff>
      <xdr:row>2</xdr:row>
      <xdr:rowOff>76200</xdr:rowOff>
    </xdr:to>
    <xdr:pic>
      <xdr:nvPicPr>
        <xdr:cNvPr id="21568" name="Picture 64" descr="logo produce">
          <a:extLst>
            <a:ext uri="{FF2B5EF4-FFF2-40B4-BE49-F238E27FC236}">
              <a16:creationId xmlns:a16="http://schemas.microsoft.com/office/drawing/2014/main" id="{7095B4B0-D501-4994-A348-2069F05B9B24}"/>
            </a:ext>
          </a:extLst>
        </xdr:cNvPr>
        <xdr:cNvPicPr>
          <a:picLocks noChangeAspect="1" noChangeArrowheads="1"/>
        </xdr:cNvPicPr>
      </xdr:nvPicPr>
      <xdr:blipFill>
        <a:blip xmlns:r="http://schemas.openxmlformats.org/officeDocument/2006/relationships" r:embed="rId4">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0" y="0"/>
          <a:ext cx="1381125" cy="4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7</xdr:row>
      <xdr:rowOff>0</xdr:rowOff>
    </xdr:from>
    <xdr:to>
      <xdr:col>9</xdr:col>
      <xdr:colOff>400050</xdr:colOff>
      <xdr:row>8</xdr:row>
      <xdr:rowOff>38100</xdr:rowOff>
    </xdr:to>
    <xdr:sp macro="" textlink="">
      <xdr:nvSpPr>
        <xdr:cNvPr id="21575" name="Rectangle 71">
          <a:extLst>
            <a:ext uri="{FF2B5EF4-FFF2-40B4-BE49-F238E27FC236}">
              <a16:creationId xmlns:a16="http://schemas.microsoft.com/office/drawing/2014/main" id="{9ACA5C29-B5B9-4646-9E0E-42F9871AF648}"/>
            </a:ext>
          </a:extLst>
        </xdr:cNvPr>
        <xdr:cNvSpPr>
          <a:spLocks noChangeArrowheads="1"/>
        </xdr:cNvSpPr>
      </xdr:nvSpPr>
      <xdr:spPr bwMode="auto">
        <a:xfrm>
          <a:off x="1633538" y="1038225"/>
          <a:ext cx="5214937" cy="300038"/>
        </a:xfrm>
        <a:prstGeom prst="rect">
          <a:avLst/>
        </a:prstGeom>
        <a:solidFill>
          <a:srgbClr xmlns:mc="http://schemas.openxmlformats.org/markup-compatibility/2006" xmlns:a14="http://schemas.microsoft.com/office/drawing/2010/main" val="003366" mc:Ignorable="a14" a14:legacySpreadsheetColorIndex="56">
            <a:alpha val="10001"/>
          </a:srgbClr>
        </a:solidFill>
        <a:ln>
          <a:noFill/>
        </a:ln>
        <a:effectLst/>
        <a:extLst>
          <a:ext uri="{91240B29-F687-4F45-9708-019B960494DF}">
            <a14:hiddenLine xmlns:a14="http://schemas.microsoft.com/office/drawing/2010/main" w="12700" algn="ctr">
              <a:solidFill>
                <a:srgbClr xmlns:mc="http://schemas.openxmlformats.org/markup-compatibility/2006" val="800000" mc:Ignorable="a14" a14:legacySpreadsheetColorIndex="16"/>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73152" tIns="59436" rIns="73152" bIns="59436" anchor="ctr" upright="1"/>
        <a:lstStyle/>
        <a:p>
          <a:pPr algn="ctr" rtl="0">
            <a:defRPr sz="1000"/>
          </a:pPr>
          <a:r>
            <a:rPr lang="en-HK" sz="1800" b="1" i="0" u="none" strike="noStrike" baseline="0">
              <a:solidFill>
                <a:srgbClr val="000000"/>
              </a:solidFill>
              <a:latin typeface="Arial"/>
              <a:cs typeface="Arial"/>
            </a:rPr>
            <a:t>FORMATO D</a:t>
          </a:r>
        </a:p>
      </xdr:txBody>
    </xdr:sp>
    <xdr:clientData/>
  </xdr:twoCellAnchor>
  <xdr:twoCellAnchor>
    <xdr:from>
      <xdr:col>9</xdr:col>
      <xdr:colOff>223838</xdr:colOff>
      <xdr:row>7</xdr:row>
      <xdr:rowOff>166688</xdr:rowOff>
    </xdr:from>
    <xdr:to>
      <xdr:col>9</xdr:col>
      <xdr:colOff>509588</xdr:colOff>
      <xdr:row>8</xdr:row>
      <xdr:rowOff>95250</xdr:rowOff>
    </xdr:to>
    <xdr:sp macro="" textlink="">
      <xdr:nvSpPr>
        <xdr:cNvPr id="21576" name="Rectangle 72">
          <a:extLst>
            <a:ext uri="{FF2B5EF4-FFF2-40B4-BE49-F238E27FC236}">
              <a16:creationId xmlns:a16="http://schemas.microsoft.com/office/drawing/2014/main" id="{F1C357A9-D821-499B-B2C2-EEBDCE8E152F}"/>
            </a:ext>
          </a:extLst>
        </xdr:cNvPr>
        <xdr:cNvSpPr>
          <a:spLocks noChangeArrowheads="1"/>
        </xdr:cNvSpPr>
      </xdr:nvSpPr>
      <xdr:spPr bwMode="auto">
        <a:xfrm>
          <a:off x="6672263" y="1204913"/>
          <a:ext cx="285750" cy="190500"/>
        </a:xfrm>
        <a:prstGeom prst="rect">
          <a:avLst/>
        </a:prstGeom>
        <a:solidFill>
          <a:srgbClr xmlns:mc="http://schemas.openxmlformats.org/markup-compatibility/2006" xmlns:a14="http://schemas.microsoft.com/office/drawing/2010/main" val="800000" mc:Ignorable="a14" a14:legacySpreadsheetColorIndex="16">
            <a:alpha val="10001"/>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1023938</xdr:colOff>
      <xdr:row>4</xdr:row>
      <xdr:rowOff>28575</xdr:rowOff>
    </xdr:from>
    <xdr:to>
      <xdr:col>3</xdr:col>
      <xdr:colOff>80963</xdr:colOff>
      <xdr:row>5</xdr:row>
      <xdr:rowOff>133350</xdr:rowOff>
    </xdr:to>
    <xdr:sp macro="" textlink="">
      <xdr:nvSpPr>
        <xdr:cNvPr id="21580" name="Rectangle 76">
          <a:extLst>
            <a:ext uri="{FF2B5EF4-FFF2-40B4-BE49-F238E27FC236}">
              <a16:creationId xmlns:a16="http://schemas.microsoft.com/office/drawing/2014/main" id="{347ED3CC-4F35-4EB7-9CE8-A2C2B09F2AC1}"/>
            </a:ext>
          </a:extLst>
        </xdr:cNvPr>
        <xdr:cNvSpPr>
          <a:spLocks noChangeArrowheads="1"/>
        </xdr:cNvSpPr>
      </xdr:nvSpPr>
      <xdr:spPr bwMode="auto">
        <a:xfrm>
          <a:off x="1504950" y="609600"/>
          <a:ext cx="280988" cy="190500"/>
        </a:xfrm>
        <a:prstGeom prst="rect">
          <a:avLst/>
        </a:prstGeom>
        <a:solidFill>
          <a:srgbClr xmlns:mc="http://schemas.openxmlformats.org/markup-compatibility/2006" xmlns:a14="http://schemas.microsoft.com/office/drawing/2010/main" val="808080" mc:Ignorable="a14" a14:legacySpreadsheetColorIndex="23">
            <a:alpha val="2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1143000</xdr:colOff>
      <xdr:row>2</xdr:row>
      <xdr:rowOff>57150</xdr:rowOff>
    </xdr:from>
    <xdr:to>
      <xdr:col>3</xdr:col>
      <xdr:colOff>2705100</xdr:colOff>
      <xdr:row>2</xdr:row>
      <xdr:rowOff>276225</xdr:rowOff>
    </xdr:to>
    <xdr:sp macro="" textlink="">
      <xdr:nvSpPr>
        <xdr:cNvPr id="58372" name="Rectangle 4">
          <a:hlinkClick xmlns:r="http://schemas.openxmlformats.org/officeDocument/2006/relationships" r:id="rId1"/>
          <a:extLst>
            <a:ext uri="{FF2B5EF4-FFF2-40B4-BE49-F238E27FC236}">
              <a16:creationId xmlns:a16="http://schemas.microsoft.com/office/drawing/2014/main" id="{74CE95FD-AEDF-4DE3-B9B4-FD27BBC8951E}"/>
            </a:ext>
          </a:extLst>
        </xdr:cNvPr>
        <xdr:cNvSpPr>
          <a:spLocks noChangeArrowheads="1"/>
        </xdr:cNvSpPr>
      </xdr:nvSpPr>
      <xdr:spPr bwMode="auto">
        <a:xfrm>
          <a:off x="2066925" y="1266825"/>
          <a:ext cx="15621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xtLst>
          <a:ext uri="{91240B29-F687-4F45-9708-019B960494DF}">
            <a14:hiddenLine xmlns:a14="http://schemas.microsoft.com/office/drawing/2010/main" w="19050">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45720" bIns="0" anchor="t" upright="1"/>
        <a:lstStyle/>
        <a:p>
          <a:pPr algn="ctr" rtl="0">
            <a:defRPr sz="1000"/>
          </a:pPr>
          <a:r>
            <a:rPr lang="en-HK" sz="900" b="1" i="0" u="sng" strike="noStrike" baseline="0">
              <a:solidFill>
                <a:srgbClr val="000000"/>
              </a:solidFill>
              <a:latin typeface="Arial"/>
              <a:cs typeface="Arial"/>
            </a:rPr>
            <a:t>Ir a Menú Instrucciones</a:t>
          </a:r>
        </a:p>
      </xdr:txBody>
    </xdr:sp>
    <xdr:clientData/>
  </xdr:twoCellAnchor>
  <xdr:twoCellAnchor>
    <xdr:from>
      <xdr:col>3</xdr:col>
      <xdr:colOff>4310063</xdr:colOff>
      <xdr:row>2</xdr:row>
      <xdr:rowOff>57150</xdr:rowOff>
    </xdr:from>
    <xdr:to>
      <xdr:col>3</xdr:col>
      <xdr:colOff>5757863</xdr:colOff>
      <xdr:row>2</xdr:row>
      <xdr:rowOff>276225</xdr:rowOff>
    </xdr:to>
    <xdr:sp macro="" textlink="">
      <xdr:nvSpPr>
        <xdr:cNvPr id="58373" name="Rectangle 5">
          <a:hlinkClick xmlns:r="http://schemas.openxmlformats.org/officeDocument/2006/relationships" r:id="rId2"/>
          <a:extLst>
            <a:ext uri="{FF2B5EF4-FFF2-40B4-BE49-F238E27FC236}">
              <a16:creationId xmlns:a16="http://schemas.microsoft.com/office/drawing/2014/main" id="{D0C3AF05-C745-49AC-B232-3985CE2649CF}"/>
            </a:ext>
          </a:extLst>
        </xdr:cNvPr>
        <xdr:cNvSpPr>
          <a:spLocks noChangeArrowheads="1"/>
        </xdr:cNvSpPr>
      </xdr:nvSpPr>
      <xdr:spPr bwMode="auto">
        <a:xfrm>
          <a:off x="5233988" y="1266825"/>
          <a:ext cx="14478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xtLst>
          <a:ext uri="{91240B29-F687-4F45-9708-019B960494DF}">
            <a14:hiddenLine xmlns:a14="http://schemas.microsoft.com/office/drawing/2010/main" w="19050">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45720" bIns="0" anchor="t" upright="1"/>
        <a:lstStyle/>
        <a:p>
          <a:pPr algn="ctr" rtl="0">
            <a:defRPr sz="1000"/>
          </a:pPr>
          <a:r>
            <a:rPr lang="en-HK" sz="900" b="1" i="0" u="sng" strike="noStrike" baseline="0">
              <a:solidFill>
                <a:srgbClr val="000000"/>
              </a:solidFill>
              <a:latin typeface="Arial"/>
              <a:cs typeface="Arial"/>
            </a:rPr>
            <a:t>Ir a Menú Formulario</a:t>
          </a:r>
        </a:p>
      </xdr:txBody>
    </xdr:sp>
    <xdr:clientData/>
  </xdr:twoCellAnchor>
  <xdr:twoCellAnchor>
    <xdr:from>
      <xdr:col>3</xdr:col>
      <xdr:colOff>2724150</xdr:colOff>
      <xdr:row>2</xdr:row>
      <xdr:rowOff>57150</xdr:rowOff>
    </xdr:from>
    <xdr:to>
      <xdr:col>3</xdr:col>
      <xdr:colOff>4286250</xdr:colOff>
      <xdr:row>2</xdr:row>
      <xdr:rowOff>276225</xdr:rowOff>
    </xdr:to>
    <xdr:sp macro="" textlink="">
      <xdr:nvSpPr>
        <xdr:cNvPr id="58374" name="Rectangle 6">
          <a:hlinkClick xmlns:r="http://schemas.openxmlformats.org/officeDocument/2006/relationships" r:id="rId3"/>
          <a:extLst>
            <a:ext uri="{FF2B5EF4-FFF2-40B4-BE49-F238E27FC236}">
              <a16:creationId xmlns:a16="http://schemas.microsoft.com/office/drawing/2014/main" id="{C115841D-493D-4707-8AB7-699234ECB5EB}"/>
            </a:ext>
          </a:extLst>
        </xdr:cNvPr>
        <xdr:cNvSpPr>
          <a:spLocks noChangeArrowheads="1"/>
        </xdr:cNvSpPr>
      </xdr:nvSpPr>
      <xdr:spPr bwMode="auto">
        <a:xfrm>
          <a:off x="3648075" y="1266825"/>
          <a:ext cx="15621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xtLst>
          <a:ext uri="{91240B29-F687-4F45-9708-019B960494DF}">
            <a14:hiddenLine xmlns:a14="http://schemas.microsoft.com/office/drawing/2010/main" w="19050">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45720" bIns="0" anchor="t" upright="1"/>
        <a:lstStyle/>
        <a:p>
          <a:pPr algn="ctr" rtl="0">
            <a:defRPr sz="1000"/>
          </a:pPr>
          <a:r>
            <a:rPr lang="en-HK" sz="900" b="1" i="0" u="sng" strike="noStrike" baseline="0">
              <a:solidFill>
                <a:srgbClr val="000000"/>
              </a:solidFill>
              <a:latin typeface="Arial"/>
              <a:cs typeface="Arial"/>
            </a:rPr>
            <a:t>Ir a Manual de Instalación</a:t>
          </a:r>
        </a:p>
      </xdr:txBody>
    </xdr:sp>
    <xdr:clientData/>
  </xdr:twoCellAnchor>
  <xdr:twoCellAnchor>
    <xdr:from>
      <xdr:col>2</xdr:col>
      <xdr:colOff>9525</xdr:colOff>
      <xdr:row>2</xdr:row>
      <xdr:rowOff>57150</xdr:rowOff>
    </xdr:from>
    <xdr:to>
      <xdr:col>3</xdr:col>
      <xdr:colOff>1119188</xdr:colOff>
      <xdr:row>2</xdr:row>
      <xdr:rowOff>276225</xdr:rowOff>
    </xdr:to>
    <xdr:sp macro="" textlink="">
      <xdr:nvSpPr>
        <xdr:cNvPr id="58375" name="Rectangle 7">
          <a:hlinkClick xmlns:r="http://schemas.openxmlformats.org/officeDocument/2006/relationships" r:id="rId4"/>
          <a:extLst>
            <a:ext uri="{FF2B5EF4-FFF2-40B4-BE49-F238E27FC236}">
              <a16:creationId xmlns:a16="http://schemas.microsoft.com/office/drawing/2014/main" id="{0C0A9F17-F867-4BC9-BFCF-DEA01551991C}"/>
            </a:ext>
          </a:extLst>
        </xdr:cNvPr>
        <xdr:cNvSpPr>
          <a:spLocks noChangeArrowheads="1"/>
        </xdr:cNvSpPr>
      </xdr:nvSpPr>
      <xdr:spPr bwMode="auto">
        <a:xfrm>
          <a:off x="485775" y="1266825"/>
          <a:ext cx="1557338"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0">
            <a:defRPr sz="1000"/>
          </a:pPr>
          <a:r>
            <a:rPr lang="en-HK" sz="900" b="1" i="0" u="sng" strike="noStrike" baseline="0">
              <a:solidFill>
                <a:srgbClr val="000000"/>
              </a:solidFill>
              <a:latin typeface="Arial"/>
              <a:cs typeface="Arial"/>
            </a:rPr>
            <a:t>Ir a Menú Principal</a:t>
          </a:r>
        </a:p>
      </xdr:txBody>
    </xdr:sp>
    <xdr:clientData/>
  </xdr:twoCellAnchor>
  <mc:AlternateContent xmlns:mc="http://schemas.openxmlformats.org/markup-compatibility/2006">
    <mc:Choice xmlns:a14="http://schemas.microsoft.com/office/drawing/2010/main" Requires="a14">
      <xdr:twoCellAnchor>
        <xdr:from>
          <xdr:col>3</xdr:col>
          <xdr:colOff>4724400</xdr:colOff>
          <xdr:row>0</xdr:row>
          <xdr:rowOff>628650</xdr:rowOff>
        </xdr:from>
        <xdr:to>
          <xdr:col>3</xdr:col>
          <xdr:colOff>5729288</xdr:colOff>
          <xdr:row>0</xdr:row>
          <xdr:rowOff>962025</xdr:rowOff>
        </xdr:to>
        <xdr:sp macro="" textlink="">
          <xdr:nvSpPr>
            <xdr:cNvPr id="58376" name="Button 8" hidden="1">
              <a:extLst>
                <a:ext uri="{63B3BB69-23CF-44E3-9099-C40C66FF867C}">
                  <a14:compatExt spid="_x0000_s58376"/>
                </a:ext>
                <a:ext uri="{FF2B5EF4-FFF2-40B4-BE49-F238E27FC236}">
                  <a16:creationId xmlns:a16="http://schemas.microsoft.com/office/drawing/2014/main" id="{CFB34871-FA3F-41CB-86D4-0AE23E467D67}"/>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MENU FORMULARIO</a:t>
              </a:r>
            </a:p>
          </xdr:txBody>
        </xdr:sp>
        <xdr:clientData fPrintsWithSheet="0"/>
      </xdr:twoCellAnchor>
    </mc:Choice>
    <mc:Fallback/>
  </mc:AlternateContent>
  <xdr:twoCellAnchor>
    <xdr:from>
      <xdr:col>7</xdr:col>
      <xdr:colOff>223838</xdr:colOff>
      <xdr:row>0</xdr:row>
      <xdr:rowOff>28575</xdr:rowOff>
    </xdr:from>
    <xdr:to>
      <xdr:col>7</xdr:col>
      <xdr:colOff>1100138</xdr:colOff>
      <xdr:row>1</xdr:row>
      <xdr:rowOff>19050</xdr:rowOff>
    </xdr:to>
    <xdr:pic>
      <xdr:nvPicPr>
        <xdr:cNvPr id="58379" name="Picture 11">
          <a:extLst>
            <a:ext uri="{FF2B5EF4-FFF2-40B4-BE49-F238E27FC236}">
              <a16:creationId xmlns:a16="http://schemas.microsoft.com/office/drawing/2014/main" id="{B4161E03-9C32-4EA4-B838-3849DA0C57B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206288" y="28575"/>
          <a:ext cx="8763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223838</xdr:colOff>
      <xdr:row>0</xdr:row>
      <xdr:rowOff>28575</xdr:rowOff>
    </xdr:from>
    <xdr:to>
      <xdr:col>7</xdr:col>
      <xdr:colOff>1100138</xdr:colOff>
      <xdr:row>1</xdr:row>
      <xdr:rowOff>19050</xdr:rowOff>
    </xdr:to>
    <xdr:pic>
      <xdr:nvPicPr>
        <xdr:cNvPr id="58380" name="Picture 12">
          <a:extLst>
            <a:ext uri="{FF2B5EF4-FFF2-40B4-BE49-F238E27FC236}">
              <a16:creationId xmlns:a16="http://schemas.microsoft.com/office/drawing/2014/main" id="{E2CE1AED-484B-4906-9261-CEB9C0A0545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206288" y="28575"/>
          <a:ext cx="8763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400050</xdr:colOff>
          <xdr:row>0</xdr:row>
          <xdr:rowOff>47625</xdr:rowOff>
        </xdr:from>
        <xdr:to>
          <xdr:col>7</xdr:col>
          <xdr:colOff>1390650</xdr:colOff>
          <xdr:row>0</xdr:row>
          <xdr:rowOff>638175</xdr:rowOff>
        </xdr:to>
        <xdr:sp macro="" textlink="">
          <xdr:nvSpPr>
            <xdr:cNvPr id="58384" name="Object 16" hidden="1">
              <a:extLst>
                <a:ext uri="{63B3BB69-23CF-44E3-9099-C40C66FF867C}">
                  <a14:compatExt spid="_x0000_s58384"/>
                </a:ext>
                <a:ext uri="{FF2B5EF4-FFF2-40B4-BE49-F238E27FC236}">
                  <a16:creationId xmlns:a16="http://schemas.microsoft.com/office/drawing/2014/main" id="{CBEFBC0F-E4F2-4759-8241-96F9C895FD8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xdr:from>
      <xdr:col>0</xdr:col>
      <xdr:colOff>0</xdr:colOff>
      <xdr:row>0</xdr:row>
      <xdr:rowOff>0</xdr:rowOff>
    </xdr:from>
    <xdr:to>
      <xdr:col>3</xdr:col>
      <xdr:colOff>4081463</xdr:colOff>
      <xdr:row>0</xdr:row>
      <xdr:rowOff>523875</xdr:rowOff>
    </xdr:to>
    <xdr:sp macro="" textlink="">
      <xdr:nvSpPr>
        <xdr:cNvPr id="58391" name="Text Box 23">
          <a:extLst>
            <a:ext uri="{FF2B5EF4-FFF2-40B4-BE49-F238E27FC236}">
              <a16:creationId xmlns:a16="http://schemas.microsoft.com/office/drawing/2014/main" id="{472516BB-077E-4B2C-867C-8E492B21404E}"/>
            </a:ext>
          </a:extLst>
        </xdr:cNvPr>
        <xdr:cNvSpPr txBox="1">
          <a:spLocks noChangeArrowheads="1"/>
        </xdr:cNvSpPr>
      </xdr:nvSpPr>
      <xdr:spPr bwMode="auto">
        <a:xfrm>
          <a:off x="0" y="0"/>
          <a:ext cx="5005388" cy="523875"/>
        </a:xfrm>
        <a:prstGeom prst="rect">
          <a:avLst/>
        </a:prstGeom>
        <a:solidFill>
          <a:srgbClr xmlns:mc="http://schemas.openxmlformats.org/markup-compatibility/2006" xmlns:a14="http://schemas.microsoft.com/office/drawing/2010/main" val="003366" mc:Ignorable="a14" a14:legacySpreadsheetColorIndex="56">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64008" tIns="59436" rIns="64008" bIns="59436" anchor="ctr" upright="1"/>
        <a:lstStyle/>
        <a:p>
          <a:pPr algn="ctr" rtl="0">
            <a:lnSpc>
              <a:spcPts val="1500"/>
            </a:lnSpc>
            <a:defRPr sz="1000"/>
          </a:pPr>
          <a:r>
            <a:rPr lang="en-HK" sz="1600" b="1" i="0" u="none" strike="noStrike" baseline="0">
              <a:solidFill>
                <a:srgbClr val="000000"/>
              </a:solidFill>
              <a:latin typeface="Arial"/>
              <a:cs typeface="Arial"/>
            </a:rPr>
            <a:t>ENCUESTA ECONÓMICA ANUAL 2006</a:t>
          </a:r>
          <a:endParaRPr lang="en-HK" sz="1000" b="1" i="0" u="none" strike="noStrike" baseline="0">
            <a:solidFill>
              <a:srgbClr val="000000"/>
            </a:solidFill>
            <a:latin typeface="Arial"/>
            <a:cs typeface="Arial"/>
          </a:endParaRPr>
        </a:p>
        <a:p>
          <a:pPr algn="ctr" rtl="0">
            <a:lnSpc>
              <a:spcPts val="1300"/>
            </a:lnSpc>
            <a:defRPr sz="1000"/>
          </a:pPr>
          <a:r>
            <a:rPr lang="en-HK" sz="1400" b="1" i="0" u="none" strike="noStrike" baseline="0">
              <a:solidFill>
                <a:srgbClr val="000000"/>
              </a:solidFill>
              <a:latin typeface="Arial"/>
              <a:cs typeface="Arial"/>
            </a:rPr>
            <a:t>ESTADISTICA MANUFACTURERA</a:t>
          </a:r>
        </a:p>
      </xdr:txBody>
    </xdr:sp>
    <xdr:clientData/>
  </xdr:twoCellAnchor>
  <xdr:twoCellAnchor editAs="oneCell">
    <xdr:from>
      <xdr:col>3</xdr:col>
      <xdr:colOff>4924425</xdr:colOff>
      <xdr:row>0</xdr:row>
      <xdr:rowOff>9525</xdr:rowOff>
    </xdr:from>
    <xdr:to>
      <xdr:col>3</xdr:col>
      <xdr:colOff>5762625</xdr:colOff>
      <xdr:row>0</xdr:row>
      <xdr:rowOff>542925</xdr:rowOff>
    </xdr:to>
    <xdr:pic>
      <xdr:nvPicPr>
        <xdr:cNvPr id="58392" name="Picture 24" descr="logoeea">
          <a:extLst>
            <a:ext uri="{FF2B5EF4-FFF2-40B4-BE49-F238E27FC236}">
              <a16:creationId xmlns:a16="http://schemas.microsoft.com/office/drawing/2014/main" id="{A77DC286-B3E8-4047-897C-83B3D6BFCA7F}"/>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848350" y="9525"/>
          <a:ext cx="8382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3</xdr:row>
      <xdr:rowOff>95250</xdr:rowOff>
    </xdr:from>
    <xdr:to>
      <xdr:col>4</xdr:col>
      <xdr:colOff>1104900</xdr:colOff>
      <xdr:row>3</xdr:row>
      <xdr:rowOff>314325</xdr:rowOff>
    </xdr:to>
    <xdr:sp macro="" textlink="">
      <xdr:nvSpPr>
        <xdr:cNvPr id="57348" name="Rectangle 4">
          <a:hlinkClick xmlns:r="http://schemas.openxmlformats.org/officeDocument/2006/relationships" r:id="rId1"/>
          <a:extLst>
            <a:ext uri="{FF2B5EF4-FFF2-40B4-BE49-F238E27FC236}">
              <a16:creationId xmlns:a16="http://schemas.microsoft.com/office/drawing/2014/main" id="{A5E2EABB-75CC-4FA9-81FD-BC7CD3B0070E}"/>
            </a:ext>
          </a:extLst>
        </xdr:cNvPr>
        <xdr:cNvSpPr>
          <a:spLocks noChangeArrowheads="1"/>
        </xdr:cNvSpPr>
      </xdr:nvSpPr>
      <xdr:spPr bwMode="auto">
        <a:xfrm>
          <a:off x="1852613" y="1362075"/>
          <a:ext cx="1604962"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Base Legal</a:t>
          </a:r>
        </a:p>
      </xdr:txBody>
    </xdr:sp>
    <xdr:clientData/>
  </xdr:twoCellAnchor>
  <xdr:twoCellAnchor>
    <xdr:from>
      <xdr:col>5</xdr:col>
      <xdr:colOff>1285875</xdr:colOff>
      <xdr:row>3</xdr:row>
      <xdr:rowOff>95250</xdr:rowOff>
    </xdr:from>
    <xdr:to>
      <xdr:col>10</xdr:col>
      <xdr:colOff>19050</xdr:colOff>
      <xdr:row>3</xdr:row>
      <xdr:rowOff>314325</xdr:rowOff>
    </xdr:to>
    <xdr:sp macro="" textlink="">
      <xdr:nvSpPr>
        <xdr:cNvPr id="57349" name="Rectangle 5">
          <a:hlinkClick xmlns:r="http://schemas.openxmlformats.org/officeDocument/2006/relationships" r:id="rId2"/>
          <a:extLst>
            <a:ext uri="{FF2B5EF4-FFF2-40B4-BE49-F238E27FC236}">
              <a16:creationId xmlns:a16="http://schemas.microsoft.com/office/drawing/2014/main" id="{D60A9873-1709-4244-B617-FED15F39DF54}"/>
            </a:ext>
          </a:extLst>
        </xdr:cNvPr>
        <xdr:cNvSpPr>
          <a:spLocks noChangeArrowheads="1"/>
        </xdr:cNvSpPr>
      </xdr:nvSpPr>
      <xdr:spPr bwMode="auto">
        <a:xfrm>
          <a:off x="5253038" y="1362075"/>
          <a:ext cx="1604962"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Formulario</a:t>
          </a:r>
        </a:p>
      </xdr:txBody>
    </xdr:sp>
    <xdr:clientData/>
  </xdr:twoCellAnchor>
  <xdr:twoCellAnchor>
    <xdr:from>
      <xdr:col>4</xdr:col>
      <xdr:colOff>1195388</xdr:colOff>
      <xdr:row>3</xdr:row>
      <xdr:rowOff>95250</xdr:rowOff>
    </xdr:from>
    <xdr:to>
      <xdr:col>5</xdr:col>
      <xdr:colOff>1185863</xdr:colOff>
      <xdr:row>3</xdr:row>
      <xdr:rowOff>314325</xdr:rowOff>
    </xdr:to>
    <xdr:sp macro="" textlink="">
      <xdr:nvSpPr>
        <xdr:cNvPr id="57350" name="Rectangle 6">
          <a:hlinkClick xmlns:r="http://schemas.openxmlformats.org/officeDocument/2006/relationships" r:id="rId3"/>
          <a:extLst>
            <a:ext uri="{FF2B5EF4-FFF2-40B4-BE49-F238E27FC236}">
              <a16:creationId xmlns:a16="http://schemas.microsoft.com/office/drawing/2014/main" id="{32E5E1A0-4851-4E46-9036-7395C332B1D3}"/>
            </a:ext>
          </a:extLst>
        </xdr:cNvPr>
        <xdr:cNvSpPr>
          <a:spLocks noChangeArrowheads="1"/>
        </xdr:cNvSpPr>
      </xdr:nvSpPr>
      <xdr:spPr bwMode="auto">
        <a:xfrm>
          <a:off x="3548063" y="1362075"/>
          <a:ext cx="1604962"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Manual de Instalación</a:t>
          </a:r>
        </a:p>
      </xdr:txBody>
    </xdr:sp>
    <xdr:clientData/>
  </xdr:twoCellAnchor>
  <xdr:twoCellAnchor>
    <xdr:from>
      <xdr:col>2</xdr:col>
      <xdr:colOff>9525</xdr:colOff>
      <xdr:row>3</xdr:row>
      <xdr:rowOff>95250</xdr:rowOff>
    </xdr:from>
    <xdr:to>
      <xdr:col>3</xdr:col>
      <xdr:colOff>652463</xdr:colOff>
      <xdr:row>3</xdr:row>
      <xdr:rowOff>314325</xdr:rowOff>
    </xdr:to>
    <xdr:sp macro="" textlink="">
      <xdr:nvSpPr>
        <xdr:cNvPr id="57351" name="Rectangle 7">
          <a:hlinkClick xmlns:r="http://schemas.openxmlformats.org/officeDocument/2006/relationships" r:id="rId4"/>
          <a:extLst>
            <a:ext uri="{FF2B5EF4-FFF2-40B4-BE49-F238E27FC236}">
              <a16:creationId xmlns:a16="http://schemas.microsoft.com/office/drawing/2014/main" id="{B5A0B9C4-4707-4AE6-9BEC-B06393C4E21D}"/>
            </a:ext>
          </a:extLst>
        </xdr:cNvPr>
        <xdr:cNvSpPr>
          <a:spLocks noChangeArrowheads="1"/>
        </xdr:cNvSpPr>
      </xdr:nvSpPr>
      <xdr:spPr bwMode="auto">
        <a:xfrm>
          <a:off x="161925" y="1362075"/>
          <a:ext cx="16002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Principal</a:t>
          </a:r>
        </a:p>
      </xdr:txBody>
    </xdr:sp>
    <xdr:clientData/>
  </xdr:twoCellAnchor>
  <xdr:twoCellAnchor>
    <xdr:from>
      <xdr:col>1</xdr:col>
      <xdr:colOff>0</xdr:colOff>
      <xdr:row>0</xdr:row>
      <xdr:rowOff>0</xdr:rowOff>
    </xdr:from>
    <xdr:to>
      <xdr:col>5</xdr:col>
      <xdr:colOff>1042988</xdr:colOff>
      <xdr:row>1</xdr:row>
      <xdr:rowOff>9525</xdr:rowOff>
    </xdr:to>
    <xdr:sp macro="" textlink="">
      <xdr:nvSpPr>
        <xdr:cNvPr id="57364" name="Text Box 20">
          <a:extLst>
            <a:ext uri="{FF2B5EF4-FFF2-40B4-BE49-F238E27FC236}">
              <a16:creationId xmlns:a16="http://schemas.microsoft.com/office/drawing/2014/main" id="{F0F69EE5-A0B3-42F8-94CA-BDB62D65136D}"/>
            </a:ext>
          </a:extLst>
        </xdr:cNvPr>
        <xdr:cNvSpPr txBox="1">
          <a:spLocks noChangeArrowheads="1"/>
        </xdr:cNvSpPr>
      </xdr:nvSpPr>
      <xdr:spPr bwMode="auto">
        <a:xfrm>
          <a:off x="0" y="0"/>
          <a:ext cx="5010150" cy="523875"/>
        </a:xfrm>
        <a:prstGeom prst="rect">
          <a:avLst/>
        </a:prstGeom>
        <a:solidFill>
          <a:srgbClr xmlns:mc="http://schemas.openxmlformats.org/markup-compatibility/2006" xmlns:a14="http://schemas.microsoft.com/office/drawing/2010/main" val="003366" mc:Ignorable="a14" a14:legacySpreadsheetColorIndex="56">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64008" tIns="59436" rIns="64008" bIns="59436" anchor="ctr" upright="1"/>
        <a:lstStyle/>
        <a:p>
          <a:pPr algn="ctr" rtl="0">
            <a:lnSpc>
              <a:spcPts val="1500"/>
            </a:lnSpc>
            <a:defRPr sz="1000"/>
          </a:pPr>
          <a:r>
            <a:rPr lang="en-HK" sz="1600" b="1" i="0" u="none" strike="noStrike" baseline="0">
              <a:solidFill>
                <a:srgbClr val="000000"/>
              </a:solidFill>
              <a:latin typeface="Arial"/>
              <a:cs typeface="Arial"/>
            </a:rPr>
            <a:t>ENCUESTA ECONÓMICA ANUAL 2006</a:t>
          </a:r>
          <a:endParaRPr lang="en-HK" sz="1000" b="1" i="0" u="none" strike="noStrike" baseline="0">
            <a:solidFill>
              <a:srgbClr val="000000"/>
            </a:solidFill>
            <a:latin typeface="Arial"/>
            <a:cs typeface="Arial"/>
          </a:endParaRPr>
        </a:p>
        <a:p>
          <a:pPr algn="ctr" rtl="0">
            <a:lnSpc>
              <a:spcPts val="1300"/>
            </a:lnSpc>
            <a:defRPr sz="1000"/>
          </a:pPr>
          <a:r>
            <a:rPr lang="en-HK" sz="1400" b="1" i="0" u="none" strike="noStrike" baseline="0">
              <a:solidFill>
                <a:srgbClr val="000000"/>
              </a:solidFill>
              <a:latin typeface="Arial"/>
              <a:cs typeface="Arial"/>
            </a:rPr>
            <a:t>ESTADISTICA MANUFACTURERA</a:t>
          </a:r>
        </a:p>
      </xdr:txBody>
    </xdr:sp>
    <xdr:clientData/>
  </xdr:twoCellAnchor>
  <xdr:twoCellAnchor editAs="oneCell">
    <xdr:from>
      <xdr:col>5</xdr:col>
      <xdr:colOff>1881188</xdr:colOff>
      <xdr:row>0</xdr:row>
      <xdr:rowOff>9525</xdr:rowOff>
    </xdr:from>
    <xdr:to>
      <xdr:col>6</xdr:col>
      <xdr:colOff>676275</xdr:colOff>
      <xdr:row>1</xdr:row>
      <xdr:rowOff>28575</xdr:rowOff>
    </xdr:to>
    <xdr:pic>
      <xdr:nvPicPr>
        <xdr:cNvPr id="57365" name="Picture 21" descr="logoeea">
          <a:extLst>
            <a:ext uri="{FF2B5EF4-FFF2-40B4-BE49-F238E27FC236}">
              <a16:creationId xmlns:a16="http://schemas.microsoft.com/office/drawing/2014/main" id="{42589AAE-BAEF-483E-A0F0-93EE69F3C406}"/>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8350" y="9525"/>
          <a:ext cx="8382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1828800</xdr:colOff>
          <xdr:row>1</xdr:row>
          <xdr:rowOff>114300</xdr:rowOff>
        </xdr:from>
        <xdr:to>
          <xdr:col>6</xdr:col>
          <xdr:colOff>785813</xdr:colOff>
          <xdr:row>1</xdr:row>
          <xdr:rowOff>447675</xdr:rowOff>
        </xdr:to>
        <xdr:sp macro="" textlink="">
          <xdr:nvSpPr>
            <xdr:cNvPr id="57366" name="Button 22" hidden="1">
              <a:extLst>
                <a:ext uri="{63B3BB69-23CF-44E3-9099-C40C66FF867C}">
                  <a14:compatExt spid="_x0000_s57366"/>
                </a:ext>
                <a:ext uri="{FF2B5EF4-FFF2-40B4-BE49-F238E27FC236}">
                  <a16:creationId xmlns:a16="http://schemas.microsoft.com/office/drawing/2014/main" id="{0FFEC5C9-B57C-4C5C-8DEA-F54BA6B089F6}"/>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MENU FORMULARIO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400050</xdr:colOff>
          <xdr:row>3</xdr:row>
          <xdr:rowOff>76200</xdr:rowOff>
        </xdr:from>
        <xdr:to>
          <xdr:col>7</xdr:col>
          <xdr:colOff>609600</xdr:colOff>
          <xdr:row>4</xdr:row>
          <xdr:rowOff>133350</xdr:rowOff>
        </xdr:to>
        <xdr:sp macro="" textlink="">
          <xdr:nvSpPr>
            <xdr:cNvPr id="56327" name="Button 7" hidden="1">
              <a:extLst>
                <a:ext uri="{63B3BB69-23CF-44E3-9099-C40C66FF867C}">
                  <a14:compatExt spid="_x0000_s56327"/>
                </a:ext>
                <a:ext uri="{FF2B5EF4-FFF2-40B4-BE49-F238E27FC236}">
                  <a16:creationId xmlns:a16="http://schemas.microsoft.com/office/drawing/2014/main" id="{664C0FF7-1518-4E96-B38B-2DE7C88099E2}"/>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36576" rIns="36576" bIns="36576" anchor="ctr" upright="1"/>
            <a:lstStyle/>
            <a:p>
              <a:pPr algn="ctr" rtl="0">
                <a:defRPr sz="1000"/>
              </a:pPr>
              <a:r>
                <a:rPr lang="en-HK" sz="900" b="1" i="0" u="none" strike="noStrike" baseline="0">
                  <a:solidFill>
                    <a:srgbClr val="000000"/>
                  </a:solidFill>
                  <a:latin typeface="Arial Narrow"/>
                </a:rPr>
                <a:t>Menu Formulario</a:t>
              </a:r>
            </a:p>
          </xdr:txBody>
        </xdr:sp>
        <xdr:clientData fPrintsWithSheet="0"/>
      </xdr:twoCellAnchor>
    </mc:Choice>
    <mc:Fallback/>
  </mc:AlternateContent>
  <xdr:twoCellAnchor>
    <xdr:from>
      <xdr:col>0</xdr:col>
      <xdr:colOff>42863</xdr:colOff>
      <xdr:row>0</xdr:row>
      <xdr:rowOff>0</xdr:rowOff>
    </xdr:from>
    <xdr:to>
      <xdr:col>5</xdr:col>
      <xdr:colOff>233363</xdr:colOff>
      <xdr:row>1</xdr:row>
      <xdr:rowOff>161925</xdr:rowOff>
    </xdr:to>
    <xdr:sp macro="" textlink="">
      <xdr:nvSpPr>
        <xdr:cNvPr id="56339" name="Text Box 19">
          <a:extLst>
            <a:ext uri="{FF2B5EF4-FFF2-40B4-BE49-F238E27FC236}">
              <a16:creationId xmlns:a16="http://schemas.microsoft.com/office/drawing/2014/main" id="{05C5DED6-83B4-4850-9790-1429787E3A44}"/>
            </a:ext>
          </a:extLst>
        </xdr:cNvPr>
        <xdr:cNvSpPr txBox="1">
          <a:spLocks noChangeArrowheads="1"/>
        </xdr:cNvSpPr>
      </xdr:nvSpPr>
      <xdr:spPr bwMode="auto">
        <a:xfrm>
          <a:off x="42863" y="0"/>
          <a:ext cx="5005387" cy="523875"/>
        </a:xfrm>
        <a:prstGeom prst="rect">
          <a:avLst/>
        </a:prstGeom>
        <a:solidFill>
          <a:srgbClr xmlns:mc="http://schemas.openxmlformats.org/markup-compatibility/2006" xmlns:a14="http://schemas.microsoft.com/office/drawing/2010/main" val="003366" mc:Ignorable="a14" a14:legacySpreadsheetColorIndex="56">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64008" tIns="59436" rIns="64008" bIns="59436" anchor="ctr" upright="1"/>
        <a:lstStyle/>
        <a:p>
          <a:pPr algn="ctr" rtl="0">
            <a:lnSpc>
              <a:spcPts val="1500"/>
            </a:lnSpc>
            <a:defRPr sz="1000"/>
          </a:pPr>
          <a:r>
            <a:rPr lang="en-HK" sz="1600" b="1" i="0" u="none" strike="noStrike" baseline="0">
              <a:solidFill>
                <a:srgbClr val="000000"/>
              </a:solidFill>
              <a:latin typeface="Arial"/>
              <a:cs typeface="Arial"/>
            </a:rPr>
            <a:t>ENCUESTA ECONÓMICA ANUAL 2006</a:t>
          </a:r>
          <a:endParaRPr lang="en-HK" sz="1000" b="1" i="0" u="none" strike="noStrike" baseline="0">
            <a:solidFill>
              <a:srgbClr val="000000"/>
            </a:solidFill>
            <a:latin typeface="Arial"/>
            <a:cs typeface="Arial"/>
          </a:endParaRPr>
        </a:p>
        <a:p>
          <a:pPr algn="ctr" rtl="0">
            <a:lnSpc>
              <a:spcPts val="1300"/>
            </a:lnSpc>
            <a:defRPr sz="1000"/>
          </a:pPr>
          <a:r>
            <a:rPr lang="en-HK" sz="1400" b="1" i="0" u="none" strike="noStrike" baseline="0">
              <a:solidFill>
                <a:srgbClr val="000000"/>
              </a:solidFill>
              <a:latin typeface="Arial"/>
              <a:cs typeface="Arial"/>
            </a:rPr>
            <a:t>ESTADISTICA MANUFACTURERA</a:t>
          </a:r>
        </a:p>
      </xdr:txBody>
    </xdr:sp>
    <xdr:clientData/>
  </xdr:twoCellAnchor>
  <xdr:twoCellAnchor>
    <xdr:from>
      <xdr:col>3</xdr:col>
      <xdr:colOff>600075</xdr:colOff>
      <xdr:row>5</xdr:row>
      <xdr:rowOff>114300</xdr:rowOff>
    </xdr:from>
    <xdr:to>
      <xdr:col>4</xdr:col>
      <xdr:colOff>1047750</xdr:colOff>
      <xdr:row>5</xdr:row>
      <xdr:rowOff>333375</xdr:rowOff>
    </xdr:to>
    <xdr:sp macro="" textlink="">
      <xdr:nvSpPr>
        <xdr:cNvPr id="56340" name="Rectangle 20">
          <a:hlinkClick xmlns:r="http://schemas.openxmlformats.org/officeDocument/2006/relationships" r:id="rId1"/>
          <a:extLst>
            <a:ext uri="{FF2B5EF4-FFF2-40B4-BE49-F238E27FC236}">
              <a16:creationId xmlns:a16="http://schemas.microsoft.com/office/drawing/2014/main" id="{F84C2F19-00FB-4487-BFE1-2BA44CA52CB6}"/>
            </a:ext>
          </a:extLst>
        </xdr:cNvPr>
        <xdr:cNvSpPr>
          <a:spLocks noChangeArrowheads="1"/>
        </xdr:cNvSpPr>
      </xdr:nvSpPr>
      <xdr:spPr bwMode="auto">
        <a:xfrm>
          <a:off x="2019300" y="1709738"/>
          <a:ext cx="16002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Base Legal</a:t>
          </a:r>
        </a:p>
      </xdr:txBody>
    </xdr:sp>
    <xdr:clientData/>
  </xdr:twoCellAnchor>
  <xdr:twoCellAnchor>
    <xdr:from>
      <xdr:col>5</xdr:col>
      <xdr:colOff>642938</xdr:colOff>
      <xdr:row>5</xdr:row>
      <xdr:rowOff>95250</xdr:rowOff>
    </xdr:from>
    <xdr:to>
      <xdr:col>7</xdr:col>
      <xdr:colOff>519113</xdr:colOff>
      <xdr:row>5</xdr:row>
      <xdr:rowOff>314325</xdr:rowOff>
    </xdr:to>
    <xdr:sp macro="" textlink="">
      <xdr:nvSpPr>
        <xdr:cNvPr id="56341" name="Rectangle 21">
          <a:hlinkClick xmlns:r="http://schemas.openxmlformats.org/officeDocument/2006/relationships" r:id="rId2"/>
          <a:extLst>
            <a:ext uri="{FF2B5EF4-FFF2-40B4-BE49-F238E27FC236}">
              <a16:creationId xmlns:a16="http://schemas.microsoft.com/office/drawing/2014/main" id="{7EEEE2B8-AE80-49AB-912D-E29E019F0CB1}"/>
            </a:ext>
          </a:extLst>
        </xdr:cNvPr>
        <xdr:cNvSpPr>
          <a:spLocks noChangeArrowheads="1"/>
        </xdr:cNvSpPr>
      </xdr:nvSpPr>
      <xdr:spPr bwMode="auto">
        <a:xfrm>
          <a:off x="5457825" y="1690688"/>
          <a:ext cx="16002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Formulario</a:t>
          </a:r>
        </a:p>
      </xdr:txBody>
    </xdr:sp>
    <xdr:clientData/>
  </xdr:twoCellAnchor>
  <xdr:twoCellAnchor>
    <xdr:from>
      <xdr:col>4</xdr:col>
      <xdr:colOff>1152525</xdr:colOff>
      <xdr:row>5</xdr:row>
      <xdr:rowOff>104775</xdr:rowOff>
    </xdr:from>
    <xdr:to>
      <xdr:col>5</xdr:col>
      <xdr:colOff>509588</xdr:colOff>
      <xdr:row>5</xdr:row>
      <xdr:rowOff>323850</xdr:rowOff>
    </xdr:to>
    <xdr:sp macro="" textlink="">
      <xdr:nvSpPr>
        <xdr:cNvPr id="56342" name="Rectangle 22">
          <a:hlinkClick xmlns:r="http://schemas.openxmlformats.org/officeDocument/2006/relationships" r:id="rId3"/>
          <a:extLst>
            <a:ext uri="{FF2B5EF4-FFF2-40B4-BE49-F238E27FC236}">
              <a16:creationId xmlns:a16="http://schemas.microsoft.com/office/drawing/2014/main" id="{5DDFA7B8-EBA5-4C3C-821A-0C2E8B349C69}"/>
            </a:ext>
          </a:extLst>
        </xdr:cNvPr>
        <xdr:cNvSpPr>
          <a:spLocks noChangeArrowheads="1"/>
        </xdr:cNvSpPr>
      </xdr:nvSpPr>
      <xdr:spPr bwMode="auto">
        <a:xfrm>
          <a:off x="3724275" y="1700213"/>
          <a:ext cx="1600200"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Manual de Instalación</a:t>
          </a:r>
        </a:p>
      </xdr:txBody>
    </xdr:sp>
    <xdr:clientData/>
  </xdr:twoCellAnchor>
  <xdr:twoCellAnchor>
    <xdr:from>
      <xdr:col>1</xdr:col>
      <xdr:colOff>133350</xdr:colOff>
      <xdr:row>5</xdr:row>
      <xdr:rowOff>114300</xdr:rowOff>
    </xdr:from>
    <xdr:to>
      <xdr:col>3</xdr:col>
      <xdr:colOff>471488</xdr:colOff>
      <xdr:row>5</xdr:row>
      <xdr:rowOff>333375</xdr:rowOff>
    </xdr:to>
    <xdr:sp macro="" textlink="">
      <xdr:nvSpPr>
        <xdr:cNvPr id="56343" name="Rectangle 23">
          <a:hlinkClick xmlns:r="http://schemas.openxmlformats.org/officeDocument/2006/relationships" r:id="rId4"/>
          <a:extLst>
            <a:ext uri="{FF2B5EF4-FFF2-40B4-BE49-F238E27FC236}">
              <a16:creationId xmlns:a16="http://schemas.microsoft.com/office/drawing/2014/main" id="{4EC66449-8BB0-4124-8E77-8AB8E9AF057B}"/>
            </a:ext>
          </a:extLst>
        </xdr:cNvPr>
        <xdr:cNvSpPr>
          <a:spLocks noChangeArrowheads="1"/>
        </xdr:cNvSpPr>
      </xdr:nvSpPr>
      <xdr:spPr bwMode="auto">
        <a:xfrm>
          <a:off x="285750" y="1709738"/>
          <a:ext cx="1604963" cy="219075"/>
        </a:xfrm>
        <a:prstGeom prst="rect">
          <a:avLst/>
        </a:prstGeom>
        <a:solidFill>
          <a:srgbClr xmlns:mc="http://schemas.openxmlformats.org/markup-compatibility/2006" xmlns:a14="http://schemas.microsoft.com/office/drawing/2010/main" val="000080" mc:Ignorable="a14" a14:legacySpreadsheetColorIndex="18">
            <a:alpha val="30000"/>
          </a:srgbClr>
        </a:solidFill>
        <a:ln>
          <a:noFill/>
        </a:ln>
        <a:effectLst/>
        <a:extLst>
          <a:ext uri="{91240B29-F687-4F45-9708-019B960494DF}">
            <a14:hiddenLine xmlns:a14="http://schemas.microsoft.com/office/drawing/2010/main" w="1905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36576" rIns="45720" bIns="0" anchor="t" upright="1"/>
        <a:lstStyle/>
        <a:p>
          <a:pPr algn="ctr" rtl="1">
            <a:defRPr sz="1000"/>
          </a:pPr>
          <a:r>
            <a:rPr lang="en-HK" sz="900" b="1" i="0" u="sng" strike="noStrike" baseline="0">
              <a:solidFill>
                <a:srgbClr val="000000"/>
              </a:solidFill>
              <a:latin typeface="Arial"/>
              <a:cs typeface="Arial"/>
            </a:rPr>
            <a:t>Ir a Menú Principal</a:t>
          </a:r>
        </a:p>
      </xdr:txBody>
    </xdr:sp>
    <xdr:clientData/>
  </xdr:twoCellAnchor>
  <xdr:twoCellAnchor editAs="oneCell">
    <xdr:from>
      <xdr:col>6</xdr:col>
      <xdr:colOff>542925</xdr:colOff>
      <xdr:row>0</xdr:row>
      <xdr:rowOff>19050</xdr:rowOff>
    </xdr:from>
    <xdr:to>
      <xdr:col>8</xdr:col>
      <xdr:colOff>0</xdr:colOff>
      <xdr:row>1</xdr:row>
      <xdr:rowOff>190500</xdr:rowOff>
    </xdr:to>
    <xdr:pic>
      <xdr:nvPicPr>
        <xdr:cNvPr id="56344" name="Picture 24" descr="logoeea">
          <a:extLst>
            <a:ext uri="{FF2B5EF4-FFF2-40B4-BE49-F238E27FC236}">
              <a16:creationId xmlns:a16="http://schemas.microsoft.com/office/drawing/2014/main" id="{220E915C-6276-43D5-A5FE-F6816F31B198}"/>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376988" y="19050"/>
          <a:ext cx="833437"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547688</xdr:colOff>
      <xdr:row>39</xdr:row>
      <xdr:rowOff>19050</xdr:rowOff>
    </xdr:to>
    <xdr:sp macro="" textlink="">
      <xdr:nvSpPr>
        <xdr:cNvPr id="9275" name="Rectangle 59">
          <a:extLst>
            <a:ext uri="{FF2B5EF4-FFF2-40B4-BE49-F238E27FC236}">
              <a16:creationId xmlns:a16="http://schemas.microsoft.com/office/drawing/2014/main" id="{C13C013F-836A-44ED-9951-10F8B7F312AB}"/>
            </a:ext>
          </a:extLst>
        </xdr:cNvPr>
        <xdr:cNvSpPr>
          <a:spLocks noChangeArrowheads="1"/>
        </xdr:cNvSpPr>
      </xdr:nvSpPr>
      <xdr:spPr bwMode="auto">
        <a:xfrm>
          <a:off x="0" y="0"/>
          <a:ext cx="11672888" cy="6877050"/>
        </a:xfrm>
        <a:prstGeom prst="rect">
          <a:avLst/>
        </a:prstGeom>
        <a:solidFill>
          <a:srgbClr xmlns:mc="http://schemas.openxmlformats.org/markup-compatibility/2006" xmlns:a14="http://schemas.microsoft.com/office/drawing/2010/main" val="008000" mc:Ignorable="a14" a14:legacySpreadsheetColorIndex="17">
            <a:alpha val="10001"/>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1</xdr:col>
          <xdr:colOff>357188</xdr:colOff>
          <xdr:row>20</xdr:row>
          <xdr:rowOff>9525</xdr:rowOff>
        </xdr:from>
        <xdr:to>
          <xdr:col>2</xdr:col>
          <xdr:colOff>1000125</xdr:colOff>
          <xdr:row>22</xdr:row>
          <xdr:rowOff>38100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8718220E-7567-4E0C-8913-E84303BAC4C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HK" sz="1000" b="1" i="0" u="none" strike="noStrike" baseline="0">
                  <a:solidFill>
                    <a:srgbClr val="000000"/>
                  </a:solidFill>
                  <a:latin typeface="Arial Narrow"/>
                </a:rPr>
                <a:t> Menú Principal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314325</xdr:colOff>
          <xdr:row>5</xdr:row>
          <xdr:rowOff>76200</xdr:rowOff>
        </xdr:from>
        <xdr:to>
          <xdr:col>8</xdr:col>
          <xdr:colOff>376238</xdr:colOff>
          <xdr:row>6</xdr:row>
          <xdr:rowOff>142875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66624D83-1CC4-4B9A-94A2-C0B2533E0AC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HK" sz="1000" b="1" i="0" u="none" strike="noStrike" baseline="0">
                  <a:solidFill>
                    <a:srgbClr val="FF0000"/>
                  </a:solidFill>
                  <a:latin typeface="Arial Narrow"/>
                </a:rPr>
                <a:t>Generar Archivos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20</xdr:row>
          <xdr:rowOff>9525</xdr:rowOff>
        </xdr:from>
        <xdr:to>
          <xdr:col>3</xdr:col>
          <xdr:colOff>795338</xdr:colOff>
          <xdr:row>22</xdr:row>
          <xdr:rowOff>47625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CCCD264-D577-4020-8E50-9DADC1313A5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1100" b="1" i="0" u="none" strike="noStrike" baseline="0">
                  <a:solidFill>
                    <a:srgbClr val="000000"/>
                  </a:solidFill>
                  <a:latin typeface="Arial Narrow"/>
                </a:rPr>
                <a:t>Validar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90488</xdr:colOff>
          <xdr:row>9</xdr:row>
          <xdr:rowOff>0</xdr:rowOff>
        </xdr:from>
        <xdr:to>
          <xdr:col>1</xdr:col>
          <xdr:colOff>323850</xdr:colOff>
          <xdr:row>10</xdr:row>
          <xdr:rowOff>28575</xdr:rowOff>
        </xdr:to>
        <xdr:sp macro="" textlink="">
          <xdr:nvSpPr>
            <xdr:cNvPr id="9255" name="Button 39" hidden="1">
              <a:extLst>
                <a:ext uri="{63B3BB69-23CF-44E3-9099-C40C66FF867C}">
                  <a14:compatExt spid="_x0000_s9255"/>
                </a:ext>
                <a:ext uri="{FF2B5EF4-FFF2-40B4-BE49-F238E27FC236}">
                  <a16:creationId xmlns:a16="http://schemas.microsoft.com/office/drawing/2014/main" id="{5C0DBB4C-04FA-4C61-858E-8B811EAEFBE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90488</xdr:colOff>
          <xdr:row>10</xdr:row>
          <xdr:rowOff>152400</xdr:rowOff>
        </xdr:from>
        <xdr:to>
          <xdr:col>1</xdr:col>
          <xdr:colOff>323850</xdr:colOff>
          <xdr:row>12</xdr:row>
          <xdr:rowOff>28575</xdr:rowOff>
        </xdr:to>
        <xdr:sp macro="" textlink="">
          <xdr:nvSpPr>
            <xdr:cNvPr id="9256" name="Button 40" hidden="1">
              <a:extLst>
                <a:ext uri="{63B3BB69-23CF-44E3-9099-C40C66FF867C}">
                  <a14:compatExt spid="_x0000_s9256"/>
                </a:ext>
                <a:ext uri="{FF2B5EF4-FFF2-40B4-BE49-F238E27FC236}">
                  <a16:creationId xmlns:a16="http://schemas.microsoft.com/office/drawing/2014/main" id="{F59C7242-3E13-47D4-94A1-047DDF499965}"/>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90488</xdr:colOff>
          <xdr:row>13</xdr:row>
          <xdr:rowOff>0</xdr:rowOff>
        </xdr:from>
        <xdr:to>
          <xdr:col>1</xdr:col>
          <xdr:colOff>323850</xdr:colOff>
          <xdr:row>14</xdr:row>
          <xdr:rowOff>38100</xdr:rowOff>
        </xdr:to>
        <xdr:sp macro="" textlink="">
          <xdr:nvSpPr>
            <xdr:cNvPr id="9257" name="Button 41" hidden="1">
              <a:extLst>
                <a:ext uri="{63B3BB69-23CF-44E3-9099-C40C66FF867C}">
                  <a14:compatExt spid="_x0000_s9257"/>
                </a:ext>
                <a:ext uri="{FF2B5EF4-FFF2-40B4-BE49-F238E27FC236}">
                  <a16:creationId xmlns:a16="http://schemas.microsoft.com/office/drawing/2014/main" id="{E3751B9D-7B03-4C06-9764-8F42EB72EB63}"/>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90488</xdr:colOff>
          <xdr:row>15</xdr:row>
          <xdr:rowOff>9525</xdr:rowOff>
        </xdr:from>
        <xdr:to>
          <xdr:col>1</xdr:col>
          <xdr:colOff>323850</xdr:colOff>
          <xdr:row>16</xdr:row>
          <xdr:rowOff>47625</xdr:rowOff>
        </xdr:to>
        <xdr:sp macro="" textlink="">
          <xdr:nvSpPr>
            <xdr:cNvPr id="9258" name="Button 42" hidden="1">
              <a:extLst>
                <a:ext uri="{63B3BB69-23CF-44E3-9099-C40C66FF867C}">
                  <a14:compatExt spid="_x0000_s9258"/>
                </a:ext>
                <a:ext uri="{FF2B5EF4-FFF2-40B4-BE49-F238E27FC236}">
                  <a16:creationId xmlns:a16="http://schemas.microsoft.com/office/drawing/2014/main" id="{53401366-97AB-4D50-BC16-56078EAC310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90488</xdr:colOff>
          <xdr:row>17</xdr:row>
          <xdr:rowOff>9525</xdr:rowOff>
        </xdr:from>
        <xdr:to>
          <xdr:col>1</xdr:col>
          <xdr:colOff>323850</xdr:colOff>
          <xdr:row>18</xdr:row>
          <xdr:rowOff>19050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A573D1D4-92EC-4711-BB73-CE112FB94F1A}"/>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142875</xdr:rowOff>
        </xdr:from>
        <xdr:to>
          <xdr:col>5</xdr:col>
          <xdr:colOff>266700</xdr:colOff>
          <xdr:row>10</xdr:row>
          <xdr:rowOff>28575</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C83FC6E-C175-486A-8682-C320678ADFBD}"/>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10</xdr:row>
          <xdr:rowOff>123825</xdr:rowOff>
        </xdr:from>
        <xdr:to>
          <xdr:col>5</xdr:col>
          <xdr:colOff>266700</xdr:colOff>
          <xdr:row>12</xdr:row>
          <xdr:rowOff>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53278C1E-CB50-4053-91BA-B06A28604DFE}"/>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42863</xdr:colOff>
          <xdr:row>13</xdr:row>
          <xdr:rowOff>9525</xdr:rowOff>
        </xdr:from>
        <xdr:to>
          <xdr:col>5</xdr:col>
          <xdr:colOff>276225</xdr:colOff>
          <xdr:row>14</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E782E401-5B34-4CE9-974A-FA49B7FD604F}"/>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52388</xdr:colOff>
          <xdr:row>15</xdr:row>
          <xdr:rowOff>0</xdr:rowOff>
        </xdr:from>
        <xdr:to>
          <xdr:col>5</xdr:col>
          <xdr:colOff>285750</xdr:colOff>
          <xdr:row>16</xdr:row>
          <xdr:rowOff>28575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FDCE4BE8-CA18-4CAA-BC55-B61C2D747ADA}"/>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HK" sz="12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61913</xdr:colOff>
          <xdr:row>17</xdr:row>
          <xdr:rowOff>0</xdr:rowOff>
        </xdr:from>
        <xdr:to>
          <xdr:col>5</xdr:col>
          <xdr:colOff>295275</xdr:colOff>
          <xdr:row>18</xdr:row>
          <xdr:rowOff>47625</xdr:rowOff>
        </xdr:to>
        <xdr:sp macro="" textlink="">
          <xdr:nvSpPr>
            <xdr:cNvPr id="9265" name="Button 49" hidden="1">
              <a:extLst>
                <a:ext uri="{63B3BB69-23CF-44E3-9099-C40C66FF867C}">
                  <a14:compatExt spid="_x0000_s9265"/>
                </a:ext>
                <a:ext uri="{FF2B5EF4-FFF2-40B4-BE49-F238E27FC236}">
                  <a16:creationId xmlns:a16="http://schemas.microsoft.com/office/drawing/2014/main" id="{64766697-298A-4256-98EF-4409135AC2E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000000"/>
                  </a:solidFill>
                  <a:latin typeface="Arial"/>
                  <a:cs typeface="Arial"/>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61913</xdr:colOff>
          <xdr:row>5</xdr:row>
          <xdr:rowOff>85725</xdr:rowOff>
        </xdr:from>
        <xdr:to>
          <xdr:col>7</xdr:col>
          <xdr:colOff>214313</xdr:colOff>
          <xdr:row>6</xdr:row>
          <xdr:rowOff>142875</xdr:rowOff>
        </xdr:to>
        <xdr:sp macro="" textlink="">
          <xdr:nvSpPr>
            <xdr:cNvPr id="9268" name="Button 52" hidden="1">
              <a:extLst>
                <a:ext uri="{63B3BB69-23CF-44E3-9099-C40C66FF867C}">
                  <a14:compatExt spid="_x0000_s9268"/>
                </a:ext>
                <a:ext uri="{FF2B5EF4-FFF2-40B4-BE49-F238E27FC236}">
                  <a16:creationId xmlns:a16="http://schemas.microsoft.com/office/drawing/2014/main" id="{57E54B13-EE60-4C64-8A92-7957563302F5}"/>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36576" rIns="36576" bIns="36576" anchor="ctr" upright="1"/>
            <a:lstStyle/>
            <a:p>
              <a:pPr algn="ctr" rtl="0">
                <a:defRPr sz="1000"/>
              </a:pPr>
              <a:r>
                <a:rPr lang="en-HK" sz="1000" b="1" i="0" u="none" strike="noStrike" baseline="0">
                  <a:solidFill>
                    <a:srgbClr val="000000"/>
                  </a:solidFill>
                  <a:latin typeface="Arial Narrow"/>
                </a:rPr>
                <a:t>Imprimir</a:t>
              </a:r>
            </a:p>
          </xdr:txBody>
        </xdr:sp>
        <xdr:clientData/>
      </xdr:twoCellAnchor>
    </mc:Choice>
    <mc:Fallback/>
  </mc:AlternateContent>
  <xdr:twoCellAnchor>
    <xdr:from>
      <xdr:col>0</xdr:col>
      <xdr:colOff>28575</xdr:colOff>
      <xdr:row>2</xdr:row>
      <xdr:rowOff>104775</xdr:rowOff>
    </xdr:from>
    <xdr:to>
      <xdr:col>5</xdr:col>
      <xdr:colOff>366713</xdr:colOff>
      <xdr:row>7</xdr:row>
      <xdr:rowOff>28575</xdr:rowOff>
    </xdr:to>
    <xdr:sp macro="" textlink="">
      <xdr:nvSpPr>
        <xdr:cNvPr id="9274" name="Text Box 58">
          <a:extLst>
            <a:ext uri="{FF2B5EF4-FFF2-40B4-BE49-F238E27FC236}">
              <a16:creationId xmlns:a16="http://schemas.microsoft.com/office/drawing/2014/main" id="{6091107D-E0D5-4C0B-A338-B04857A64F23}"/>
            </a:ext>
          </a:extLst>
        </xdr:cNvPr>
        <xdr:cNvSpPr txBox="1">
          <a:spLocks noChangeArrowheads="1"/>
        </xdr:cNvSpPr>
      </xdr:nvSpPr>
      <xdr:spPr bwMode="auto">
        <a:xfrm>
          <a:off x="28575" y="428625"/>
          <a:ext cx="4195763" cy="733425"/>
        </a:xfrm>
        <a:prstGeom prst="rect">
          <a:avLst/>
        </a:prstGeom>
        <a:solidFill>
          <a:srgbClr xmlns:mc="http://schemas.openxmlformats.org/markup-compatibility/2006" xmlns:a14="http://schemas.microsoft.com/office/drawing/2010/main" val="000080" mc:Ignorable="a14" a14:legacySpreadsheetColorIndex="18">
            <a:alpha val="10001"/>
          </a:srgbClr>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45791" dir="12821404" algn="ctr" rotWithShape="0">
                  <a:srgbClr xmlns:mc="http://schemas.openxmlformats.org/markup-compatibility/2006" val="00004D" mc:Ignorable="a14" a14:legacySpreadsheetColorIndex="18">
                    <a:gamma/>
                    <a:shade val="60000"/>
                    <a:invGamma/>
                  </a:srgbClr>
                </a:outerShdw>
              </a:effectLst>
            </a14:hiddenEffects>
          </a:ext>
        </a:extLst>
      </xdr:spPr>
      <xdr:txBody>
        <a:bodyPr vertOverflow="clip" wrap="square" lIns="36576" tIns="32004" rIns="36576" bIns="32004" anchor="ctr" upright="1"/>
        <a:lstStyle/>
        <a:p>
          <a:pPr algn="just" rtl="0">
            <a:defRPr sz="1000"/>
          </a:pPr>
          <a:r>
            <a:rPr lang="en-HK" sz="800" b="1" i="0" u="none" strike="noStrike" baseline="0">
              <a:solidFill>
                <a:srgbClr val="000000"/>
              </a:solidFill>
              <a:latin typeface="Arial"/>
              <a:cs typeface="Arial"/>
            </a:rPr>
            <a:t>IMPORTANTE :</a:t>
          </a:r>
        </a:p>
        <a:p>
          <a:pPr algn="just" rtl="0">
            <a:defRPr sz="1000"/>
          </a:pPr>
          <a:r>
            <a:rPr lang="en-HK" sz="800" b="1" i="0" u="none" strike="noStrike" baseline="0">
              <a:solidFill>
                <a:srgbClr val="000000"/>
              </a:solidFill>
              <a:latin typeface="Arial"/>
              <a:cs typeface="Arial"/>
            </a:rPr>
            <a:t>Antes de Generar Archivos, verifique que la información haya sido ingresada correctamente, para ello ingrese a la opción Validar.</a:t>
          </a:r>
        </a:p>
        <a:p>
          <a:pPr algn="just" rtl="0">
            <a:lnSpc>
              <a:spcPts val="700"/>
            </a:lnSpc>
            <a:defRPr sz="1000"/>
          </a:pPr>
          <a:r>
            <a:rPr lang="en-HK" sz="800" b="1" i="0" u="none" strike="noStrike" baseline="0">
              <a:solidFill>
                <a:srgbClr val="000000"/>
              </a:solidFill>
              <a:latin typeface="Arial"/>
              <a:cs typeface="Arial"/>
            </a:rPr>
            <a:t>Al trabajar el formulario no consigne la coma ( , ) ni el punto y coma ( ; ) </a:t>
          </a:r>
        </a:p>
      </xdr:txBody>
    </xdr:sp>
    <xdr:clientData/>
  </xdr:twoCellAnchor>
  <xdr:twoCellAnchor>
    <xdr:from>
      <xdr:col>6</xdr:col>
      <xdr:colOff>438150</xdr:colOff>
      <xdr:row>1</xdr:row>
      <xdr:rowOff>85725</xdr:rowOff>
    </xdr:from>
    <xdr:to>
      <xdr:col>6</xdr:col>
      <xdr:colOff>685800</xdr:colOff>
      <xdr:row>2</xdr:row>
      <xdr:rowOff>142875</xdr:rowOff>
    </xdr:to>
    <xdr:sp macro="" textlink="">
      <xdr:nvSpPr>
        <xdr:cNvPr id="9276" name="Rectangle 60">
          <a:extLst>
            <a:ext uri="{FF2B5EF4-FFF2-40B4-BE49-F238E27FC236}">
              <a16:creationId xmlns:a16="http://schemas.microsoft.com/office/drawing/2014/main" id="{B3F5952E-2A2D-417C-8CC5-2CF350E0151D}"/>
            </a:ext>
          </a:extLst>
        </xdr:cNvPr>
        <xdr:cNvSpPr>
          <a:spLocks noChangeArrowheads="1"/>
        </xdr:cNvSpPr>
      </xdr:nvSpPr>
      <xdr:spPr bwMode="auto">
        <a:xfrm>
          <a:off x="4776788" y="247650"/>
          <a:ext cx="247650" cy="219075"/>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19</xdr:row>
      <xdr:rowOff>57150</xdr:rowOff>
    </xdr:from>
    <xdr:to>
      <xdr:col>9</xdr:col>
      <xdr:colOff>357188</xdr:colOff>
      <xdr:row>19</xdr:row>
      <xdr:rowOff>95250</xdr:rowOff>
    </xdr:to>
    <xdr:sp macro="" textlink="">
      <xdr:nvSpPr>
        <xdr:cNvPr id="9278" name="Rectangle 62">
          <a:extLst>
            <a:ext uri="{FF2B5EF4-FFF2-40B4-BE49-F238E27FC236}">
              <a16:creationId xmlns:a16="http://schemas.microsoft.com/office/drawing/2014/main" id="{94BDD571-8D32-47FB-B023-D6F9BD658FA7}"/>
            </a:ext>
          </a:extLst>
        </xdr:cNvPr>
        <xdr:cNvSpPr>
          <a:spLocks noChangeArrowheads="1"/>
        </xdr:cNvSpPr>
      </xdr:nvSpPr>
      <xdr:spPr bwMode="auto">
        <a:xfrm>
          <a:off x="204788" y="3095625"/>
          <a:ext cx="7205662" cy="38100"/>
        </a:xfrm>
        <a:prstGeom prst="rect">
          <a:avLst/>
        </a:prstGeom>
        <a:solidFill>
          <a:srgbClr xmlns:mc="http://schemas.openxmlformats.org/markup-compatibility/2006" xmlns:a14="http://schemas.microsoft.com/office/drawing/2010/main" val="800000" mc:Ignorable="a14" a14:legacySpreadsheetColorIndex="16">
            <a:alpha val="2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104775</xdr:colOff>
      <xdr:row>19</xdr:row>
      <xdr:rowOff>28575</xdr:rowOff>
    </xdr:from>
    <xdr:to>
      <xdr:col>1</xdr:col>
      <xdr:colOff>123825</xdr:colOff>
      <xdr:row>19</xdr:row>
      <xdr:rowOff>142875</xdr:rowOff>
    </xdr:to>
    <xdr:sp macro="" textlink="">
      <xdr:nvSpPr>
        <xdr:cNvPr id="9279" name="Text Box 63">
          <a:extLst>
            <a:ext uri="{FF2B5EF4-FFF2-40B4-BE49-F238E27FC236}">
              <a16:creationId xmlns:a16="http://schemas.microsoft.com/office/drawing/2014/main" id="{BC8F93FD-0505-4642-8095-0413D999464E}"/>
            </a:ext>
          </a:extLst>
        </xdr:cNvPr>
        <xdr:cNvSpPr txBox="1">
          <a:spLocks noChangeArrowheads="1"/>
        </xdr:cNvSpPr>
      </xdr:nvSpPr>
      <xdr:spPr bwMode="auto">
        <a:xfrm>
          <a:off x="104775" y="3067050"/>
          <a:ext cx="223838" cy="114300"/>
        </a:xfrm>
        <a:prstGeom prst="rect">
          <a:avLst/>
        </a:prstGeom>
        <a:solidFill>
          <a:srgbClr xmlns:mc="http://schemas.openxmlformats.org/markup-compatibility/2006" xmlns:a14="http://schemas.microsoft.com/office/drawing/2010/main" val="000080" mc:Ignorable="a14" a14:legacySpreadsheetColorIndex="18">
            <a:alpha val="10001"/>
          </a:srgbClr>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45791" dir="12821404" algn="ctr" rotWithShape="0">
                  <a:srgbClr xmlns:mc="http://schemas.openxmlformats.org/markup-compatibility/2006" val="00004D" mc:Ignorable="a14" a14:legacySpreadsheetColorIndex="18">
                    <a:gamma/>
                    <a:shade val="60000"/>
                    <a:invGamma/>
                  </a:srgbClr>
                </a:outerShdw>
              </a:effectLst>
            </a14:hiddenEffects>
          </a:ext>
        </a:extLst>
      </xdr:spPr>
      <xdr:txBody>
        <a:bodyPr vertOverflow="clip" wrap="square" lIns="18288" tIns="0" rIns="0" bIns="0" anchor="ctr" upright="1"/>
        <a:lstStyle/>
        <a:p>
          <a:pPr algn="just" rtl="0">
            <a:defRPr sz="1000"/>
          </a:pPr>
          <a:endParaRPr lang="en-HK"/>
        </a:p>
      </xdr:txBody>
    </xdr:sp>
    <xdr:clientData/>
  </xdr:twoCellAnchor>
  <xdr:twoCellAnchor>
    <xdr:from>
      <xdr:col>4</xdr:col>
      <xdr:colOff>623888</xdr:colOff>
      <xdr:row>19</xdr:row>
      <xdr:rowOff>123825</xdr:rowOff>
    </xdr:from>
    <xdr:to>
      <xdr:col>9</xdr:col>
      <xdr:colOff>347663</xdr:colOff>
      <xdr:row>22</xdr:row>
      <xdr:rowOff>123825</xdr:rowOff>
    </xdr:to>
    <xdr:sp macro="" textlink="">
      <xdr:nvSpPr>
        <xdr:cNvPr id="9280" name="Text Box 64">
          <a:extLst>
            <a:ext uri="{FF2B5EF4-FFF2-40B4-BE49-F238E27FC236}">
              <a16:creationId xmlns:a16="http://schemas.microsoft.com/office/drawing/2014/main" id="{89F06A7B-B0BD-447A-8384-5F644D72528F}"/>
            </a:ext>
          </a:extLst>
        </xdr:cNvPr>
        <xdr:cNvSpPr txBox="1">
          <a:spLocks noChangeArrowheads="1"/>
        </xdr:cNvSpPr>
      </xdr:nvSpPr>
      <xdr:spPr bwMode="auto">
        <a:xfrm>
          <a:off x="3786188" y="3162300"/>
          <a:ext cx="3614737" cy="409575"/>
        </a:xfrm>
        <a:prstGeom prst="rect">
          <a:avLst/>
        </a:prstGeom>
        <a:solidFill>
          <a:srgbClr xmlns:mc="http://schemas.openxmlformats.org/markup-compatibility/2006" xmlns:a14="http://schemas.microsoft.com/office/drawing/2010/main" val="000080" mc:Ignorable="a14" a14:legacySpreadsheetColorIndex="18">
            <a:alpha val="20000"/>
          </a:srgbClr>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45720" tIns="41148" rIns="45720" bIns="0" anchor="t" upright="1"/>
        <a:lstStyle/>
        <a:p>
          <a:pPr algn="ctr" rtl="0">
            <a:defRPr sz="1000"/>
          </a:pPr>
          <a:r>
            <a:rPr lang="en-HK" sz="1000" b="1" i="0" u="none" strike="noStrike" baseline="0">
              <a:solidFill>
                <a:srgbClr val="000000"/>
              </a:solidFill>
              <a:latin typeface="Arial"/>
              <a:cs typeface="Arial"/>
            </a:rPr>
            <a:t>LA INFORMACIÓN SOLICITADA EN ESTA ENCUESTA ES ESTRICTAMENTE PARA USO ESTADÍSTICO</a:t>
          </a:r>
        </a:p>
      </xdr:txBody>
    </xdr:sp>
    <xdr:clientData/>
  </xdr:twoCellAnchor>
  <xdr:twoCellAnchor>
    <xdr:from>
      <xdr:col>4</xdr:col>
      <xdr:colOff>552450</xdr:colOff>
      <xdr:row>22</xdr:row>
      <xdr:rowOff>38100</xdr:rowOff>
    </xdr:from>
    <xdr:to>
      <xdr:col>5</xdr:col>
      <xdr:colOff>0</xdr:colOff>
      <xdr:row>23</xdr:row>
      <xdr:rowOff>38100</xdr:rowOff>
    </xdr:to>
    <xdr:sp macro="" textlink="">
      <xdr:nvSpPr>
        <xdr:cNvPr id="9282" name="Rectangle 66">
          <a:extLst>
            <a:ext uri="{FF2B5EF4-FFF2-40B4-BE49-F238E27FC236}">
              <a16:creationId xmlns:a16="http://schemas.microsoft.com/office/drawing/2014/main" id="{76020924-77E0-471A-BC99-F0C7DF25617D}"/>
            </a:ext>
          </a:extLst>
        </xdr:cNvPr>
        <xdr:cNvSpPr>
          <a:spLocks noChangeArrowheads="1"/>
        </xdr:cNvSpPr>
      </xdr:nvSpPr>
      <xdr:spPr bwMode="auto">
        <a:xfrm>
          <a:off x="3714750" y="3486150"/>
          <a:ext cx="142875" cy="133350"/>
        </a:xfrm>
        <a:prstGeom prst="rect">
          <a:avLst/>
        </a:prstGeom>
        <a:solidFill>
          <a:srgbClr xmlns:mc="http://schemas.openxmlformats.org/markup-compatibility/2006" xmlns:a14="http://schemas.microsoft.com/office/drawing/2010/main" val="800000" mc:Ignorable="a14" a14:legacySpreadsheetColorIndex="16">
            <a:alpha val="2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8</xdr:col>
      <xdr:colOff>223838</xdr:colOff>
      <xdr:row>0</xdr:row>
      <xdr:rowOff>0</xdr:rowOff>
    </xdr:from>
    <xdr:to>
      <xdr:col>9</xdr:col>
      <xdr:colOff>347663</xdr:colOff>
      <xdr:row>4</xdr:row>
      <xdr:rowOff>0</xdr:rowOff>
    </xdr:to>
    <xdr:pic>
      <xdr:nvPicPr>
        <xdr:cNvPr id="9283" name="Picture 67" descr="logoeea">
          <a:extLst>
            <a:ext uri="{FF2B5EF4-FFF2-40B4-BE49-F238E27FC236}">
              <a16:creationId xmlns:a16="http://schemas.microsoft.com/office/drawing/2014/main" id="{93967F5D-2527-411A-B44B-86752AA14309}"/>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400800" y="0"/>
          <a:ext cx="10001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6</xdr:col>
      <xdr:colOff>585788</xdr:colOff>
      <xdr:row>2</xdr:row>
      <xdr:rowOff>38100</xdr:rowOff>
    </xdr:to>
    <xdr:sp macro="" textlink="">
      <xdr:nvSpPr>
        <xdr:cNvPr id="9284" name="Text Box 68">
          <a:extLst>
            <a:ext uri="{FF2B5EF4-FFF2-40B4-BE49-F238E27FC236}">
              <a16:creationId xmlns:a16="http://schemas.microsoft.com/office/drawing/2014/main" id="{B347C269-CD16-4F3A-8A06-615F9E02E10C}"/>
            </a:ext>
          </a:extLst>
        </xdr:cNvPr>
        <xdr:cNvSpPr txBox="1">
          <a:spLocks noChangeArrowheads="1"/>
        </xdr:cNvSpPr>
      </xdr:nvSpPr>
      <xdr:spPr bwMode="auto">
        <a:xfrm>
          <a:off x="0" y="0"/>
          <a:ext cx="4924425" cy="361950"/>
        </a:xfrm>
        <a:prstGeom prst="rect">
          <a:avLst/>
        </a:prstGeom>
        <a:solidFill>
          <a:srgbClr xmlns:mc="http://schemas.openxmlformats.org/markup-compatibility/2006" xmlns:a14="http://schemas.microsoft.com/office/drawing/2010/main" val="003366" mc:Ignorable="a14" a14:legacySpreadsheetColorIndex="56">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50292" anchor="ctr" upright="1"/>
        <a:lstStyle/>
        <a:p>
          <a:pPr algn="ctr" rtl="0">
            <a:defRPr sz="1000"/>
          </a:pPr>
          <a:r>
            <a:rPr lang="en-HK" sz="800" b="1" i="0" u="none" strike="noStrike" baseline="0">
              <a:solidFill>
                <a:srgbClr val="000000"/>
              </a:solidFill>
              <a:latin typeface="Arial Black"/>
            </a:rPr>
            <a:t>ENCUESTA ECONÓMICA ANUAL 2006</a:t>
          </a:r>
        </a:p>
        <a:p>
          <a:pPr algn="ctr" rtl="0">
            <a:defRPr sz="1000"/>
          </a:pPr>
          <a:r>
            <a:rPr lang="en-HK" sz="800" b="1" i="0" u="none" strike="noStrike" baseline="0">
              <a:solidFill>
                <a:srgbClr val="000000"/>
              </a:solidFill>
              <a:latin typeface="Arial Black"/>
            </a:rPr>
            <a:t>ESTADISTICA MANUFACTURERA</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314325</xdr:colOff>
          <xdr:row>35</xdr:row>
          <xdr:rowOff>47625</xdr:rowOff>
        </xdr:from>
        <xdr:to>
          <xdr:col>10</xdr:col>
          <xdr:colOff>9525</xdr:colOff>
          <xdr:row>36</xdr:row>
          <xdr:rowOff>85725</xdr:rowOff>
        </xdr:to>
        <xdr:sp macro="" textlink="">
          <xdr:nvSpPr>
            <xdr:cNvPr id="45057" name="Drop Down 1" hidden="1">
              <a:extLst>
                <a:ext uri="{63B3BB69-23CF-44E3-9099-C40C66FF867C}">
                  <a14:compatExt spid="_x0000_s45057"/>
                </a:ext>
                <a:ext uri="{FF2B5EF4-FFF2-40B4-BE49-F238E27FC236}">
                  <a16:creationId xmlns:a16="http://schemas.microsoft.com/office/drawing/2014/main" id="{985C65FB-9942-4F3C-9B86-09B3BE2AA1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25</xdr:row>
          <xdr:rowOff>76200</xdr:rowOff>
        </xdr:from>
        <xdr:to>
          <xdr:col>4</xdr:col>
          <xdr:colOff>1562100</xdr:colOff>
          <xdr:row>26</xdr:row>
          <xdr:rowOff>47625</xdr:rowOff>
        </xdr:to>
        <xdr:sp macro="" textlink="">
          <xdr:nvSpPr>
            <xdr:cNvPr id="45058" name="Drop Down 2" hidden="1">
              <a:extLst>
                <a:ext uri="{63B3BB69-23CF-44E3-9099-C40C66FF867C}">
                  <a14:compatExt spid="_x0000_s45058"/>
                </a:ext>
                <a:ext uri="{FF2B5EF4-FFF2-40B4-BE49-F238E27FC236}">
                  <a16:creationId xmlns:a16="http://schemas.microsoft.com/office/drawing/2014/main" id="{2B21C668-8C91-4FC7-AB99-E8351F82A7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1681163</xdr:colOff>
          <xdr:row>25</xdr:row>
          <xdr:rowOff>76200</xdr:rowOff>
        </xdr:from>
        <xdr:to>
          <xdr:col>5</xdr:col>
          <xdr:colOff>80963</xdr:colOff>
          <xdr:row>26</xdr:row>
          <xdr:rowOff>47625</xdr:rowOff>
        </xdr:to>
        <xdr:sp macro="" textlink="">
          <xdr:nvSpPr>
            <xdr:cNvPr id="45059" name="Drop Down 3" hidden="1">
              <a:extLst>
                <a:ext uri="{63B3BB69-23CF-44E3-9099-C40C66FF867C}">
                  <a14:compatExt spid="_x0000_s45059"/>
                </a:ext>
                <a:ext uri="{FF2B5EF4-FFF2-40B4-BE49-F238E27FC236}">
                  <a16:creationId xmlns:a16="http://schemas.microsoft.com/office/drawing/2014/main" id="{E8A8E42D-B014-4E28-9008-9AB377EF5E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185738</xdr:colOff>
          <xdr:row>25</xdr:row>
          <xdr:rowOff>76200</xdr:rowOff>
        </xdr:from>
        <xdr:to>
          <xdr:col>8</xdr:col>
          <xdr:colOff>357188</xdr:colOff>
          <xdr:row>26</xdr:row>
          <xdr:rowOff>47625</xdr:rowOff>
        </xdr:to>
        <xdr:sp macro="" textlink="">
          <xdr:nvSpPr>
            <xdr:cNvPr id="45060" name="Drop Down 4" hidden="1">
              <a:extLst>
                <a:ext uri="{63B3BB69-23CF-44E3-9099-C40C66FF867C}">
                  <a14:compatExt spid="_x0000_s45060"/>
                </a:ext>
                <a:ext uri="{FF2B5EF4-FFF2-40B4-BE49-F238E27FC236}">
                  <a16:creationId xmlns:a16="http://schemas.microsoft.com/office/drawing/2014/main" id="{7C193FC3-3975-4732-B080-748A4839AA3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29</xdr:row>
          <xdr:rowOff>38100</xdr:rowOff>
        </xdr:from>
        <xdr:to>
          <xdr:col>10</xdr:col>
          <xdr:colOff>304800</xdr:colOff>
          <xdr:row>29</xdr:row>
          <xdr:rowOff>247650</xdr:rowOff>
        </xdr:to>
        <xdr:sp macro="" textlink="">
          <xdr:nvSpPr>
            <xdr:cNvPr id="45061" name="Drop Down 5" hidden="1">
              <a:extLst>
                <a:ext uri="{63B3BB69-23CF-44E3-9099-C40C66FF867C}">
                  <a14:compatExt spid="_x0000_s45061"/>
                </a:ext>
                <a:ext uri="{FF2B5EF4-FFF2-40B4-BE49-F238E27FC236}">
                  <a16:creationId xmlns:a16="http://schemas.microsoft.com/office/drawing/2014/main" id="{809D9DD3-61C7-4F56-BF09-4A173BCACCC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347663</xdr:colOff>
          <xdr:row>30</xdr:row>
          <xdr:rowOff>38100</xdr:rowOff>
        </xdr:from>
        <xdr:to>
          <xdr:col>10</xdr:col>
          <xdr:colOff>9525</xdr:colOff>
          <xdr:row>30</xdr:row>
          <xdr:rowOff>257175</xdr:rowOff>
        </xdr:to>
        <xdr:sp macro="" textlink="">
          <xdr:nvSpPr>
            <xdr:cNvPr id="45066" name="Drop Down 10" hidden="1">
              <a:extLst>
                <a:ext uri="{63B3BB69-23CF-44E3-9099-C40C66FF867C}">
                  <a14:compatExt spid="_x0000_s45066"/>
                </a:ext>
                <a:ext uri="{FF2B5EF4-FFF2-40B4-BE49-F238E27FC236}">
                  <a16:creationId xmlns:a16="http://schemas.microsoft.com/office/drawing/2014/main" id="{7D2886B8-850E-4C53-8B4C-F7254348C9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261938</xdr:colOff>
          <xdr:row>13</xdr:row>
          <xdr:rowOff>157163</xdr:rowOff>
        </xdr:from>
        <xdr:to>
          <xdr:col>4</xdr:col>
          <xdr:colOff>19050</xdr:colOff>
          <xdr:row>15</xdr:row>
          <xdr:rowOff>19050</xdr:rowOff>
        </xdr:to>
        <xdr:sp macro="" textlink="">
          <xdr:nvSpPr>
            <xdr:cNvPr id="45072" name="Drop Down 16" hidden="1">
              <a:extLst>
                <a:ext uri="{63B3BB69-23CF-44E3-9099-C40C66FF867C}">
                  <a14:compatExt spid="_x0000_s45072"/>
                </a:ext>
                <a:ext uri="{FF2B5EF4-FFF2-40B4-BE49-F238E27FC236}">
                  <a16:creationId xmlns:a16="http://schemas.microsoft.com/office/drawing/2014/main" id="{C3A2B7E9-0E2E-4771-BEC1-AB79F10CC0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128588</xdr:rowOff>
        </xdr:from>
        <xdr:to>
          <xdr:col>10</xdr:col>
          <xdr:colOff>328613</xdr:colOff>
          <xdr:row>8</xdr:row>
          <xdr:rowOff>19050</xdr:rowOff>
        </xdr:to>
        <xdr:sp macro="" textlink="">
          <xdr:nvSpPr>
            <xdr:cNvPr id="45103" name="Button 47" hidden="1">
              <a:extLst>
                <a:ext uri="{63B3BB69-23CF-44E3-9099-C40C66FF867C}">
                  <a14:compatExt spid="_x0000_s45103"/>
                </a:ext>
                <a:ext uri="{FF2B5EF4-FFF2-40B4-BE49-F238E27FC236}">
                  <a16:creationId xmlns:a16="http://schemas.microsoft.com/office/drawing/2014/main" id="{889612E0-7FDC-4269-8973-9D081FCFD4E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HK" sz="900" b="1" i="0" u="none" strike="noStrike" baseline="0">
                  <a:solidFill>
                    <a:srgbClr val="000000"/>
                  </a:solidFill>
                  <a:latin typeface="Arial Narrow"/>
                </a:rPr>
                <a:t>Menu  Formulario</a:t>
              </a:r>
            </a:p>
          </xdr:txBody>
        </xdr:sp>
        <xdr:clientData fPrintsWithSheet="0"/>
      </xdr:twoCellAnchor>
    </mc:Choice>
    <mc:Fallback/>
  </mc:AlternateContent>
  <xdr:twoCellAnchor editAs="oneCell">
    <xdr:from>
      <xdr:col>1</xdr:col>
      <xdr:colOff>33338</xdr:colOff>
      <xdr:row>3</xdr:row>
      <xdr:rowOff>9525</xdr:rowOff>
    </xdr:from>
    <xdr:to>
      <xdr:col>4</xdr:col>
      <xdr:colOff>61913</xdr:colOff>
      <xdr:row>7</xdr:row>
      <xdr:rowOff>28575</xdr:rowOff>
    </xdr:to>
    <xdr:pic>
      <xdr:nvPicPr>
        <xdr:cNvPr id="45104" name="Picture 48">
          <a:extLst>
            <a:ext uri="{FF2B5EF4-FFF2-40B4-BE49-F238E27FC236}">
              <a16:creationId xmlns:a16="http://schemas.microsoft.com/office/drawing/2014/main" id="{A5680483-DF8E-4908-A7ED-6122A3E061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519113"/>
          <a:ext cx="1176338"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276225</xdr:colOff>
      <xdr:row>4</xdr:row>
      <xdr:rowOff>47625</xdr:rowOff>
    </xdr:from>
    <xdr:to>
      <xdr:col>8</xdr:col>
      <xdr:colOff>61913</xdr:colOff>
      <xdr:row>6</xdr:row>
      <xdr:rowOff>28575</xdr:rowOff>
    </xdr:to>
    <xdr:sp macro="" textlink="">
      <xdr:nvSpPr>
        <xdr:cNvPr id="45105" name="Text Box 49">
          <a:extLst>
            <a:ext uri="{FF2B5EF4-FFF2-40B4-BE49-F238E27FC236}">
              <a16:creationId xmlns:a16="http://schemas.microsoft.com/office/drawing/2014/main" id="{DEAC6434-31E1-472A-9B10-999AD72F908D}"/>
            </a:ext>
          </a:extLst>
        </xdr:cNvPr>
        <xdr:cNvSpPr txBox="1">
          <a:spLocks noChangeArrowheads="1"/>
        </xdr:cNvSpPr>
      </xdr:nvSpPr>
      <xdr:spPr bwMode="auto">
        <a:xfrm>
          <a:off x="1466850" y="719138"/>
          <a:ext cx="4152900" cy="309562"/>
        </a:xfrm>
        <a:prstGeom prst="rect">
          <a:avLst/>
        </a:prstGeom>
        <a:solidFill>
          <a:srgbClr xmlns:mc="http://schemas.openxmlformats.org/markup-compatibility/2006" xmlns:a14="http://schemas.microsoft.com/office/drawing/2010/main" val="993300" mc:Ignorable="a14" a14:legacySpreadsheetColorIndex="60">
            <a:alpha val="2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64008" tIns="50292" rIns="64008" bIns="0" anchor="t" upright="1"/>
        <a:lstStyle/>
        <a:p>
          <a:pPr algn="ctr" rtl="0">
            <a:defRPr sz="1000"/>
          </a:pPr>
          <a:r>
            <a:rPr lang="en-HK" sz="1400" b="1" i="0" u="none" strike="noStrike" baseline="0">
              <a:solidFill>
                <a:srgbClr val="FF0000"/>
              </a:solidFill>
              <a:latin typeface="Arial"/>
              <a:cs typeface="Arial"/>
            </a:rPr>
            <a:t>D</a:t>
          </a:r>
          <a:r>
            <a:rPr lang="en-HK" sz="900" b="1" i="0" u="none" strike="noStrike" baseline="0">
              <a:solidFill>
                <a:srgbClr val="000000"/>
              </a:solidFill>
              <a:latin typeface="Arial"/>
              <a:cs typeface="Arial"/>
            </a:rPr>
            <a:t>  PARA EMPRESAS CON VENTAS NETAS MENORES A S/. 300 000 </a:t>
          </a:r>
        </a:p>
      </xdr:txBody>
    </xdr:sp>
    <xdr:clientData/>
  </xdr:twoCellAnchor>
  <xdr:twoCellAnchor editAs="oneCell">
    <xdr:from>
      <xdr:col>0</xdr:col>
      <xdr:colOff>33338</xdr:colOff>
      <xdr:row>0</xdr:row>
      <xdr:rowOff>0</xdr:rowOff>
    </xdr:from>
    <xdr:to>
      <xdr:col>4</xdr:col>
      <xdr:colOff>109538</xdr:colOff>
      <xdr:row>2</xdr:row>
      <xdr:rowOff>100013</xdr:rowOff>
    </xdr:to>
    <xdr:pic>
      <xdr:nvPicPr>
        <xdr:cNvPr id="45128" name="Picture 72" descr="logo produce">
          <a:extLst>
            <a:ext uri="{FF2B5EF4-FFF2-40B4-BE49-F238E27FC236}">
              <a16:creationId xmlns:a16="http://schemas.microsoft.com/office/drawing/2014/main" id="{9BA7FD98-EF8E-4CAE-BAF6-C6F1A849C2FD}"/>
            </a:ext>
          </a:extLst>
        </xdr:cNvPr>
        <xdr:cNvPicPr>
          <a:picLocks noChangeAspect="1" noChangeArrowheads="1"/>
        </xdr:cNvPicPr>
      </xdr:nvPicPr>
      <xdr:blipFill>
        <a:blip xmlns:r="http://schemas.openxmlformats.org/officeDocument/2006/relationships" r:embed="rId2">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33338" y="0"/>
          <a:ext cx="1266825" cy="4238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357188</xdr:colOff>
      <xdr:row>0</xdr:row>
      <xdr:rowOff>0</xdr:rowOff>
    </xdr:from>
    <xdr:to>
      <xdr:col>11</xdr:col>
      <xdr:colOff>28575</xdr:colOff>
      <xdr:row>3</xdr:row>
      <xdr:rowOff>9525</xdr:rowOff>
    </xdr:to>
    <xdr:pic>
      <xdr:nvPicPr>
        <xdr:cNvPr id="45129" name="Picture 73" descr="logoeea">
          <a:extLst>
            <a:ext uri="{FF2B5EF4-FFF2-40B4-BE49-F238E27FC236}">
              <a16:creationId xmlns:a16="http://schemas.microsoft.com/office/drawing/2014/main" id="{42CAEBD7-3247-4F0F-A6F5-48458FC048FC}"/>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15025" y="0"/>
          <a:ext cx="804863" cy="5191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314325</xdr:colOff>
      <xdr:row>2</xdr:row>
      <xdr:rowOff>19050</xdr:rowOff>
    </xdr:from>
    <xdr:to>
      <xdr:col>8</xdr:col>
      <xdr:colOff>123825</xdr:colOff>
      <xdr:row>3</xdr:row>
      <xdr:rowOff>19050</xdr:rowOff>
    </xdr:to>
    <xdr:sp macro="" textlink="">
      <xdr:nvSpPr>
        <xdr:cNvPr id="45130" name="Rectangle 74">
          <a:extLst>
            <a:ext uri="{FF2B5EF4-FFF2-40B4-BE49-F238E27FC236}">
              <a16:creationId xmlns:a16="http://schemas.microsoft.com/office/drawing/2014/main" id="{FE3D48B7-D107-4DC5-96A4-AB53E2EA41AF}"/>
            </a:ext>
          </a:extLst>
        </xdr:cNvPr>
        <xdr:cNvSpPr>
          <a:spLocks noChangeArrowheads="1"/>
        </xdr:cNvSpPr>
      </xdr:nvSpPr>
      <xdr:spPr bwMode="auto">
        <a:xfrm>
          <a:off x="5495925" y="342900"/>
          <a:ext cx="185738" cy="185738"/>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285750</xdr:colOff>
      <xdr:row>0</xdr:row>
      <xdr:rowOff>85725</xdr:rowOff>
    </xdr:from>
    <xdr:to>
      <xdr:col>8</xdr:col>
      <xdr:colOff>71438</xdr:colOff>
      <xdr:row>2</xdr:row>
      <xdr:rowOff>128588</xdr:rowOff>
    </xdr:to>
    <xdr:sp macro="" textlink="">
      <xdr:nvSpPr>
        <xdr:cNvPr id="45131" name="Text Box 75">
          <a:extLst>
            <a:ext uri="{FF2B5EF4-FFF2-40B4-BE49-F238E27FC236}">
              <a16:creationId xmlns:a16="http://schemas.microsoft.com/office/drawing/2014/main" id="{DF2E8855-EA0D-4F9C-A393-C363C334481F}"/>
            </a:ext>
          </a:extLst>
        </xdr:cNvPr>
        <xdr:cNvSpPr txBox="1">
          <a:spLocks noChangeAspect="1" noChangeArrowheads="1"/>
        </xdr:cNvSpPr>
      </xdr:nvSpPr>
      <xdr:spPr bwMode="auto">
        <a:xfrm>
          <a:off x="1476375" y="85725"/>
          <a:ext cx="4152900" cy="366713"/>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twoCellAnchor>
    <xdr:from>
      <xdr:col>4</xdr:col>
      <xdr:colOff>180975</xdr:colOff>
      <xdr:row>5</xdr:row>
      <xdr:rowOff>100013</xdr:rowOff>
    </xdr:from>
    <xdr:to>
      <xdr:col>4</xdr:col>
      <xdr:colOff>366713</xdr:colOff>
      <xdr:row>6</xdr:row>
      <xdr:rowOff>128588</xdr:rowOff>
    </xdr:to>
    <xdr:sp macro="" textlink="">
      <xdr:nvSpPr>
        <xdr:cNvPr id="45132" name="Rectangle 76">
          <a:extLst>
            <a:ext uri="{FF2B5EF4-FFF2-40B4-BE49-F238E27FC236}">
              <a16:creationId xmlns:a16="http://schemas.microsoft.com/office/drawing/2014/main" id="{5C5FB503-339E-44E3-9475-C79C34EEA31D}"/>
            </a:ext>
          </a:extLst>
        </xdr:cNvPr>
        <xdr:cNvSpPr>
          <a:spLocks noChangeArrowheads="1"/>
        </xdr:cNvSpPr>
      </xdr:nvSpPr>
      <xdr:spPr bwMode="auto">
        <a:xfrm>
          <a:off x="1371600" y="933450"/>
          <a:ext cx="185738" cy="195263"/>
        </a:xfrm>
        <a:prstGeom prst="rect">
          <a:avLst/>
        </a:prstGeom>
        <a:solidFill>
          <a:srgbClr xmlns:mc="http://schemas.openxmlformats.org/markup-compatibility/2006" xmlns:a14="http://schemas.microsoft.com/office/drawing/2010/main" val="003300" mc:Ignorable="a14" a14:legacySpreadsheetColorIndex="58">
            <a:alpha val="2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409575</xdr:colOff>
          <xdr:row>1</xdr:row>
          <xdr:rowOff>66675</xdr:rowOff>
        </xdr:from>
        <xdr:to>
          <xdr:col>6</xdr:col>
          <xdr:colOff>1071563</xdr:colOff>
          <xdr:row>3</xdr:row>
          <xdr:rowOff>76200</xdr:rowOff>
        </xdr:to>
        <xdr:sp macro="" textlink="">
          <xdr:nvSpPr>
            <xdr:cNvPr id="39985" name="Button 49" hidden="1">
              <a:extLst>
                <a:ext uri="{63B3BB69-23CF-44E3-9099-C40C66FF867C}">
                  <a14:compatExt spid="_x0000_s39985"/>
                </a:ext>
                <a:ext uri="{FF2B5EF4-FFF2-40B4-BE49-F238E27FC236}">
                  <a16:creationId xmlns:a16="http://schemas.microsoft.com/office/drawing/2014/main" id="{54AAF01F-E2BD-4BA8-934A-B2977675685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Menu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55</xdr:row>
          <xdr:rowOff>0</xdr:rowOff>
        </xdr:from>
        <xdr:to>
          <xdr:col>2</xdr:col>
          <xdr:colOff>533400</xdr:colOff>
          <xdr:row>56</xdr:row>
          <xdr:rowOff>0</xdr:rowOff>
        </xdr:to>
        <xdr:sp macro="" textlink="">
          <xdr:nvSpPr>
            <xdr:cNvPr id="39997" name="Button 61" hidden="1">
              <a:extLst>
                <a:ext uri="{63B3BB69-23CF-44E3-9099-C40C66FF867C}">
                  <a14:compatExt spid="_x0000_s39997"/>
                </a:ext>
                <a:ext uri="{FF2B5EF4-FFF2-40B4-BE49-F238E27FC236}">
                  <a16:creationId xmlns:a16="http://schemas.microsoft.com/office/drawing/2014/main" id="{2D759C15-D615-41CF-9A08-52A463D88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a:cs typeface="Arial"/>
                </a:rPr>
                <a:t>Cap. 5A: OTROS</a:t>
              </a:r>
            </a:p>
          </xdr:txBody>
        </xdr:sp>
        <xdr:clientData fPrintsWithSheet="0"/>
      </xdr:twoCellAnchor>
    </mc:Choice>
    <mc:Fallback/>
  </mc:AlternateContent>
  <xdr:twoCellAnchor>
    <xdr:from>
      <xdr:col>4</xdr:col>
      <xdr:colOff>500063</xdr:colOff>
      <xdr:row>1</xdr:row>
      <xdr:rowOff>100013</xdr:rowOff>
    </xdr:from>
    <xdr:to>
      <xdr:col>4</xdr:col>
      <xdr:colOff>628650</xdr:colOff>
      <xdr:row>2</xdr:row>
      <xdr:rowOff>90488</xdr:rowOff>
    </xdr:to>
    <xdr:sp macro="" textlink="">
      <xdr:nvSpPr>
        <xdr:cNvPr id="40018" name="Rectangle 82">
          <a:extLst>
            <a:ext uri="{FF2B5EF4-FFF2-40B4-BE49-F238E27FC236}">
              <a16:creationId xmlns:a16="http://schemas.microsoft.com/office/drawing/2014/main" id="{DB4C1C36-982E-4627-A555-56E030747283}"/>
            </a:ext>
          </a:extLst>
        </xdr:cNvPr>
        <xdr:cNvSpPr>
          <a:spLocks noChangeArrowheads="1"/>
        </xdr:cNvSpPr>
      </xdr:nvSpPr>
      <xdr:spPr bwMode="auto">
        <a:xfrm>
          <a:off x="3605213" y="328613"/>
          <a:ext cx="128587" cy="157162"/>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0</xdr:rowOff>
    </xdr:from>
    <xdr:to>
      <xdr:col>4</xdr:col>
      <xdr:colOff>581025</xdr:colOff>
      <xdr:row>1</xdr:row>
      <xdr:rowOff>147638</xdr:rowOff>
    </xdr:to>
    <xdr:sp macro="" textlink="">
      <xdr:nvSpPr>
        <xdr:cNvPr id="40020" name="Text Box 84">
          <a:extLst>
            <a:ext uri="{FF2B5EF4-FFF2-40B4-BE49-F238E27FC236}">
              <a16:creationId xmlns:a16="http://schemas.microsoft.com/office/drawing/2014/main" id="{139B253D-46D1-4334-B795-6C7DCFDF620E}"/>
            </a:ext>
          </a:extLst>
        </xdr:cNvPr>
        <xdr:cNvSpPr txBox="1">
          <a:spLocks noChangeAspect="1" noChangeArrowheads="1"/>
        </xdr:cNvSpPr>
      </xdr:nvSpPr>
      <xdr:spPr bwMode="auto">
        <a:xfrm>
          <a:off x="0" y="0"/>
          <a:ext cx="3686175" cy="376238"/>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528638</xdr:colOff>
          <xdr:row>1</xdr:row>
          <xdr:rowOff>157163</xdr:rowOff>
        </xdr:from>
        <xdr:to>
          <xdr:col>8</xdr:col>
          <xdr:colOff>528638</xdr:colOff>
          <xdr:row>3</xdr:row>
          <xdr:rowOff>171450</xdr:rowOff>
        </xdr:to>
        <xdr:sp macro="" textlink="">
          <xdr:nvSpPr>
            <xdr:cNvPr id="40990" name="Button 30" hidden="1">
              <a:extLst>
                <a:ext uri="{63B3BB69-23CF-44E3-9099-C40C66FF867C}">
                  <a14:compatExt spid="_x0000_s40990"/>
                </a:ext>
                <a:ext uri="{FF2B5EF4-FFF2-40B4-BE49-F238E27FC236}">
                  <a16:creationId xmlns:a16="http://schemas.microsoft.com/office/drawing/2014/main" id="{EEB07C91-8237-463C-A86D-A2E7152EB60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Menu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80963</xdr:colOff>
          <xdr:row>35</xdr:row>
          <xdr:rowOff>0</xdr:rowOff>
        </xdr:from>
        <xdr:to>
          <xdr:col>3</xdr:col>
          <xdr:colOff>223838</xdr:colOff>
          <xdr:row>36</xdr:row>
          <xdr:rowOff>57150</xdr:rowOff>
        </xdr:to>
        <xdr:sp macro="" textlink="">
          <xdr:nvSpPr>
            <xdr:cNvPr id="41008" name="Check Box 48" hidden="1">
              <a:extLst>
                <a:ext uri="{63B3BB69-23CF-44E3-9099-C40C66FF867C}">
                  <a14:compatExt spid="_x0000_s41008"/>
                </a:ext>
                <a:ext uri="{FF2B5EF4-FFF2-40B4-BE49-F238E27FC236}">
                  <a16:creationId xmlns:a16="http://schemas.microsoft.com/office/drawing/2014/main" id="{DAFECB2F-62B3-43AF-97BC-F00DA439FE6F}"/>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01.- Dificultad de Financiamiento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80963</xdr:colOff>
          <xdr:row>36</xdr:row>
          <xdr:rowOff>85725</xdr:rowOff>
        </xdr:from>
        <xdr:to>
          <xdr:col>3</xdr:col>
          <xdr:colOff>223838</xdr:colOff>
          <xdr:row>37</xdr:row>
          <xdr:rowOff>142875</xdr:rowOff>
        </xdr:to>
        <xdr:sp macro="" textlink="">
          <xdr:nvSpPr>
            <xdr:cNvPr id="41009" name="Check Box 49" hidden="1">
              <a:extLst>
                <a:ext uri="{63B3BB69-23CF-44E3-9099-C40C66FF867C}">
                  <a14:compatExt spid="_x0000_s41009"/>
                </a:ext>
                <a:ext uri="{FF2B5EF4-FFF2-40B4-BE49-F238E27FC236}">
                  <a16:creationId xmlns:a16="http://schemas.microsoft.com/office/drawing/2014/main" id="{3AE512E2-7861-44B3-B29F-88DB0248DCFF}"/>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02.- Antigüedad de Maquinaria y Equipo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71438</xdr:colOff>
          <xdr:row>38</xdr:row>
          <xdr:rowOff>9525</xdr:rowOff>
        </xdr:from>
        <xdr:to>
          <xdr:col>3</xdr:col>
          <xdr:colOff>214313</xdr:colOff>
          <xdr:row>39</xdr:row>
          <xdr:rowOff>66675</xdr:rowOff>
        </xdr:to>
        <xdr:sp macro="" textlink="">
          <xdr:nvSpPr>
            <xdr:cNvPr id="41010" name="Check Box 50" hidden="1">
              <a:extLst>
                <a:ext uri="{63B3BB69-23CF-44E3-9099-C40C66FF867C}">
                  <a14:compatExt spid="_x0000_s41010"/>
                </a:ext>
                <a:ext uri="{FF2B5EF4-FFF2-40B4-BE49-F238E27FC236}">
                  <a16:creationId xmlns:a16="http://schemas.microsoft.com/office/drawing/2014/main" id="{D9FFF67C-7513-4D4B-9340-D2A434E2E0D4}"/>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03.- Falta de Mano de Obra Calificada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71438</xdr:colOff>
          <xdr:row>39</xdr:row>
          <xdr:rowOff>95250</xdr:rowOff>
        </xdr:from>
        <xdr:to>
          <xdr:col>3</xdr:col>
          <xdr:colOff>214313</xdr:colOff>
          <xdr:row>40</xdr:row>
          <xdr:rowOff>152400</xdr:rowOff>
        </xdr:to>
        <xdr:sp macro="" textlink="">
          <xdr:nvSpPr>
            <xdr:cNvPr id="41011" name="Check Box 51" hidden="1">
              <a:extLst>
                <a:ext uri="{63B3BB69-23CF-44E3-9099-C40C66FF867C}">
                  <a14:compatExt spid="_x0000_s41011"/>
                </a:ext>
                <a:ext uri="{FF2B5EF4-FFF2-40B4-BE49-F238E27FC236}">
                  <a16:creationId xmlns:a16="http://schemas.microsoft.com/office/drawing/2014/main" id="{C51D2221-A2DF-4586-9966-F946EC480DA6}"/>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04.- Falta de Repuestos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71438</xdr:colOff>
          <xdr:row>41</xdr:row>
          <xdr:rowOff>19050</xdr:rowOff>
        </xdr:from>
        <xdr:to>
          <xdr:col>3</xdr:col>
          <xdr:colOff>214313</xdr:colOff>
          <xdr:row>42</xdr:row>
          <xdr:rowOff>76200</xdr:rowOff>
        </xdr:to>
        <xdr:sp macro="" textlink="">
          <xdr:nvSpPr>
            <xdr:cNvPr id="41012" name="Check Box 52" hidden="1">
              <a:extLst>
                <a:ext uri="{63B3BB69-23CF-44E3-9099-C40C66FF867C}">
                  <a14:compatExt spid="_x0000_s41012"/>
                </a:ext>
                <a:ext uri="{FF2B5EF4-FFF2-40B4-BE49-F238E27FC236}">
                  <a16:creationId xmlns:a16="http://schemas.microsoft.com/office/drawing/2014/main" id="{C26F91A7-90ED-462D-A3EF-E286B1E85E54}"/>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05.- Demanda Limitada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71438</xdr:colOff>
          <xdr:row>42</xdr:row>
          <xdr:rowOff>104775</xdr:rowOff>
        </xdr:from>
        <xdr:to>
          <xdr:col>3</xdr:col>
          <xdr:colOff>214313</xdr:colOff>
          <xdr:row>44</xdr:row>
          <xdr:rowOff>0</xdr:rowOff>
        </xdr:to>
        <xdr:sp macro="" textlink="">
          <xdr:nvSpPr>
            <xdr:cNvPr id="41013" name="Check Box 53" hidden="1">
              <a:extLst>
                <a:ext uri="{63B3BB69-23CF-44E3-9099-C40C66FF867C}">
                  <a14:compatExt spid="_x0000_s41013"/>
                </a:ext>
                <a:ext uri="{FF2B5EF4-FFF2-40B4-BE49-F238E27FC236}">
                  <a16:creationId xmlns:a16="http://schemas.microsoft.com/office/drawing/2014/main" id="{CE695042-1524-4455-8A70-673420CFB2E3}"/>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06.- Falta de Materia Prima Nacional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35</xdr:row>
          <xdr:rowOff>0</xdr:rowOff>
        </xdr:from>
        <xdr:to>
          <xdr:col>6</xdr:col>
          <xdr:colOff>766763</xdr:colOff>
          <xdr:row>36</xdr:row>
          <xdr:rowOff>57150</xdr:rowOff>
        </xdr:to>
        <xdr:sp macro="" textlink="">
          <xdr:nvSpPr>
            <xdr:cNvPr id="41014" name="Check Box 54" hidden="1">
              <a:extLst>
                <a:ext uri="{63B3BB69-23CF-44E3-9099-C40C66FF867C}">
                  <a14:compatExt spid="_x0000_s41014"/>
                </a:ext>
                <a:ext uri="{FF2B5EF4-FFF2-40B4-BE49-F238E27FC236}">
                  <a16:creationId xmlns:a16="http://schemas.microsoft.com/office/drawing/2014/main" id="{DA670D43-9D54-4A75-9959-B41EA3DC20B9}"/>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07.- Falta de Materia Prima Importada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36</xdr:row>
          <xdr:rowOff>85725</xdr:rowOff>
        </xdr:from>
        <xdr:to>
          <xdr:col>6</xdr:col>
          <xdr:colOff>766763</xdr:colOff>
          <xdr:row>37</xdr:row>
          <xdr:rowOff>142875</xdr:rowOff>
        </xdr:to>
        <xdr:sp macro="" textlink="">
          <xdr:nvSpPr>
            <xdr:cNvPr id="41015" name="Check Box 55" hidden="1">
              <a:extLst>
                <a:ext uri="{63B3BB69-23CF-44E3-9099-C40C66FF867C}">
                  <a14:compatExt spid="_x0000_s41015"/>
                </a:ext>
                <a:ext uri="{FF2B5EF4-FFF2-40B4-BE49-F238E27FC236}">
                  <a16:creationId xmlns:a16="http://schemas.microsoft.com/office/drawing/2014/main" id="{6F04BAF2-DA2F-4F90-99A1-9B3942D29000}"/>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08.- Falta de Energía Eléctrica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38</xdr:row>
          <xdr:rowOff>9525</xdr:rowOff>
        </xdr:from>
        <xdr:to>
          <xdr:col>6</xdr:col>
          <xdr:colOff>766763</xdr:colOff>
          <xdr:row>39</xdr:row>
          <xdr:rowOff>66675</xdr:rowOff>
        </xdr:to>
        <xdr:sp macro="" textlink="">
          <xdr:nvSpPr>
            <xdr:cNvPr id="41016" name="Check Box 56" hidden="1">
              <a:extLst>
                <a:ext uri="{63B3BB69-23CF-44E3-9099-C40C66FF867C}">
                  <a14:compatExt spid="_x0000_s41016"/>
                </a:ext>
                <a:ext uri="{FF2B5EF4-FFF2-40B4-BE49-F238E27FC236}">
                  <a16:creationId xmlns:a16="http://schemas.microsoft.com/office/drawing/2014/main" id="{82F11B65-944F-4909-84FE-81ADD276C014}"/>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09.- Falta de Información Tecnológica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39</xdr:row>
          <xdr:rowOff>95250</xdr:rowOff>
        </xdr:from>
        <xdr:to>
          <xdr:col>6</xdr:col>
          <xdr:colOff>766763</xdr:colOff>
          <xdr:row>40</xdr:row>
          <xdr:rowOff>152400</xdr:rowOff>
        </xdr:to>
        <xdr:sp macro="" textlink="">
          <xdr:nvSpPr>
            <xdr:cNvPr id="41017" name="Check Box 57" hidden="1">
              <a:extLst>
                <a:ext uri="{63B3BB69-23CF-44E3-9099-C40C66FF867C}">
                  <a14:compatExt spid="_x0000_s41017"/>
                </a:ext>
                <a:ext uri="{FF2B5EF4-FFF2-40B4-BE49-F238E27FC236}">
                  <a16:creationId xmlns:a16="http://schemas.microsoft.com/office/drawing/2014/main" id="{245B04FF-7231-4DD2-93B7-1E42BA9A5A4A}"/>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10.- Falta de Información de Mercados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41</xdr:row>
          <xdr:rowOff>19050</xdr:rowOff>
        </xdr:from>
        <xdr:to>
          <xdr:col>6</xdr:col>
          <xdr:colOff>766763</xdr:colOff>
          <xdr:row>42</xdr:row>
          <xdr:rowOff>76200</xdr:rowOff>
        </xdr:to>
        <xdr:sp macro="" textlink="">
          <xdr:nvSpPr>
            <xdr:cNvPr id="41018" name="Check Box 58" hidden="1">
              <a:extLst>
                <a:ext uri="{63B3BB69-23CF-44E3-9099-C40C66FF867C}">
                  <a14:compatExt spid="_x0000_s41018"/>
                </a:ext>
                <a:ext uri="{FF2B5EF4-FFF2-40B4-BE49-F238E27FC236}">
                  <a16:creationId xmlns:a16="http://schemas.microsoft.com/office/drawing/2014/main" id="{4084BB45-7CC2-420C-BD84-FFE8EEE68CB4}"/>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8"/>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11.- Contrabando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42</xdr:row>
          <xdr:rowOff>104775</xdr:rowOff>
        </xdr:from>
        <xdr:to>
          <xdr:col>6</xdr:col>
          <xdr:colOff>766763</xdr:colOff>
          <xdr:row>44</xdr:row>
          <xdr:rowOff>0</xdr:rowOff>
        </xdr:to>
        <xdr:sp macro="" textlink="">
          <xdr:nvSpPr>
            <xdr:cNvPr id="41019" name="Check Box 59" hidden="1">
              <a:extLst>
                <a:ext uri="{63B3BB69-23CF-44E3-9099-C40C66FF867C}">
                  <a14:compatExt spid="_x0000_s41019"/>
                </a:ext>
                <a:ext uri="{FF2B5EF4-FFF2-40B4-BE49-F238E27FC236}">
                  <a16:creationId xmlns:a16="http://schemas.microsoft.com/office/drawing/2014/main" id="{24C7D16B-F9C7-43FA-B891-D8FBC962DE14}"/>
                </a:ext>
              </a:extLst>
            </xdr:cNvPr>
            <xdr:cNvSpPr/>
          </xdr:nvSpPr>
          <xdr:spPr bwMode="auto">
            <a:xfrm>
              <a:off x="0" y="0"/>
              <a:ext cx="0" cy="0"/>
            </a:xfrm>
            <a:prstGeom prst="rect">
              <a:avLst/>
            </a:prstGeom>
            <a:solidFill>
              <a:srgbClr val="CCFFFF" mc:Ignorable="a14" a14:legacySpreadsheetColorIndex="41">
                <a:alpha val="50000"/>
              </a:srgbClr>
            </a:solidFill>
            <a:ln w="12700">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HK" sz="800" b="0" i="0" u="none" strike="noStrike" baseline="0">
                  <a:solidFill>
                    <a:srgbClr val="000000"/>
                  </a:solidFill>
                  <a:latin typeface="Tahoma"/>
                  <a:ea typeface="Tahoma"/>
                  <a:cs typeface="Tahoma"/>
                </a:rPr>
                <a:t>12.- Exceso de Cargas Tributarias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19</xdr:row>
          <xdr:rowOff>9525</xdr:rowOff>
        </xdr:from>
        <xdr:to>
          <xdr:col>1</xdr:col>
          <xdr:colOff>1009650</xdr:colOff>
          <xdr:row>20</xdr:row>
          <xdr:rowOff>0</xdr:rowOff>
        </xdr:to>
        <xdr:sp macro="" textlink="">
          <xdr:nvSpPr>
            <xdr:cNvPr id="41022" name="Button 62" hidden="1">
              <a:extLst>
                <a:ext uri="{63B3BB69-23CF-44E3-9099-C40C66FF867C}">
                  <a14:compatExt spid="_x0000_s41022"/>
                </a:ext>
                <a:ext uri="{FF2B5EF4-FFF2-40B4-BE49-F238E27FC236}">
                  <a16:creationId xmlns:a16="http://schemas.microsoft.com/office/drawing/2014/main" id="{794A88BE-40DB-4A12-BC6B-748F5562B84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a:cs typeface="Arial"/>
                </a:rPr>
                <a:t>Cap 7A: OTROS</a:t>
              </a:r>
            </a:p>
          </xdr:txBody>
        </xdr:sp>
        <xdr:clientData/>
      </xdr:twoCellAnchor>
    </mc:Choice>
    <mc:Fallback/>
  </mc:AlternateContent>
  <xdr:twoCellAnchor>
    <xdr:from>
      <xdr:col>4</xdr:col>
      <xdr:colOff>447675</xdr:colOff>
      <xdr:row>1</xdr:row>
      <xdr:rowOff>90488</xdr:rowOff>
    </xdr:from>
    <xdr:to>
      <xdr:col>5</xdr:col>
      <xdr:colOff>9525</xdr:colOff>
      <xdr:row>2</xdr:row>
      <xdr:rowOff>76200</xdr:rowOff>
    </xdr:to>
    <xdr:sp macro="" textlink="">
      <xdr:nvSpPr>
        <xdr:cNvPr id="41037" name="Rectangle 77">
          <a:extLst>
            <a:ext uri="{FF2B5EF4-FFF2-40B4-BE49-F238E27FC236}">
              <a16:creationId xmlns:a16="http://schemas.microsoft.com/office/drawing/2014/main" id="{C84FA696-C417-4D34-816F-6E5A3E43BA49}"/>
            </a:ext>
          </a:extLst>
        </xdr:cNvPr>
        <xdr:cNvSpPr>
          <a:spLocks noChangeArrowheads="1"/>
        </xdr:cNvSpPr>
      </xdr:nvSpPr>
      <xdr:spPr bwMode="auto">
        <a:xfrm>
          <a:off x="3600450" y="328613"/>
          <a:ext cx="133350" cy="152400"/>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19050</xdr:rowOff>
    </xdr:from>
    <xdr:to>
      <xdr:col>4</xdr:col>
      <xdr:colOff>542925</xdr:colOff>
      <xdr:row>1</xdr:row>
      <xdr:rowOff>157163</xdr:rowOff>
    </xdr:to>
    <xdr:sp macro="" textlink="">
      <xdr:nvSpPr>
        <xdr:cNvPr id="41039" name="Text Box 79">
          <a:extLst>
            <a:ext uri="{FF2B5EF4-FFF2-40B4-BE49-F238E27FC236}">
              <a16:creationId xmlns:a16="http://schemas.microsoft.com/office/drawing/2014/main" id="{F81F5584-BB84-476D-888E-E8EB2AEC12B3}"/>
            </a:ext>
          </a:extLst>
        </xdr:cNvPr>
        <xdr:cNvSpPr txBox="1">
          <a:spLocks noChangeAspect="1" noChangeArrowheads="1"/>
        </xdr:cNvSpPr>
      </xdr:nvSpPr>
      <xdr:spPr bwMode="auto">
        <a:xfrm>
          <a:off x="0" y="19050"/>
          <a:ext cx="3695700" cy="376238"/>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647700</xdr:colOff>
          <xdr:row>2</xdr:row>
          <xdr:rowOff>190500</xdr:rowOff>
        </xdr:from>
        <xdr:to>
          <xdr:col>7</xdr:col>
          <xdr:colOff>742950</xdr:colOff>
          <xdr:row>3</xdr:row>
          <xdr:rowOff>152400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13F85C9-451B-4330-9F9A-560AAA3D869D}"/>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a:cs typeface="Arial"/>
                </a:rPr>
                <a:t>Ir a Menú Formulario</a:t>
              </a:r>
            </a:p>
          </xdr:txBody>
        </xdr:sp>
        <xdr:clientData fLocksWithSheet="0" fPrintsWithSheet="0"/>
      </xdr:twoCellAnchor>
    </mc:Choice>
    <mc:Fallback/>
  </mc:AlternateContent>
  <xdr:twoCellAnchor>
    <xdr:from>
      <xdr:col>4</xdr:col>
      <xdr:colOff>390525</xdr:colOff>
      <xdr:row>1</xdr:row>
      <xdr:rowOff>85725</xdr:rowOff>
    </xdr:from>
    <xdr:to>
      <xdr:col>4</xdr:col>
      <xdr:colOff>514350</xdr:colOff>
      <xdr:row>2</xdr:row>
      <xdr:rowOff>76200</xdr:rowOff>
    </xdr:to>
    <xdr:sp macro="" textlink="">
      <xdr:nvSpPr>
        <xdr:cNvPr id="60424" name="Rectangle 8">
          <a:extLst>
            <a:ext uri="{FF2B5EF4-FFF2-40B4-BE49-F238E27FC236}">
              <a16:creationId xmlns:a16="http://schemas.microsoft.com/office/drawing/2014/main" id="{790879B4-F637-4CD2-A355-A07714E2E801}"/>
            </a:ext>
          </a:extLst>
        </xdr:cNvPr>
        <xdr:cNvSpPr>
          <a:spLocks noChangeArrowheads="1"/>
        </xdr:cNvSpPr>
      </xdr:nvSpPr>
      <xdr:spPr bwMode="auto">
        <a:xfrm>
          <a:off x="3576638" y="323850"/>
          <a:ext cx="123825" cy="152400"/>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19050</xdr:rowOff>
    </xdr:from>
    <xdr:to>
      <xdr:col>4</xdr:col>
      <xdr:colOff>438150</xdr:colOff>
      <xdr:row>2</xdr:row>
      <xdr:rowOff>38100</xdr:rowOff>
    </xdr:to>
    <xdr:sp macro="" textlink="">
      <xdr:nvSpPr>
        <xdr:cNvPr id="60426" name="Text Box 10">
          <a:extLst>
            <a:ext uri="{FF2B5EF4-FFF2-40B4-BE49-F238E27FC236}">
              <a16:creationId xmlns:a16="http://schemas.microsoft.com/office/drawing/2014/main" id="{22D3EBD5-C31E-4856-91C7-0392E53F997D}"/>
            </a:ext>
          </a:extLst>
        </xdr:cNvPr>
        <xdr:cNvSpPr txBox="1">
          <a:spLocks noChangeAspect="1" noChangeArrowheads="1"/>
        </xdr:cNvSpPr>
      </xdr:nvSpPr>
      <xdr:spPr bwMode="auto">
        <a:xfrm>
          <a:off x="0" y="19050"/>
          <a:ext cx="3624263" cy="419100"/>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823913</xdr:colOff>
          <xdr:row>5</xdr:row>
          <xdr:rowOff>28575</xdr:rowOff>
        </xdr:from>
        <xdr:to>
          <xdr:col>6</xdr:col>
          <xdr:colOff>0</xdr:colOff>
          <xdr:row>7</xdr:row>
          <xdr:rowOff>85725</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CEB522B9-8E41-4154-B3DC-12073FD06DE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Menu Formulario</a:t>
              </a:r>
            </a:p>
          </xdr:txBody>
        </xdr:sp>
        <xdr:clientData fPrintsWithSheet="0"/>
      </xdr:twoCellAnchor>
    </mc:Choice>
    <mc:Fallback/>
  </mc:AlternateContent>
  <xdr:twoCellAnchor>
    <xdr:from>
      <xdr:col>3</xdr:col>
      <xdr:colOff>204788</xdr:colOff>
      <xdr:row>0</xdr:row>
      <xdr:rowOff>28575</xdr:rowOff>
    </xdr:from>
    <xdr:to>
      <xdr:col>4</xdr:col>
      <xdr:colOff>295275</xdr:colOff>
      <xdr:row>0</xdr:row>
      <xdr:rowOff>247650</xdr:rowOff>
    </xdr:to>
    <xdr:sp macro="" textlink="">
      <xdr:nvSpPr>
        <xdr:cNvPr id="43014" name="Text Box 6">
          <a:extLst>
            <a:ext uri="{FF2B5EF4-FFF2-40B4-BE49-F238E27FC236}">
              <a16:creationId xmlns:a16="http://schemas.microsoft.com/office/drawing/2014/main" id="{E1E4126D-CB15-41FF-AEAE-FDA814F4CCB8}"/>
            </a:ext>
          </a:extLst>
        </xdr:cNvPr>
        <xdr:cNvSpPr txBox="1">
          <a:spLocks noChangeArrowheads="1"/>
        </xdr:cNvSpPr>
      </xdr:nvSpPr>
      <xdr:spPr bwMode="auto">
        <a:xfrm>
          <a:off x="2762250" y="28575"/>
          <a:ext cx="1395413"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41148" rIns="45720" bIns="0" anchor="t" upright="1"/>
        <a:lstStyle/>
        <a:p>
          <a:pPr algn="ctr" rtl="0">
            <a:defRPr sz="1000"/>
          </a:pPr>
          <a:r>
            <a:rPr lang="en-HK" sz="1000" b="1" i="0" u="none" strike="noStrike" baseline="0">
              <a:solidFill>
                <a:srgbClr val="000000"/>
              </a:solidFill>
              <a:latin typeface="Arial"/>
              <a:cs typeface="Arial"/>
            </a:rPr>
            <a:t>- Pág. 5 -</a:t>
          </a:r>
        </a:p>
      </xdr:txBody>
    </xdr:sp>
    <xdr:clientData/>
  </xdr:twoCellAnchor>
  <xdr:twoCellAnchor>
    <xdr:from>
      <xdr:col>3</xdr:col>
      <xdr:colOff>61913</xdr:colOff>
      <xdr:row>1</xdr:row>
      <xdr:rowOff>66675</xdr:rowOff>
    </xdr:from>
    <xdr:to>
      <xdr:col>3</xdr:col>
      <xdr:colOff>161925</xdr:colOff>
      <xdr:row>2</xdr:row>
      <xdr:rowOff>57150</xdr:rowOff>
    </xdr:to>
    <xdr:sp macro="" textlink="">
      <xdr:nvSpPr>
        <xdr:cNvPr id="43024" name="Rectangle 16">
          <a:extLst>
            <a:ext uri="{FF2B5EF4-FFF2-40B4-BE49-F238E27FC236}">
              <a16:creationId xmlns:a16="http://schemas.microsoft.com/office/drawing/2014/main" id="{728DADD7-A31F-4F02-8F99-EAAEB928AE41}"/>
            </a:ext>
          </a:extLst>
        </xdr:cNvPr>
        <xdr:cNvSpPr>
          <a:spLocks noChangeArrowheads="1"/>
        </xdr:cNvSpPr>
      </xdr:nvSpPr>
      <xdr:spPr bwMode="auto">
        <a:xfrm>
          <a:off x="2619375" y="371475"/>
          <a:ext cx="100013" cy="152400"/>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4</xdr:col>
      <xdr:colOff>500063</xdr:colOff>
      <xdr:row>0</xdr:row>
      <xdr:rowOff>0</xdr:rowOff>
    </xdr:from>
    <xdr:to>
      <xdr:col>5</xdr:col>
      <xdr:colOff>0</xdr:colOff>
      <xdr:row>2</xdr:row>
      <xdr:rowOff>57150</xdr:rowOff>
    </xdr:to>
    <xdr:pic>
      <xdr:nvPicPr>
        <xdr:cNvPr id="43026" name="Picture 18" descr="logoeea">
          <a:extLst>
            <a:ext uri="{FF2B5EF4-FFF2-40B4-BE49-F238E27FC236}">
              <a16:creationId xmlns:a16="http://schemas.microsoft.com/office/drawing/2014/main" id="{01F2DBA8-979C-4BC2-B606-4846F4D2998B}"/>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62450" y="0"/>
          <a:ext cx="804863"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19050</xdr:rowOff>
    </xdr:from>
    <xdr:to>
      <xdr:col>3</xdr:col>
      <xdr:colOff>133350</xdr:colOff>
      <xdr:row>1</xdr:row>
      <xdr:rowOff>142875</xdr:rowOff>
    </xdr:to>
    <xdr:sp macro="" textlink="">
      <xdr:nvSpPr>
        <xdr:cNvPr id="43027" name="Text Box 19">
          <a:extLst>
            <a:ext uri="{FF2B5EF4-FFF2-40B4-BE49-F238E27FC236}">
              <a16:creationId xmlns:a16="http://schemas.microsoft.com/office/drawing/2014/main" id="{D99FEDAD-AC5D-4EAD-9A44-441A2CDCA574}"/>
            </a:ext>
          </a:extLst>
        </xdr:cNvPr>
        <xdr:cNvSpPr txBox="1">
          <a:spLocks noChangeAspect="1" noChangeArrowheads="1"/>
        </xdr:cNvSpPr>
      </xdr:nvSpPr>
      <xdr:spPr bwMode="auto">
        <a:xfrm>
          <a:off x="0" y="19050"/>
          <a:ext cx="2690813" cy="428625"/>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45720" bIns="0" anchor="t" upright="1"/>
        <a:lstStyle/>
        <a:p>
          <a:pPr algn="ctr" rtl="0">
            <a:defRPr sz="1000"/>
          </a:pPr>
          <a:r>
            <a:rPr lang="en-HK" sz="1000" b="1" i="0" u="none" strike="noStrike" baseline="0">
              <a:solidFill>
                <a:srgbClr val="000000"/>
              </a:solidFill>
              <a:latin typeface="Arial"/>
              <a:cs typeface="Arial"/>
            </a:rPr>
            <a:t>ENCUESTA ECONÓMICA ANUAL 2006</a:t>
          </a:r>
        </a:p>
        <a:p>
          <a:pPr algn="ctr" rtl="0">
            <a:defRPr sz="1000"/>
          </a:pPr>
          <a:r>
            <a:rPr lang="en-HK" sz="1000" b="1" i="0" u="none" strike="noStrike" baseline="0">
              <a:solidFill>
                <a:srgbClr val="000000"/>
              </a:solidFill>
              <a:latin typeface="Arial"/>
              <a:cs typeface="Arial"/>
            </a:rPr>
            <a:t>ESTADÍSTICA MANUFACTURERA</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6</xdr:row>
          <xdr:rowOff>38100</xdr:rowOff>
        </xdr:from>
        <xdr:to>
          <xdr:col>7</xdr:col>
          <xdr:colOff>9525</xdr:colOff>
          <xdr:row>7</xdr:row>
          <xdr:rowOff>161925</xdr:rowOff>
        </xdr:to>
        <xdr:sp macro="" textlink="">
          <xdr:nvSpPr>
            <xdr:cNvPr id="54316" name="Button 44" hidden="1">
              <a:extLst>
                <a:ext uri="{63B3BB69-23CF-44E3-9099-C40C66FF867C}">
                  <a14:compatExt spid="_x0000_s54316"/>
                </a:ext>
                <a:ext uri="{FF2B5EF4-FFF2-40B4-BE49-F238E27FC236}">
                  <a16:creationId xmlns:a16="http://schemas.microsoft.com/office/drawing/2014/main" id="{CED886E3-FA6E-4A35-897A-94F46A790C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Volver al cuadro Consumo de Materias Primas</a:t>
              </a:r>
            </a:p>
          </xdr:txBody>
        </xdr:sp>
        <xdr:clientData fPrintsWithSheet="0"/>
      </xdr:twoCellAnchor>
    </mc:Choice>
    <mc:Fallback/>
  </mc:AlternateContent>
  <xdr:twoCellAnchor>
    <xdr:from>
      <xdr:col>4</xdr:col>
      <xdr:colOff>71438</xdr:colOff>
      <xdr:row>0</xdr:row>
      <xdr:rowOff>104775</xdr:rowOff>
    </xdr:from>
    <xdr:to>
      <xdr:col>4</xdr:col>
      <xdr:colOff>804863</xdr:colOff>
      <xdr:row>0</xdr:row>
      <xdr:rowOff>323850</xdr:rowOff>
    </xdr:to>
    <xdr:sp macro="" textlink="">
      <xdr:nvSpPr>
        <xdr:cNvPr id="54324" name="Text Box 52">
          <a:extLst>
            <a:ext uri="{FF2B5EF4-FFF2-40B4-BE49-F238E27FC236}">
              <a16:creationId xmlns:a16="http://schemas.microsoft.com/office/drawing/2014/main" id="{BBFA5871-FBE0-46DE-9CB0-F9553DC27780}"/>
            </a:ext>
          </a:extLst>
        </xdr:cNvPr>
        <xdr:cNvSpPr txBox="1">
          <a:spLocks noChangeArrowheads="1"/>
        </xdr:cNvSpPr>
      </xdr:nvSpPr>
      <xdr:spPr bwMode="auto">
        <a:xfrm>
          <a:off x="3214688" y="104775"/>
          <a:ext cx="7334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41148" rIns="45720" bIns="0" anchor="t" upright="1"/>
        <a:lstStyle/>
        <a:p>
          <a:pPr algn="ctr" rtl="0">
            <a:defRPr sz="1000"/>
          </a:pPr>
          <a:r>
            <a:rPr lang="en-HK" sz="1000" b="1" i="0" u="none" strike="noStrike" baseline="0">
              <a:solidFill>
                <a:srgbClr val="000000"/>
              </a:solidFill>
              <a:latin typeface="Arial"/>
              <a:cs typeface="Arial"/>
            </a:rPr>
            <a:t>- Pág. 6 -</a:t>
          </a:r>
        </a:p>
      </xdr:txBody>
    </xdr:sp>
    <xdr:clientData/>
  </xdr:twoCellAnchor>
  <xdr:twoCellAnchor>
    <xdr:from>
      <xdr:col>3</xdr:col>
      <xdr:colOff>266700</xdr:colOff>
      <xdr:row>1</xdr:row>
      <xdr:rowOff>9525</xdr:rowOff>
    </xdr:from>
    <xdr:to>
      <xdr:col>3</xdr:col>
      <xdr:colOff>366713</xdr:colOff>
      <xdr:row>1</xdr:row>
      <xdr:rowOff>161925</xdr:rowOff>
    </xdr:to>
    <xdr:sp macro="" textlink="">
      <xdr:nvSpPr>
        <xdr:cNvPr id="54329" name="Rectangle 57">
          <a:extLst>
            <a:ext uri="{FF2B5EF4-FFF2-40B4-BE49-F238E27FC236}">
              <a16:creationId xmlns:a16="http://schemas.microsoft.com/office/drawing/2014/main" id="{FEEFF780-D7FC-4636-BC42-185E8B468E1C}"/>
            </a:ext>
          </a:extLst>
        </xdr:cNvPr>
        <xdr:cNvSpPr>
          <a:spLocks noChangeArrowheads="1"/>
        </xdr:cNvSpPr>
      </xdr:nvSpPr>
      <xdr:spPr bwMode="auto">
        <a:xfrm>
          <a:off x="3033713" y="371475"/>
          <a:ext cx="100012" cy="152400"/>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9525</xdr:rowOff>
    </xdr:from>
    <xdr:to>
      <xdr:col>3</xdr:col>
      <xdr:colOff>314325</xdr:colOff>
      <xdr:row>1</xdr:row>
      <xdr:rowOff>85725</xdr:rowOff>
    </xdr:to>
    <xdr:sp macro="" textlink="">
      <xdr:nvSpPr>
        <xdr:cNvPr id="54331" name="Text Box 59">
          <a:extLst>
            <a:ext uri="{FF2B5EF4-FFF2-40B4-BE49-F238E27FC236}">
              <a16:creationId xmlns:a16="http://schemas.microsoft.com/office/drawing/2014/main" id="{0654EE22-73FC-4050-9475-4E975674C83D}"/>
            </a:ext>
          </a:extLst>
        </xdr:cNvPr>
        <xdr:cNvSpPr txBox="1">
          <a:spLocks noChangeAspect="1" noChangeArrowheads="1"/>
        </xdr:cNvSpPr>
      </xdr:nvSpPr>
      <xdr:spPr bwMode="auto">
        <a:xfrm>
          <a:off x="0" y="9525"/>
          <a:ext cx="3081338" cy="438150"/>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519113</xdr:colOff>
          <xdr:row>7</xdr:row>
          <xdr:rowOff>47625</xdr:rowOff>
        </xdr:from>
        <xdr:to>
          <xdr:col>8</xdr:col>
          <xdr:colOff>642938</xdr:colOff>
          <xdr:row>9</xdr:row>
          <xdr:rowOff>85725</xdr:rowOff>
        </xdr:to>
        <xdr:sp macro="" textlink="">
          <xdr:nvSpPr>
            <xdr:cNvPr id="55329" name="Button 33" hidden="1">
              <a:extLst>
                <a:ext uri="{63B3BB69-23CF-44E3-9099-C40C66FF867C}">
                  <a14:compatExt spid="_x0000_s55329"/>
                </a:ext>
                <a:ext uri="{FF2B5EF4-FFF2-40B4-BE49-F238E27FC236}">
                  <a16:creationId xmlns:a16="http://schemas.microsoft.com/office/drawing/2014/main" id="{F4C1CC77-C916-497D-803B-EB6DC52EBFC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000000"/>
                  </a:solidFill>
                  <a:latin typeface="Arial Narrow"/>
                </a:rPr>
                <a:t>Volver al cuadro Producción Anual</a:t>
              </a:r>
            </a:p>
          </xdr:txBody>
        </xdr:sp>
        <xdr:clientData fPrintsWithSheet="0"/>
      </xdr:twoCellAnchor>
    </mc:Choice>
    <mc:Fallback/>
  </mc:AlternateContent>
  <xdr:twoCellAnchor>
    <xdr:from>
      <xdr:col>4</xdr:col>
      <xdr:colOff>242888</xdr:colOff>
      <xdr:row>0</xdr:row>
      <xdr:rowOff>95250</xdr:rowOff>
    </xdr:from>
    <xdr:to>
      <xdr:col>5</xdr:col>
      <xdr:colOff>404813</xdr:colOff>
      <xdr:row>0</xdr:row>
      <xdr:rowOff>314325</xdr:rowOff>
    </xdr:to>
    <xdr:sp macro="" textlink="">
      <xdr:nvSpPr>
        <xdr:cNvPr id="55339" name="Text Box 43">
          <a:extLst>
            <a:ext uri="{FF2B5EF4-FFF2-40B4-BE49-F238E27FC236}">
              <a16:creationId xmlns:a16="http://schemas.microsoft.com/office/drawing/2014/main" id="{FF2BF639-81E2-46BF-9DA7-33BFBCA37EF4}"/>
            </a:ext>
          </a:extLst>
        </xdr:cNvPr>
        <xdr:cNvSpPr txBox="1">
          <a:spLocks noChangeArrowheads="1"/>
        </xdr:cNvSpPr>
      </xdr:nvSpPr>
      <xdr:spPr bwMode="auto">
        <a:xfrm>
          <a:off x="3209925" y="95250"/>
          <a:ext cx="7334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45720" tIns="41148" rIns="45720" bIns="0" anchor="t" upright="1"/>
        <a:lstStyle/>
        <a:p>
          <a:pPr algn="ctr" rtl="0">
            <a:defRPr sz="1000"/>
          </a:pPr>
          <a:r>
            <a:rPr lang="en-HK" sz="1000" b="1" i="0" u="none" strike="noStrike" baseline="0">
              <a:solidFill>
                <a:srgbClr val="000000"/>
              </a:solidFill>
              <a:latin typeface="Arial"/>
              <a:cs typeface="Arial"/>
            </a:rPr>
            <a:t>- Pág. 7 -</a:t>
          </a:r>
        </a:p>
      </xdr:txBody>
    </xdr:sp>
    <xdr:clientData/>
  </xdr:twoCellAnchor>
  <xdr:twoCellAnchor>
    <xdr:from>
      <xdr:col>4</xdr:col>
      <xdr:colOff>61913</xdr:colOff>
      <xdr:row>1</xdr:row>
      <xdr:rowOff>38100</xdr:rowOff>
    </xdr:from>
    <xdr:to>
      <xdr:col>4</xdr:col>
      <xdr:colOff>161925</xdr:colOff>
      <xdr:row>1</xdr:row>
      <xdr:rowOff>190500</xdr:rowOff>
    </xdr:to>
    <xdr:sp macro="" textlink="">
      <xdr:nvSpPr>
        <xdr:cNvPr id="55344" name="Rectangle 48">
          <a:extLst>
            <a:ext uri="{FF2B5EF4-FFF2-40B4-BE49-F238E27FC236}">
              <a16:creationId xmlns:a16="http://schemas.microsoft.com/office/drawing/2014/main" id="{9BF1FF3F-9FD3-4107-A34F-5AB35FB7B875}"/>
            </a:ext>
          </a:extLst>
        </xdr:cNvPr>
        <xdr:cNvSpPr>
          <a:spLocks noChangeArrowheads="1"/>
        </xdr:cNvSpPr>
      </xdr:nvSpPr>
      <xdr:spPr bwMode="auto">
        <a:xfrm>
          <a:off x="3028950" y="371475"/>
          <a:ext cx="100013" cy="152400"/>
        </a:xfrm>
        <a:prstGeom prst="rect">
          <a:avLst/>
        </a:prstGeom>
        <a:solidFill>
          <a:srgbClr xmlns:mc="http://schemas.openxmlformats.org/markup-compatibility/2006" xmlns:a14="http://schemas.microsoft.com/office/drawing/2010/main" val="800000" mc:Ignorable="a14" a14:legacySpreadsheetColorIndex="16">
            <a:alpha val="30000"/>
          </a:srgbClr>
        </a:solidFill>
        <a:ln>
          <a:noFill/>
        </a:ln>
        <a:effectLst/>
        <a:extLst>
          <a:ext uri="{91240B29-F687-4F45-9708-019B960494DF}">
            <a14:hiddenLine xmlns:a14="http://schemas.microsoft.com/office/drawing/2010/main" w="12700"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0</xdr:colOff>
      <xdr:row>0</xdr:row>
      <xdr:rowOff>19050</xdr:rowOff>
    </xdr:from>
    <xdr:to>
      <xdr:col>4</xdr:col>
      <xdr:colOff>133350</xdr:colOff>
      <xdr:row>1</xdr:row>
      <xdr:rowOff>85725</xdr:rowOff>
    </xdr:to>
    <xdr:sp macro="" textlink="">
      <xdr:nvSpPr>
        <xdr:cNvPr id="55346" name="Text Box 50">
          <a:extLst>
            <a:ext uri="{FF2B5EF4-FFF2-40B4-BE49-F238E27FC236}">
              <a16:creationId xmlns:a16="http://schemas.microsoft.com/office/drawing/2014/main" id="{2DF4E0A4-1A1C-46D7-B529-9DFFFD6B1C36}"/>
            </a:ext>
          </a:extLst>
        </xdr:cNvPr>
        <xdr:cNvSpPr txBox="1">
          <a:spLocks noChangeAspect="1" noChangeArrowheads="1"/>
        </xdr:cNvSpPr>
      </xdr:nvSpPr>
      <xdr:spPr bwMode="auto">
        <a:xfrm>
          <a:off x="0" y="19050"/>
          <a:ext cx="3100388" cy="400050"/>
        </a:xfrm>
        <a:prstGeom prst="rect">
          <a:avLst/>
        </a:prstGeom>
        <a:solidFill>
          <a:srgbClr xmlns:mc="http://schemas.openxmlformats.org/markup-compatibility/2006" xmlns:a14="http://schemas.microsoft.com/office/drawing/2010/main" val="333300" mc:Ignorable="a14" a14:legacySpreadsheetColorIndex="59">
            <a:alpha val="3000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50292" rIns="45720" bIns="0" anchor="t" upright="1"/>
        <a:lstStyle/>
        <a:p>
          <a:pPr algn="ctr" rtl="0">
            <a:lnSpc>
              <a:spcPts val="1000"/>
            </a:lnSpc>
            <a:defRPr sz="1000"/>
          </a:pPr>
          <a:r>
            <a:rPr lang="en-HK" sz="800" b="1" i="0" u="none" strike="noStrike" baseline="0">
              <a:solidFill>
                <a:srgbClr val="000000"/>
              </a:solidFill>
              <a:latin typeface="Arial Black"/>
            </a:rPr>
            <a:t>ENCUESTA ECONÓMICA ANUAL 2006</a:t>
          </a:r>
        </a:p>
        <a:p>
          <a:pPr algn="ctr" rtl="0">
            <a:lnSpc>
              <a:spcPts val="1000"/>
            </a:lnSpc>
            <a:defRPr sz="1000"/>
          </a:pPr>
          <a:r>
            <a:rPr lang="en-HK" sz="800" b="1" i="0" u="none" strike="noStrike" baseline="0">
              <a:solidFill>
                <a:srgbClr val="000000"/>
              </a:solidFill>
              <a:latin typeface="Arial Black"/>
            </a:rPr>
            <a:t>ESTADÍSTICA MANUFACTURERA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8" Type="http://schemas.openxmlformats.org/officeDocument/2006/relationships/hyperlink" Target="mailto:Produce_pasco@produce.gob.pe" TargetMode="External"/><Relationship Id="rId13" Type="http://schemas.openxmlformats.org/officeDocument/2006/relationships/hyperlink" Target="mailto:Minpes_tumbes@produce.gob.pe" TargetMode="External"/><Relationship Id="rId18" Type="http://schemas.openxmlformats.org/officeDocument/2006/relationships/hyperlink" Target="mailto:Minpes_arequipa@produce.gob.pe" TargetMode="External"/><Relationship Id="rId26" Type="http://schemas.openxmlformats.org/officeDocument/2006/relationships/hyperlink" Target="mailto:Produce_junin@produce.gob.pe" TargetMode="External"/><Relationship Id="rId3" Type="http://schemas.openxmlformats.org/officeDocument/2006/relationships/hyperlink" Target="mailto:pcordova@produce.gob.pe" TargetMode="External"/><Relationship Id="rId21" Type="http://schemas.openxmlformats.org/officeDocument/2006/relationships/hyperlink" Target="mailto:Produce_cusco@produce.gob.pe" TargetMode="External"/><Relationship Id="rId7" Type="http://schemas.openxmlformats.org/officeDocument/2006/relationships/hyperlink" Target="mailto:Produce_Moquegua@produce.gob.pe" TargetMode="External"/><Relationship Id="rId12" Type="http://schemas.openxmlformats.org/officeDocument/2006/relationships/hyperlink" Target="mailto:Produce_tacna@produce.gob.pe" TargetMode="External"/><Relationship Id="rId17" Type="http://schemas.openxmlformats.org/officeDocument/2006/relationships/hyperlink" Target="mailto:Produce_apurimac@produce.gob.pe" TargetMode="External"/><Relationship Id="rId25" Type="http://schemas.openxmlformats.org/officeDocument/2006/relationships/hyperlink" Target="mailto:Minpes_Trujillo@produce.gob.pe" TargetMode="External"/><Relationship Id="rId2" Type="http://schemas.openxmlformats.org/officeDocument/2006/relationships/hyperlink" Target="file:///C:\Documents%20and%20Settings\EOyola\Datos%20de%20programa\Microsoft\MANUFACTURA_CORREGIDOS\definitivos\EEA%20F1%20Comercio%20y%20Servicios.xls" TargetMode="External"/><Relationship Id="rId16" Type="http://schemas.openxmlformats.org/officeDocument/2006/relationships/hyperlink" Target="mailto:Produce_ancash@produce.gob.pe" TargetMode="External"/><Relationship Id="rId20" Type="http://schemas.openxmlformats.org/officeDocument/2006/relationships/hyperlink" Target="mailto:Produce_cajamarca@produce.gob.pe" TargetMode="External"/><Relationship Id="rId29" Type="http://schemas.openxmlformats.org/officeDocument/2006/relationships/vmlDrawing" Target="../drawings/vmlDrawing3.vml"/><Relationship Id="rId1" Type="http://schemas.openxmlformats.org/officeDocument/2006/relationships/hyperlink" Target="http://www.produce.gob.pe/" TargetMode="External"/><Relationship Id="rId6" Type="http://schemas.openxmlformats.org/officeDocument/2006/relationships/hyperlink" Target="mailto:Produce_madrededios@produce.gob.pe" TargetMode="External"/><Relationship Id="rId11" Type="http://schemas.openxmlformats.org/officeDocument/2006/relationships/hyperlink" Target="mailto:Minpes_moyobamba@produce.gob.pe" TargetMode="External"/><Relationship Id="rId24" Type="http://schemas.openxmlformats.org/officeDocument/2006/relationships/hyperlink" Target="mailto:Produce_pisco@produce.gob.pe" TargetMode="External"/><Relationship Id="rId5" Type="http://schemas.openxmlformats.org/officeDocument/2006/relationships/hyperlink" Target="mailto:Minpes_iquitos@produce.gob.pe" TargetMode="External"/><Relationship Id="rId15" Type="http://schemas.openxmlformats.org/officeDocument/2006/relationships/hyperlink" Target="mailto:produce_amazonas@produce.gob.pe" TargetMode="External"/><Relationship Id="rId23" Type="http://schemas.openxmlformats.org/officeDocument/2006/relationships/hyperlink" Target="mailto:Produce_Huancavelica@produce.gob.pe" TargetMode="External"/><Relationship Id="rId28" Type="http://schemas.openxmlformats.org/officeDocument/2006/relationships/drawing" Target="../drawings/drawing3.xml"/><Relationship Id="rId10" Type="http://schemas.openxmlformats.org/officeDocument/2006/relationships/hyperlink" Target="mailto:Produce_puno@produce.gob.pe" TargetMode="External"/><Relationship Id="rId19" Type="http://schemas.openxmlformats.org/officeDocument/2006/relationships/hyperlink" Target="mailto:Produce_ayacucho@produce.gob.pe" TargetMode="External"/><Relationship Id="rId4" Type="http://schemas.openxmlformats.org/officeDocument/2006/relationships/hyperlink" Target="mailto:produce@regionlambayeque.gob.pe" TargetMode="External"/><Relationship Id="rId9" Type="http://schemas.openxmlformats.org/officeDocument/2006/relationships/hyperlink" Target="mailto:Minpes_piura@produce.gob.pe" TargetMode="External"/><Relationship Id="rId14" Type="http://schemas.openxmlformats.org/officeDocument/2006/relationships/hyperlink" Target="mailto:regionucayali@produce.gob.pe" TargetMode="External"/><Relationship Id="rId22" Type="http://schemas.openxmlformats.org/officeDocument/2006/relationships/hyperlink" Target="mailto:Produce_huanuco@produce.gob.pe" TargetMode="External"/><Relationship Id="rId27" Type="http://schemas.openxmlformats.org/officeDocument/2006/relationships/printerSettings" Target="../printerSettings/printerSettings4.bin"/><Relationship Id="rId30"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drawing" Target="../drawings/drawing5.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printerSettings" Target="../printerSettings/printerSettings7.bin"/><Relationship Id="rId16" Type="http://schemas.openxmlformats.org/officeDocument/2006/relationships/ctrlProp" Target="../ctrlProps/ctrlProp21.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vmlDrawing" Target="../drawings/vmlDrawing5.v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12"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2.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omments" Target="../comments3.xml"/><Relationship Id="rId3" Type="http://schemas.openxmlformats.org/officeDocument/2006/relationships/vmlDrawing" Target="../drawings/vmlDrawing8.v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 Type="http://schemas.openxmlformats.org/officeDocument/2006/relationships/drawing" Target="../drawings/drawing8.xml"/><Relationship Id="rId16" Type="http://schemas.openxmlformats.org/officeDocument/2006/relationships/ctrlProp" Target="../ctrlProps/ctrlProp46.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5" Type="http://schemas.openxmlformats.org/officeDocument/2006/relationships/ctrlProp" Target="../ctrlProps/ctrlProp4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omments" Target="../comments5.xml"/><Relationship Id="rId4" Type="http://schemas.openxmlformats.org/officeDocument/2006/relationships/ctrlProp" Target="../ctrlProps/ctrlProp5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K35"/>
  <sheetViews>
    <sheetView showGridLines="0" showRowColHeaders="0" showZeros="0" tabSelected="1" showOutlineSymbols="0" zoomScaleNormal="100" workbookViewId="0">
      <selection activeCell="D4" sqref="D4"/>
    </sheetView>
  </sheetViews>
  <sheetFormatPr defaultColWidth="11.3984375" defaultRowHeight="12.75"/>
  <cols>
    <col min="1" max="1" width="6.73046875" style="4" customWidth="1"/>
    <col min="2" max="2" width="15.73046875" style="4" customWidth="1"/>
    <col min="3" max="3" width="1.3984375" style="4" customWidth="1"/>
    <col min="4" max="6" width="11.3984375" style="4"/>
    <col min="7" max="7" width="11.73046875" style="4" customWidth="1"/>
    <col min="8" max="8" width="18.86328125" style="4" customWidth="1"/>
    <col min="9" max="9" width="1.59765625" style="4" customWidth="1"/>
    <col min="10" max="10" width="11.1328125" style="4" customWidth="1"/>
    <col min="11" max="11" width="1.265625" style="4" customWidth="1"/>
    <col min="12" max="16384" width="11.3984375" style="4"/>
  </cols>
  <sheetData>
    <row r="1" spans="1:11" s="33" customFormat="1">
      <c r="A1" s="4"/>
      <c r="B1" s="4"/>
      <c r="C1" s="4"/>
      <c r="D1" s="4"/>
      <c r="E1" s="4"/>
      <c r="F1" s="4"/>
      <c r="G1" s="4"/>
      <c r="H1" s="4"/>
      <c r="I1" s="4"/>
      <c r="J1" s="4"/>
    </row>
    <row r="2" spans="1:11" s="33" customFormat="1" ht="17.649999999999999">
      <c r="A2" s="4"/>
      <c r="B2" s="4"/>
      <c r="C2" s="4"/>
      <c r="D2" s="533"/>
      <c r="E2" s="533"/>
      <c r="F2" s="533"/>
      <c r="G2" s="533"/>
      <c r="H2" s="533"/>
      <c r="I2" s="4"/>
      <c r="J2" s="4"/>
    </row>
    <row r="3" spans="1:11" s="33" customFormat="1" ht="13.15">
      <c r="A3" s="169"/>
      <c r="B3" s="169"/>
      <c r="D3" s="534"/>
      <c r="E3" s="534"/>
      <c r="F3" s="534"/>
      <c r="G3" s="534"/>
      <c r="H3" s="534"/>
      <c r="I3" s="4"/>
      <c r="J3" s="4"/>
    </row>
    <row r="4" spans="1:11" s="33" customFormat="1" ht="2.25" customHeight="1">
      <c r="A4" s="169"/>
      <c r="B4" s="169"/>
      <c r="C4" s="406"/>
      <c r="D4" s="406"/>
      <c r="E4" s="406"/>
      <c r="F4" s="406"/>
      <c r="G4" s="406"/>
      <c r="H4" s="4"/>
      <c r="I4" s="4"/>
      <c r="J4" s="4"/>
    </row>
    <row r="5" spans="1:11" s="33" customFormat="1" ht="6.75" customHeight="1">
      <c r="A5" s="4"/>
      <c r="B5" s="4"/>
      <c r="C5" s="165"/>
      <c r="D5" s="259"/>
      <c r="E5" s="259"/>
      <c r="F5" s="259"/>
      <c r="G5" s="259"/>
      <c r="H5" s="4"/>
      <c r="I5" s="4"/>
      <c r="J5" s="4"/>
    </row>
    <row r="6" spans="1:11" s="33" customFormat="1">
      <c r="A6" s="4"/>
      <c r="B6" s="4"/>
      <c r="C6" s="4"/>
      <c r="D6" s="4"/>
      <c r="E6" s="4"/>
      <c r="F6" s="4"/>
      <c r="G6" s="4"/>
      <c r="H6" s="4"/>
      <c r="I6" s="4"/>
      <c r="J6" s="4"/>
    </row>
    <row r="7" spans="1:11" s="33" customFormat="1" ht="16.5" customHeight="1">
      <c r="A7" s="4"/>
      <c r="B7" s="4"/>
      <c r="C7" s="4"/>
      <c r="D7" s="4"/>
      <c r="E7" s="4"/>
      <c r="F7" s="4"/>
      <c r="G7" s="4"/>
      <c r="H7" s="4"/>
      <c r="I7" s="4"/>
      <c r="J7" s="4"/>
    </row>
    <row r="8" spans="1:11" s="33" customFormat="1" ht="20.65">
      <c r="C8" s="4"/>
      <c r="D8" s="165"/>
      <c r="E8" s="165"/>
      <c r="F8" s="165"/>
      <c r="G8" s="540"/>
      <c r="H8" s="540"/>
      <c r="I8" s="540"/>
      <c r="J8" s="407"/>
      <c r="K8" s="407"/>
    </row>
    <row r="9" spans="1:11" s="33" customFormat="1" ht="20.65">
      <c r="G9" s="539"/>
      <c r="H9" s="539"/>
      <c r="I9" s="539"/>
    </row>
    <row r="10" spans="1:11" s="33" customFormat="1"/>
    <row r="11" spans="1:11" s="33" customFormat="1"/>
    <row r="12" spans="1:11" s="33" customFormat="1"/>
    <row r="13" spans="1:11" s="33" customFormat="1"/>
    <row r="14" spans="1:11" s="33" customFormat="1"/>
    <row r="15" spans="1:11" s="33" customFormat="1" ht="12.75" customHeight="1">
      <c r="J15" s="408"/>
      <c r="K15" s="259"/>
    </row>
    <row r="16" spans="1:11" s="33" customFormat="1" ht="12.75" customHeight="1">
      <c r="J16" s="535"/>
      <c r="K16" s="259"/>
    </row>
    <row r="17" spans="1:11" s="33" customFormat="1" ht="12.75" customHeight="1">
      <c r="J17" s="536"/>
      <c r="K17" s="259"/>
    </row>
    <row r="18" spans="1:11" s="33" customFormat="1" ht="12.75" customHeight="1">
      <c r="J18" s="536"/>
      <c r="K18" s="259"/>
    </row>
    <row r="19" spans="1:11" s="33" customFormat="1">
      <c r="J19" s="536"/>
      <c r="K19" s="259"/>
    </row>
    <row r="20" spans="1:11" s="33" customFormat="1" ht="13.15">
      <c r="D20" s="409"/>
      <c r="E20" s="409"/>
      <c r="F20" s="409"/>
      <c r="G20" s="409"/>
      <c r="H20" s="409"/>
      <c r="I20" s="409"/>
    </row>
    <row r="21" spans="1:11" s="33" customFormat="1"/>
    <row r="22" spans="1:11" s="33" customFormat="1">
      <c r="A22" s="4"/>
      <c r="B22" s="4"/>
      <c r="C22" s="4"/>
      <c r="J22" s="4"/>
    </row>
    <row r="23" spans="1:11" s="33" customFormat="1">
      <c r="A23" s="4"/>
      <c r="B23" s="4"/>
      <c r="C23" s="4"/>
      <c r="J23" s="4"/>
    </row>
    <row r="24" spans="1:11" s="33" customFormat="1">
      <c r="A24" s="4"/>
      <c r="B24" s="4"/>
      <c r="C24" s="4"/>
      <c r="D24" s="4"/>
      <c r="E24" s="4"/>
      <c r="F24" s="4"/>
      <c r="G24" s="4"/>
      <c r="H24" s="4"/>
      <c r="I24" s="4"/>
      <c r="J24" s="4"/>
    </row>
    <row r="25" spans="1:11" s="33" customFormat="1" ht="36" customHeight="1">
      <c r="A25" s="4"/>
      <c r="B25" s="410"/>
      <c r="C25" s="406"/>
      <c r="D25" s="537"/>
      <c r="E25" s="538"/>
      <c r="F25" s="538"/>
      <c r="G25" s="538"/>
      <c r="H25" s="538"/>
      <c r="I25" s="538"/>
      <c r="J25" s="406"/>
      <c r="K25" s="406"/>
    </row>
    <row r="26" spans="1:11" s="33" customFormat="1" ht="13.15">
      <c r="A26" s="4"/>
      <c r="B26" s="406"/>
      <c r="C26" s="406"/>
      <c r="D26" s="409"/>
      <c r="E26" s="409"/>
      <c r="F26" s="409"/>
      <c r="G26" s="409"/>
      <c r="H26" s="409"/>
      <c r="I26" s="409"/>
      <c r="J26" s="406"/>
      <c r="K26" s="406"/>
    </row>
    <row r="27" spans="1:11" s="33" customFormat="1" ht="13.15">
      <c r="A27" s="4"/>
      <c r="B27" s="406"/>
      <c r="C27" s="406"/>
      <c r="D27" s="409"/>
      <c r="E27" s="409"/>
      <c r="F27" s="409"/>
      <c r="G27" s="409"/>
      <c r="H27" s="409"/>
      <c r="I27" s="409"/>
      <c r="J27" s="406"/>
      <c r="K27" s="259"/>
    </row>
    <row r="28" spans="1:11" s="33" customFormat="1">
      <c r="A28" s="4"/>
      <c r="B28" s="406"/>
      <c r="C28" s="406"/>
      <c r="D28" s="406"/>
      <c r="E28" s="406"/>
      <c r="F28" s="406"/>
      <c r="G28" s="406"/>
      <c r="H28" s="406"/>
      <c r="I28" s="406"/>
      <c r="J28" s="406"/>
      <c r="K28" s="259"/>
    </row>
    <row r="29" spans="1:11" s="33" customFormat="1">
      <c r="A29" s="4"/>
      <c r="B29" s="4"/>
      <c r="C29" s="4"/>
      <c r="D29" s="4"/>
      <c r="E29" s="4"/>
      <c r="F29" s="4"/>
      <c r="G29" s="4"/>
      <c r="H29" s="4"/>
      <c r="I29" s="4"/>
    </row>
    <row r="30" spans="1:11" s="33" customFormat="1">
      <c r="A30" s="4"/>
      <c r="B30" s="4"/>
      <c r="C30" s="4"/>
      <c r="D30" s="4"/>
      <c r="E30" s="4"/>
      <c r="F30" s="4"/>
      <c r="G30" s="4"/>
      <c r="H30" s="4"/>
      <c r="I30" s="4"/>
      <c r="J30" s="4"/>
    </row>
    <row r="31" spans="1:11" s="33" customFormat="1">
      <c r="A31" s="4"/>
      <c r="B31" s="4"/>
      <c r="C31" s="4"/>
      <c r="D31" s="4"/>
      <c r="E31" s="4"/>
      <c r="F31" s="4"/>
      <c r="G31" s="4"/>
      <c r="H31" s="4"/>
      <c r="I31" s="4"/>
      <c r="J31" s="4"/>
    </row>
    <row r="32" spans="1:11" s="33" customFormat="1">
      <c r="A32" s="4"/>
      <c r="B32" s="4"/>
      <c r="C32" s="4"/>
      <c r="D32" s="4"/>
      <c r="E32" s="4"/>
      <c r="F32" s="4"/>
      <c r="G32" s="4"/>
      <c r="H32" s="4"/>
      <c r="I32" s="4"/>
      <c r="J32" s="4"/>
    </row>
    <row r="33" spans="1:10" s="33" customFormat="1">
      <c r="A33" s="4"/>
      <c r="B33" s="4"/>
      <c r="C33" s="4"/>
      <c r="D33" s="4"/>
      <c r="E33" s="4"/>
      <c r="F33" s="4"/>
      <c r="G33" s="4"/>
      <c r="H33" s="4"/>
      <c r="I33" s="4"/>
      <c r="J33" s="4"/>
    </row>
    <row r="34" spans="1:10" s="33" customFormat="1">
      <c r="A34" s="4"/>
      <c r="B34" s="4"/>
      <c r="C34" s="4"/>
      <c r="D34" s="4"/>
      <c r="E34" s="4"/>
      <c r="F34" s="4"/>
      <c r="G34" s="4"/>
      <c r="H34" s="4"/>
      <c r="I34" s="4"/>
      <c r="J34" s="4"/>
    </row>
    <row r="35" spans="1:10" s="33" customFormat="1">
      <c r="A35" s="4"/>
      <c r="B35" s="4"/>
      <c r="C35" s="4"/>
      <c r="D35" s="4"/>
      <c r="E35" s="4"/>
      <c r="F35" s="4"/>
      <c r="G35" s="4"/>
      <c r="H35" s="4"/>
      <c r="I35" s="4"/>
      <c r="J35" s="4"/>
    </row>
  </sheetData>
  <sheetProtection password="D3CE" sheet="1" objects="1" scenarios="1" selectLockedCells="1" selectUnlockedCells="1"/>
  <dataConsolidate/>
  <customSheetViews>
    <customSheetView guid="{BADF0D91-0196-11D5-91C8-00485485D900}" showRowCol="0" showRuler="0">
      <selection activeCell="D4" sqref="D4"/>
      <pageMargins left="0.75" right="0.75" top="1" bottom="1" header="0" footer="0"/>
      <pageSetup paperSize="9" orientation="landscape" r:id="rId1"/>
      <headerFooter alignWithMargins="0"/>
    </customSheetView>
  </customSheetViews>
  <mergeCells count="6">
    <mergeCell ref="D2:H2"/>
    <mergeCell ref="D3:H3"/>
    <mergeCell ref="J16:J19"/>
    <mergeCell ref="D25:I25"/>
    <mergeCell ref="G9:I9"/>
    <mergeCell ref="G8:I8"/>
  </mergeCells>
  <phoneticPr fontId="0" type="noConversion"/>
  <pageMargins left="0.75" right="0.75" top="1" bottom="1" header="0" footer="0"/>
  <pageSetup paperSize="9" scale="85"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6" r:id="rId5" name="Button 2">
              <controlPr defaultSize="0" autoFill="0" autoPict="0" macro="[0]!Botón2_AlHacerClic">
                <anchor moveWithCells="1" sizeWithCells="1">
                  <from>
                    <xdr:col>0</xdr:col>
                    <xdr:colOff>114300</xdr:colOff>
                    <xdr:row>17</xdr:row>
                    <xdr:rowOff>0</xdr:rowOff>
                  </from>
                  <to>
                    <xdr:col>1</xdr:col>
                    <xdr:colOff>847725</xdr:colOff>
                    <xdr:row>19</xdr:row>
                    <xdr:rowOff>0</xdr:rowOff>
                  </to>
                </anchor>
              </controlPr>
            </control>
          </mc:Choice>
        </mc:AlternateContent>
        <mc:AlternateContent xmlns:mc="http://schemas.openxmlformats.org/markup-compatibility/2006">
          <mc:Choice Requires="x14">
            <control shapeId="21508" r:id="rId6" name="Button 4">
              <controlPr defaultSize="0" autoFill="0" autoPict="0" macro="[0]!Botón4_AlHacerClic">
                <anchor moveWithCells="1" sizeWithCells="1">
                  <from>
                    <xdr:col>7</xdr:col>
                    <xdr:colOff>1204913</xdr:colOff>
                    <xdr:row>13</xdr:row>
                    <xdr:rowOff>38100</xdr:rowOff>
                  </from>
                  <to>
                    <xdr:col>11</xdr:col>
                    <xdr:colOff>385763</xdr:colOff>
                    <xdr:row>14</xdr:row>
                    <xdr:rowOff>142875</xdr:rowOff>
                  </to>
                </anchor>
              </controlPr>
            </control>
          </mc:Choice>
        </mc:AlternateContent>
        <mc:AlternateContent xmlns:mc="http://schemas.openxmlformats.org/markup-compatibility/2006">
          <mc:Choice Requires="x14">
            <control shapeId="21528" r:id="rId7" name="Button 24">
              <controlPr defaultSize="0" autoFill="0" autoPict="0" macro="[0]!MenuP_Botón24_AlHacerClic">
                <anchor moveWithCells="1" sizeWithCells="1">
                  <from>
                    <xdr:col>0</xdr:col>
                    <xdr:colOff>114300</xdr:colOff>
                    <xdr:row>14</xdr:row>
                    <xdr:rowOff>57150</xdr:rowOff>
                  </from>
                  <to>
                    <xdr:col>1</xdr:col>
                    <xdr:colOff>847725</xdr:colOff>
                    <xdr:row>16</xdr:row>
                    <xdr:rowOff>57150</xdr:rowOff>
                  </to>
                </anchor>
              </controlPr>
            </control>
          </mc:Choice>
        </mc:AlternateContent>
        <mc:AlternateContent xmlns:mc="http://schemas.openxmlformats.org/markup-compatibility/2006">
          <mc:Choice Requires="x14">
            <control shapeId="21505" r:id="rId8" name="Button 1">
              <controlPr defaultSize="0" autoFill="0" autoPict="0" macro="[0]!Botón1_AlHacerClic">
                <anchor moveWithCells="1" sizeWithCells="1">
                  <from>
                    <xdr:col>0</xdr:col>
                    <xdr:colOff>123825</xdr:colOff>
                    <xdr:row>11</xdr:row>
                    <xdr:rowOff>104775</xdr:rowOff>
                  </from>
                  <to>
                    <xdr:col>1</xdr:col>
                    <xdr:colOff>857250</xdr:colOff>
                    <xdr:row>13</xdr:row>
                    <xdr:rowOff>104775</xdr:rowOff>
                  </to>
                </anchor>
              </controlPr>
            </control>
          </mc:Choice>
        </mc:AlternateContent>
        <mc:AlternateContent xmlns:mc="http://schemas.openxmlformats.org/markup-compatibility/2006">
          <mc:Choice Requires="x14">
            <control shapeId="21550" r:id="rId9" name="Button 46">
              <controlPr defaultSize="0" autoFill="0" autoPict="0" macro="[0]!Botón46_AlHacerClic">
                <anchor moveWithCells="1" sizeWithCells="1">
                  <from>
                    <xdr:col>0</xdr:col>
                    <xdr:colOff>133350</xdr:colOff>
                    <xdr:row>8</xdr:row>
                    <xdr:rowOff>195263</xdr:rowOff>
                  </from>
                  <to>
                    <xdr:col>1</xdr:col>
                    <xdr:colOff>866775</xdr:colOff>
                    <xdr:row>10</xdr:row>
                    <xdr:rowOff>95250</xdr:rowOff>
                  </to>
                </anchor>
              </controlPr>
            </control>
          </mc:Choice>
        </mc:AlternateContent>
        <mc:AlternateContent xmlns:mc="http://schemas.openxmlformats.org/markup-compatibility/2006">
          <mc:Choice Requires="x14">
            <control shapeId="21562" r:id="rId10" name="Button 58">
              <controlPr defaultSize="0" autoFill="0" autoPict="0" macro="[0]!EntregaTXT_AlHacerClic">
                <anchor moveWithCells="1" sizeWithCells="1">
                  <from>
                    <xdr:col>0</xdr:col>
                    <xdr:colOff>114300</xdr:colOff>
                    <xdr:row>19</xdr:row>
                    <xdr:rowOff>119063</xdr:rowOff>
                  </from>
                  <to>
                    <xdr:col>1</xdr:col>
                    <xdr:colOff>847725</xdr:colOff>
                    <xdr:row>21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1">
    <pageSetUpPr autoPageBreaks="0" fitToPage="1"/>
  </sheetPr>
  <dimension ref="A1:IR40"/>
  <sheetViews>
    <sheetView showGridLines="0" showRowColHeaders="0" showZeros="0" showOutlineSymbols="0" workbookViewId="0">
      <pane ySplit="3" topLeftCell="A28" activePane="bottomLeft" state="frozen"/>
      <selection activeCell="D8" sqref="D8"/>
      <selection pane="bottomLeft" activeCell="D34" sqref="D34"/>
    </sheetView>
  </sheetViews>
  <sheetFormatPr defaultColWidth="11.3984375" defaultRowHeight="12.75"/>
  <cols>
    <col min="1" max="1" width="1.265625" style="2" customWidth="1"/>
    <col min="2" max="2" width="5.3984375" style="2" customWidth="1"/>
    <col min="3" max="3" width="6.265625" style="2" customWidth="1"/>
    <col min="4" max="4" width="80.73046875" style="2" customWidth="1"/>
    <col min="5" max="5" width="12.59765625" style="2" customWidth="1"/>
    <col min="6" max="6" width="30.73046875" style="2" customWidth="1"/>
    <col min="7" max="9" width="30.73046875" style="3" customWidth="1"/>
    <col min="10" max="174" width="11.3984375" style="3"/>
    <col min="175" max="16384" width="11.3984375" style="2"/>
  </cols>
  <sheetData>
    <row r="1" spans="1:252" s="115" customFormat="1" ht="77.25" customHeight="1">
      <c r="A1" s="5"/>
      <c r="B1" s="5"/>
      <c r="C1" s="5"/>
      <c r="D1" s="5"/>
      <c r="E1" s="5"/>
      <c r="F1" s="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row>
    <row r="2" spans="1:252" s="115" customFormat="1" ht="18" customHeight="1">
      <c r="A2" s="5"/>
      <c r="B2" s="5"/>
      <c r="C2" s="541" t="s">
        <v>4393</v>
      </c>
      <c r="D2" s="542"/>
      <c r="E2" s="87"/>
      <c r="F2" s="5"/>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row>
    <row r="3" spans="1:252" s="115" customFormat="1" ht="32.25" customHeight="1">
      <c r="A3" s="5"/>
      <c r="B3" s="5"/>
      <c r="C3" s="5"/>
      <c r="D3" s="5"/>
      <c r="E3" s="5"/>
      <c r="F3" s="5"/>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row>
    <row r="4" spans="1:252" s="115" customFormat="1">
      <c r="A4" s="5"/>
      <c r="B4" s="5"/>
      <c r="C4" s="5"/>
      <c r="D4" s="5"/>
      <c r="E4" s="5"/>
      <c r="F4" s="5"/>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row>
    <row r="5" spans="1:252" s="115" customFormat="1">
      <c r="A5" s="5"/>
      <c r="B5" s="62" t="s">
        <v>788</v>
      </c>
      <c r="C5" s="62" t="s">
        <v>1203</v>
      </c>
      <c r="D5" s="62"/>
      <c r="E5" s="5"/>
      <c r="F5" s="5"/>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row>
    <row r="6" spans="1:252" s="115" customFormat="1" ht="28.5" customHeight="1">
      <c r="A6" s="5"/>
      <c r="B6" s="5"/>
      <c r="C6" s="544" t="s">
        <v>3994</v>
      </c>
      <c r="D6" s="544"/>
      <c r="E6" s="5"/>
      <c r="F6" s="5"/>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c r="HF6" s="3"/>
      <c r="HG6" s="3"/>
      <c r="HH6" s="3"/>
      <c r="HI6" s="3"/>
      <c r="HJ6" s="3"/>
      <c r="HK6" s="3"/>
      <c r="HL6" s="3"/>
      <c r="HM6" s="3"/>
      <c r="HN6" s="3"/>
      <c r="HO6" s="3"/>
      <c r="HP6" s="3"/>
      <c r="HQ6" s="3"/>
      <c r="HR6" s="3"/>
      <c r="HS6" s="3"/>
      <c r="HT6" s="3"/>
      <c r="HU6" s="3"/>
      <c r="HV6" s="3"/>
      <c r="HW6" s="3"/>
      <c r="HX6" s="3"/>
      <c r="HY6" s="3"/>
      <c r="HZ6" s="3"/>
      <c r="IA6" s="3"/>
      <c r="IB6" s="3"/>
      <c r="IC6" s="3"/>
      <c r="ID6" s="3"/>
      <c r="IE6" s="3"/>
      <c r="IF6" s="3"/>
      <c r="IG6" s="3"/>
      <c r="IH6" s="3"/>
      <c r="II6" s="3"/>
      <c r="IJ6" s="3"/>
      <c r="IK6" s="3"/>
      <c r="IL6" s="3"/>
      <c r="IM6" s="3"/>
      <c r="IN6" s="3"/>
      <c r="IO6" s="3"/>
      <c r="IP6" s="3"/>
      <c r="IQ6" s="3"/>
      <c r="IR6" s="3"/>
    </row>
    <row r="7" spans="1:252" s="115" customFormat="1" ht="9" customHeight="1">
      <c r="A7" s="5"/>
      <c r="B7" s="5"/>
      <c r="C7" s="61"/>
      <c r="D7" s="116"/>
      <c r="E7" s="5"/>
      <c r="F7" s="5"/>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c r="HF7" s="3"/>
      <c r="HG7" s="3"/>
      <c r="HH7" s="3"/>
      <c r="HI7" s="3"/>
      <c r="HJ7" s="3"/>
      <c r="HK7" s="3"/>
      <c r="HL7" s="3"/>
      <c r="HM7" s="3"/>
      <c r="HN7" s="3"/>
      <c r="HO7" s="3"/>
      <c r="HP7" s="3"/>
      <c r="HQ7" s="3"/>
      <c r="HR7" s="3"/>
      <c r="HS7" s="3"/>
      <c r="HT7" s="3"/>
      <c r="HU7" s="3"/>
      <c r="HV7" s="3"/>
      <c r="HW7" s="3"/>
      <c r="HX7" s="3"/>
      <c r="HY7" s="3"/>
      <c r="HZ7" s="3"/>
      <c r="IA7" s="3"/>
      <c r="IB7" s="3"/>
      <c r="IC7" s="3"/>
      <c r="ID7" s="3"/>
      <c r="IE7" s="3"/>
      <c r="IF7" s="3"/>
      <c r="IG7" s="3"/>
      <c r="IH7" s="3"/>
      <c r="II7" s="3"/>
      <c r="IJ7" s="3"/>
      <c r="IK7" s="3"/>
      <c r="IL7" s="3"/>
      <c r="IM7" s="3"/>
      <c r="IN7" s="3"/>
      <c r="IO7" s="3"/>
      <c r="IP7" s="3"/>
      <c r="IQ7" s="3"/>
      <c r="IR7" s="3"/>
    </row>
    <row r="8" spans="1:252" s="121" customFormat="1" ht="42" customHeight="1">
      <c r="A8" s="117"/>
      <c r="B8" s="119" t="s">
        <v>4272</v>
      </c>
      <c r="C8" s="545" t="s">
        <v>2278</v>
      </c>
      <c r="D8" s="545"/>
      <c r="E8" s="120"/>
      <c r="F8" s="120"/>
    </row>
    <row r="9" spans="1:252" s="122" customFormat="1" ht="23.25" customHeight="1">
      <c r="A9" s="117"/>
      <c r="B9" s="119" t="s">
        <v>787</v>
      </c>
      <c r="C9" s="545" t="s">
        <v>2711</v>
      </c>
      <c r="D9" s="545"/>
      <c r="E9" s="116"/>
      <c r="F9" s="116"/>
      <c r="G9" s="116"/>
      <c r="H9" s="116"/>
      <c r="I9" s="116"/>
      <c r="J9" s="121"/>
      <c r="K9" s="121"/>
      <c r="L9" s="121"/>
      <c r="M9" s="121"/>
      <c r="N9" s="121"/>
      <c r="O9" s="121"/>
      <c r="P9" s="121"/>
      <c r="Q9" s="121"/>
      <c r="R9" s="121"/>
      <c r="S9" s="121"/>
      <c r="T9" s="121"/>
      <c r="U9" s="121"/>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row>
    <row r="10" spans="1:252" s="122" customFormat="1" ht="27" customHeight="1">
      <c r="A10" s="117"/>
      <c r="B10" s="118"/>
      <c r="C10" s="544"/>
      <c r="D10" s="544"/>
      <c r="E10" s="116"/>
      <c r="F10" s="116"/>
      <c r="G10" s="116"/>
      <c r="H10" s="116"/>
      <c r="I10" s="116"/>
      <c r="J10" s="121"/>
      <c r="K10" s="121"/>
      <c r="L10" s="121"/>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row>
    <row r="11" spans="1:252" s="122" customFormat="1" ht="13.15">
      <c r="A11" s="117"/>
      <c r="B11" s="117"/>
      <c r="C11" s="126"/>
      <c r="D11" s="127" t="s">
        <v>2279</v>
      </c>
      <c r="E11" s="126"/>
      <c r="F11" s="128"/>
      <c r="G11" s="128"/>
      <c r="H11" s="128"/>
      <c r="I11" s="128"/>
      <c r="J11" s="121"/>
      <c r="K11" s="121"/>
      <c r="L11" s="121"/>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row>
    <row r="12" spans="1:252" s="122" customFormat="1" ht="13.15">
      <c r="A12" s="117"/>
      <c r="B12" s="117"/>
      <c r="C12" s="126"/>
      <c r="D12" s="129" t="s">
        <v>2280</v>
      </c>
      <c r="E12" s="126"/>
      <c r="F12" s="128"/>
      <c r="G12" s="128"/>
      <c r="H12" s="128"/>
      <c r="I12" s="128"/>
      <c r="J12" s="121"/>
      <c r="K12" s="121"/>
      <c r="L12" s="121"/>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row>
    <row r="13" spans="1:252" s="122" customFormat="1" ht="24.75" customHeight="1">
      <c r="A13" s="117"/>
      <c r="B13" s="117"/>
      <c r="C13" s="130"/>
      <c r="D13" s="219" t="s">
        <v>1658</v>
      </c>
      <c r="E13" s="116"/>
      <c r="F13" s="116"/>
      <c r="G13" s="116"/>
      <c r="H13" s="116"/>
      <c r="I13" s="116"/>
      <c r="J13" s="121"/>
      <c r="K13" s="121"/>
      <c r="L13" s="121"/>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row>
    <row r="14" spans="1:252" s="122" customFormat="1" ht="24.75" customHeight="1">
      <c r="A14" s="117"/>
      <c r="B14" s="117"/>
      <c r="C14" s="130"/>
      <c r="D14" s="219" t="s">
        <v>3392</v>
      </c>
      <c r="E14" s="116"/>
      <c r="F14" s="116"/>
      <c r="G14" s="116"/>
      <c r="H14" s="116"/>
      <c r="I14" s="116"/>
      <c r="J14" s="121"/>
      <c r="K14" s="121"/>
      <c r="L14" s="121"/>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row>
    <row r="15" spans="1:252" s="122" customFormat="1" ht="14.25" customHeight="1">
      <c r="A15" s="117"/>
      <c r="B15" s="117"/>
      <c r="C15" s="130"/>
      <c r="D15" s="219" t="s">
        <v>3848</v>
      </c>
      <c r="E15" s="116"/>
      <c r="F15" s="116"/>
      <c r="G15" s="116"/>
      <c r="H15" s="116"/>
      <c r="I15" s="116"/>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row>
    <row r="16" spans="1:252" s="122" customFormat="1" ht="5.25" customHeight="1">
      <c r="A16" s="117"/>
      <c r="B16" s="117"/>
      <c r="C16" s="130"/>
      <c r="D16" s="116"/>
      <c r="E16" s="116"/>
      <c r="F16" s="116"/>
      <c r="G16" s="116"/>
      <c r="H16" s="116"/>
      <c r="I16" s="116"/>
      <c r="J16" s="121"/>
      <c r="K16" s="121"/>
      <c r="L16" s="121"/>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row>
    <row r="17" spans="1:174" s="122" customFormat="1" ht="28.5" customHeight="1">
      <c r="A17" s="117"/>
      <c r="B17" s="117"/>
      <c r="C17" s="130"/>
      <c r="D17" s="131" t="s">
        <v>3849</v>
      </c>
      <c r="E17" s="131"/>
      <c r="F17" s="131"/>
      <c r="G17" s="131"/>
      <c r="H17" s="131"/>
      <c r="I17" s="131"/>
      <c r="J17" s="121"/>
      <c r="K17" s="121"/>
      <c r="L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row>
    <row r="18" spans="1:174" s="122" customFormat="1" ht="21.75" customHeight="1">
      <c r="A18" s="117"/>
      <c r="B18" s="117"/>
      <c r="C18" s="130"/>
      <c r="D18" s="132" t="s">
        <v>3850</v>
      </c>
      <c r="E18" s="132"/>
      <c r="F18" s="132"/>
      <c r="G18" s="132"/>
      <c r="H18" s="132"/>
      <c r="I18" s="132"/>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row>
    <row r="19" spans="1:174" s="122" customFormat="1" ht="21" customHeight="1">
      <c r="A19" s="117"/>
      <c r="B19" s="117"/>
      <c r="C19" s="130"/>
      <c r="D19" s="133" t="s">
        <v>3851</v>
      </c>
      <c r="E19" s="131"/>
      <c r="F19" s="131"/>
      <c r="G19" s="131"/>
      <c r="H19" s="131"/>
      <c r="I19" s="13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row>
    <row r="20" spans="1:174" s="122" customFormat="1" ht="24.75" customHeight="1">
      <c r="A20" s="117"/>
      <c r="B20" s="117"/>
      <c r="C20" s="134"/>
      <c r="D20" s="219" t="s">
        <v>4121</v>
      </c>
      <c r="E20" s="116"/>
      <c r="F20" s="116"/>
      <c r="G20" s="116"/>
      <c r="H20" s="116"/>
      <c r="I20" s="116"/>
      <c r="J20" s="121"/>
      <c r="K20" s="121"/>
      <c r="L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row>
    <row r="21" spans="1:174" s="122" customFormat="1" ht="30" customHeight="1">
      <c r="A21" s="117"/>
      <c r="B21" s="117"/>
      <c r="C21" s="134"/>
      <c r="D21" s="219" t="s">
        <v>4346</v>
      </c>
      <c r="E21" s="116"/>
      <c r="F21" s="116"/>
      <c r="G21" s="116"/>
      <c r="H21" s="116"/>
      <c r="I21" s="116"/>
      <c r="J21" s="121"/>
      <c r="K21" s="121"/>
      <c r="L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row>
    <row r="22" spans="1:174" s="122" customFormat="1" ht="15.75" customHeight="1">
      <c r="A22" s="117"/>
      <c r="B22" s="117"/>
      <c r="C22" s="135"/>
      <c r="D22" s="133" t="s">
        <v>1788</v>
      </c>
      <c r="E22" s="134"/>
      <c r="F22" s="136"/>
      <c r="G22" s="136"/>
      <c r="H22" s="136"/>
      <c r="I22" s="136"/>
      <c r="J22" s="121"/>
      <c r="K22" s="121"/>
      <c r="L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row>
    <row r="23" spans="1:174" s="122" customFormat="1" ht="33.75" customHeight="1">
      <c r="A23" s="117"/>
      <c r="B23" s="117"/>
      <c r="C23" s="134"/>
      <c r="D23" s="116" t="s">
        <v>1267</v>
      </c>
      <c r="E23" s="137"/>
      <c r="F23" s="137"/>
      <c r="G23" s="137"/>
      <c r="H23" s="137"/>
      <c r="I23" s="137"/>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c r="FE23" s="121"/>
      <c r="FF23" s="121"/>
      <c r="FG23" s="121"/>
      <c r="FH23" s="121"/>
      <c r="FI23" s="121"/>
      <c r="FJ23" s="121"/>
      <c r="FK23" s="121"/>
      <c r="FL23" s="121"/>
      <c r="FM23" s="121"/>
      <c r="FN23" s="121"/>
      <c r="FO23" s="121"/>
      <c r="FP23" s="121"/>
      <c r="FQ23" s="121"/>
      <c r="FR23" s="121"/>
    </row>
    <row r="24" spans="1:174" s="122" customFormat="1" ht="15.75" customHeight="1">
      <c r="A24" s="117"/>
      <c r="B24" s="117"/>
      <c r="C24" s="135"/>
      <c r="D24" s="133" t="s">
        <v>1268</v>
      </c>
      <c r="E24" s="134"/>
      <c r="F24" s="136"/>
      <c r="G24" s="136"/>
      <c r="H24" s="136"/>
      <c r="I24" s="136"/>
      <c r="J24" s="121"/>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row>
    <row r="25" spans="1:174" s="96" customFormat="1" ht="25.5">
      <c r="A25" s="138"/>
      <c r="B25" s="138"/>
      <c r="C25" s="135"/>
      <c r="D25" s="137" t="s">
        <v>1269</v>
      </c>
      <c r="E25" s="137"/>
      <c r="F25" s="137"/>
      <c r="G25" s="137"/>
      <c r="H25" s="137"/>
      <c r="I25" s="137"/>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39"/>
      <c r="BO25" s="139"/>
      <c r="BP25" s="139"/>
      <c r="BQ25" s="139"/>
      <c r="BR25" s="139"/>
      <c r="BS25" s="139"/>
      <c r="BT25" s="139"/>
      <c r="BU25" s="139"/>
      <c r="BV25" s="139"/>
      <c r="BW25" s="139"/>
      <c r="BX25" s="139"/>
      <c r="BY25" s="139"/>
      <c r="BZ25" s="139"/>
      <c r="CA25" s="139"/>
      <c r="CB25" s="139"/>
      <c r="CC25" s="139"/>
      <c r="CD25" s="139"/>
      <c r="CE25" s="139"/>
      <c r="CF25" s="139"/>
      <c r="CG25" s="139"/>
      <c r="CH25" s="139"/>
      <c r="CI25" s="139"/>
      <c r="CJ25" s="139"/>
      <c r="CK25" s="139"/>
      <c r="CL25" s="139"/>
      <c r="CM25" s="139"/>
      <c r="CN25" s="139"/>
      <c r="CO25" s="139"/>
      <c r="CP25" s="139"/>
      <c r="CQ25" s="139"/>
      <c r="CR25" s="139"/>
      <c r="CS25" s="139"/>
      <c r="CT25" s="139"/>
      <c r="CU25" s="139"/>
      <c r="CV25" s="139"/>
      <c r="CW25" s="139"/>
      <c r="CX25" s="139"/>
      <c r="CY25" s="139"/>
      <c r="CZ25" s="139"/>
      <c r="DA25" s="139"/>
      <c r="DB25" s="139"/>
      <c r="DC25" s="139"/>
      <c r="DD25" s="139"/>
      <c r="DE25" s="139"/>
      <c r="DF25" s="139"/>
      <c r="DG25" s="139"/>
      <c r="DH25" s="139"/>
      <c r="DI25" s="139"/>
      <c r="DJ25" s="139"/>
      <c r="DK25" s="139"/>
      <c r="DL25" s="139"/>
      <c r="DM25" s="139"/>
      <c r="DN25" s="139"/>
      <c r="DO25" s="139"/>
      <c r="DP25" s="139"/>
      <c r="DQ25" s="139"/>
      <c r="DR25" s="139"/>
      <c r="DS25" s="139"/>
      <c r="DT25" s="139"/>
      <c r="DU25" s="139"/>
      <c r="DV25" s="139"/>
      <c r="DW25" s="139"/>
      <c r="DX25" s="139"/>
      <c r="DY25" s="139"/>
      <c r="DZ25" s="139"/>
      <c r="EA25" s="139"/>
      <c r="EB25" s="139"/>
      <c r="EC25" s="139"/>
      <c r="ED25" s="139"/>
      <c r="EE25" s="139"/>
      <c r="EF25" s="139"/>
      <c r="EG25" s="139"/>
      <c r="EH25" s="139"/>
      <c r="EI25" s="139"/>
      <c r="EJ25" s="139"/>
      <c r="EK25" s="139"/>
      <c r="EL25" s="139"/>
      <c r="EM25" s="139"/>
      <c r="EN25" s="139"/>
      <c r="EO25" s="139"/>
      <c r="EP25" s="139"/>
      <c r="EQ25" s="139"/>
      <c r="ER25" s="139"/>
      <c r="ES25" s="139"/>
      <c r="ET25" s="139"/>
      <c r="EU25" s="139"/>
      <c r="EV25" s="139"/>
      <c r="EW25" s="139"/>
      <c r="EX25" s="139"/>
      <c r="EY25" s="139"/>
      <c r="EZ25" s="139"/>
      <c r="FA25" s="139"/>
      <c r="FB25" s="139"/>
      <c r="FC25" s="139"/>
      <c r="FD25" s="139"/>
      <c r="FE25" s="139"/>
      <c r="FF25" s="139"/>
      <c r="FG25" s="139"/>
      <c r="FH25" s="139"/>
      <c r="FI25" s="139"/>
      <c r="FJ25" s="139"/>
      <c r="FK25" s="139"/>
      <c r="FL25" s="139"/>
      <c r="FM25" s="139"/>
      <c r="FN25" s="139"/>
      <c r="FO25" s="139"/>
      <c r="FP25" s="139"/>
      <c r="FQ25" s="139"/>
      <c r="FR25" s="139"/>
    </row>
    <row r="26" spans="1:174" s="96" customFormat="1">
      <c r="A26" s="138"/>
      <c r="B26" s="138"/>
      <c r="C26" s="135"/>
      <c r="D26" s="137" t="s">
        <v>1378</v>
      </c>
      <c r="E26" s="137"/>
      <c r="F26" s="137"/>
      <c r="G26" s="137"/>
      <c r="H26" s="137"/>
      <c r="I26" s="137"/>
      <c r="J26" s="139"/>
      <c r="K26" s="139"/>
      <c r="L26" s="139"/>
      <c r="M26" s="139"/>
      <c r="N26" s="139"/>
      <c r="O26" s="139"/>
      <c r="P26" s="139"/>
      <c r="Q26" s="139"/>
      <c r="R26" s="139"/>
      <c r="S26" s="139"/>
      <c r="T26" s="139"/>
      <c r="U26" s="139"/>
      <c r="V26" s="139"/>
      <c r="W26" s="139"/>
      <c r="X26" s="139"/>
      <c r="Y26" s="139"/>
      <c r="Z26" s="139"/>
      <c r="AA26" s="139"/>
      <c r="AB26" s="139"/>
      <c r="AC26" s="139"/>
      <c r="AD26" s="139"/>
      <c r="AE26" s="139"/>
      <c r="AF26" s="139"/>
      <c r="AG26" s="139"/>
      <c r="AH26" s="139"/>
      <c r="AI26" s="139"/>
      <c r="AJ26" s="139"/>
      <c r="AK26" s="139"/>
      <c r="AL26" s="139"/>
      <c r="AM26" s="139"/>
      <c r="AN26" s="139"/>
      <c r="AO26" s="139"/>
      <c r="AP26" s="139"/>
      <c r="AQ26" s="139"/>
      <c r="AR26" s="139"/>
      <c r="AS26" s="139"/>
      <c r="AT26" s="139"/>
      <c r="AU26" s="139"/>
      <c r="AV26" s="139"/>
      <c r="AW26" s="139"/>
      <c r="AX26" s="139"/>
      <c r="AY26" s="139"/>
      <c r="AZ26" s="139"/>
      <c r="BA26" s="139"/>
      <c r="BB26" s="139"/>
      <c r="BC26" s="139"/>
      <c r="BD26" s="139"/>
      <c r="BE26" s="139"/>
      <c r="BF26" s="139"/>
      <c r="BG26" s="139"/>
      <c r="BH26" s="139"/>
      <c r="BI26" s="139"/>
      <c r="BJ26" s="139"/>
      <c r="BK26" s="139"/>
      <c r="BL26" s="139"/>
      <c r="BM26" s="139"/>
      <c r="BN26" s="139"/>
      <c r="BO26" s="139"/>
      <c r="BP26" s="139"/>
      <c r="BQ26" s="139"/>
      <c r="BR26" s="139"/>
      <c r="BS26" s="139"/>
      <c r="BT26" s="139"/>
      <c r="BU26" s="139"/>
      <c r="BV26" s="139"/>
      <c r="BW26" s="139"/>
      <c r="BX26" s="139"/>
      <c r="BY26" s="139"/>
      <c r="BZ26" s="139"/>
      <c r="CA26" s="139"/>
      <c r="CB26" s="139"/>
      <c r="CC26" s="139"/>
      <c r="CD26" s="139"/>
      <c r="CE26" s="139"/>
      <c r="CF26" s="139"/>
      <c r="CG26" s="139"/>
      <c r="CH26" s="139"/>
      <c r="CI26" s="139"/>
      <c r="CJ26" s="139"/>
      <c r="CK26" s="139"/>
      <c r="CL26" s="139"/>
      <c r="CM26" s="139"/>
      <c r="CN26" s="139"/>
      <c r="CO26" s="139"/>
      <c r="CP26" s="139"/>
      <c r="CQ26" s="139"/>
      <c r="CR26" s="139"/>
      <c r="CS26" s="139"/>
      <c r="CT26" s="139"/>
      <c r="CU26" s="139"/>
      <c r="CV26" s="139"/>
      <c r="CW26" s="139"/>
      <c r="CX26" s="139"/>
      <c r="CY26" s="139"/>
      <c r="CZ26" s="139"/>
      <c r="DA26" s="139"/>
      <c r="DB26" s="139"/>
      <c r="DC26" s="139"/>
      <c r="DD26" s="139"/>
      <c r="DE26" s="139"/>
      <c r="DF26" s="139"/>
      <c r="DG26" s="139"/>
      <c r="DH26" s="139"/>
      <c r="DI26" s="139"/>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139"/>
      <c r="EJ26" s="139"/>
      <c r="EK26" s="139"/>
      <c r="EL26" s="139"/>
      <c r="EM26" s="139"/>
      <c r="EN26" s="139"/>
      <c r="EO26" s="139"/>
      <c r="EP26" s="139"/>
      <c r="EQ26" s="139"/>
      <c r="ER26" s="139"/>
      <c r="ES26" s="139"/>
      <c r="ET26" s="139"/>
      <c r="EU26" s="139"/>
      <c r="EV26" s="139"/>
      <c r="EW26" s="139"/>
      <c r="EX26" s="139"/>
      <c r="EY26" s="139"/>
      <c r="EZ26" s="139"/>
      <c r="FA26" s="139"/>
      <c r="FB26" s="139"/>
      <c r="FC26" s="139"/>
      <c r="FD26" s="139"/>
      <c r="FE26" s="139"/>
      <c r="FF26" s="139"/>
      <c r="FG26" s="139"/>
      <c r="FH26" s="139"/>
      <c r="FI26" s="139"/>
      <c r="FJ26" s="139"/>
      <c r="FK26" s="139"/>
      <c r="FL26" s="139"/>
      <c r="FM26" s="139"/>
      <c r="FN26" s="139"/>
      <c r="FO26" s="139"/>
      <c r="FP26" s="139"/>
      <c r="FQ26" s="139"/>
      <c r="FR26" s="139"/>
    </row>
    <row r="27" spans="1:174" s="96" customFormat="1">
      <c r="A27" s="138"/>
      <c r="B27" s="138"/>
      <c r="C27" s="135"/>
      <c r="D27" s="137" t="s">
        <v>1379</v>
      </c>
      <c r="E27" s="137"/>
      <c r="F27" s="137"/>
      <c r="G27" s="137"/>
      <c r="H27" s="137"/>
      <c r="I27" s="137"/>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39"/>
      <c r="BA27" s="139"/>
      <c r="BB27" s="139"/>
      <c r="BC27" s="139"/>
      <c r="BD27" s="139"/>
      <c r="BE27" s="139"/>
      <c r="BF27" s="139"/>
      <c r="BG27" s="139"/>
      <c r="BH27" s="139"/>
      <c r="BI27" s="139"/>
      <c r="BJ27" s="139"/>
      <c r="BK27" s="139"/>
      <c r="BL27" s="139"/>
      <c r="BM27" s="139"/>
      <c r="BN27" s="139"/>
      <c r="BO27" s="139"/>
      <c r="BP27" s="139"/>
      <c r="BQ27" s="139"/>
      <c r="BR27" s="139"/>
      <c r="BS27" s="139"/>
      <c r="BT27" s="139"/>
      <c r="BU27" s="139"/>
      <c r="BV27" s="139"/>
      <c r="BW27" s="139"/>
      <c r="BX27" s="139"/>
      <c r="BY27" s="139"/>
      <c r="BZ27" s="139"/>
      <c r="CA27" s="139"/>
      <c r="CB27" s="139"/>
      <c r="CC27" s="139"/>
      <c r="CD27" s="139"/>
      <c r="CE27" s="139"/>
      <c r="CF27" s="139"/>
      <c r="CG27" s="139"/>
      <c r="CH27" s="139"/>
      <c r="CI27" s="139"/>
      <c r="CJ27" s="139"/>
      <c r="CK27" s="139"/>
      <c r="CL27" s="139"/>
      <c r="CM27" s="139"/>
      <c r="CN27" s="139"/>
      <c r="CO27" s="139"/>
      <c r="CP27" s="139"/>
      <c r="CQ27" s="139"/>
      <c r="CR27" s="139"/>
      <c r="CS27" s="139"/>
      <c r="CT27" s="139"/>
      <c r="CU27" s="139"/>
      <c r="CV27" s="139"/>
      <c r="CW27" s="139"/>
      <c r="CX27" s="139"/>
      <c r="CY27" s="139"/>
      <c r="CZ27" s="139"/>
      <c r="DA27" s="139"/>
      <c r="DB27" s="139"/>
      <c r="DC27" s="139"/>
      <c r="DD27" s="139"/>
      <c r="DE27" s="139"/>
      <c r="DF27" s="139"/>
      <c r="DG27" s="139"/>
      <c r="DH27" s="139"/>
      <c r="DI27" s="139"/>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139"/>
      <c r="EJ27" s="139"/>
      <c r="EK27" s="139"/>
      <c r="EL27" s="139"/>
      <c r="EM27" s="139"/>
      <c r="EN27" s="139"/>
      <c r="EO27" s="139"/>
      <c r="EP27" s="139"/>
      <c r="EQ27" s="139"/>
      <c r="ER27" s="139"/>
      <c r="ES27" s="139"/>
      <c r="ET27" s="139"/>
      <c r="EU27" s="139"/>
      <c r="EV27" s="139"/>
      <c r="EW27" s="139"/>
      <c r="EX27" s="139"/>
      <c r="EY27" s="139"/>
      <c r="EZ27" s="139"/>
      <c r="FA27" s="139"/>
      <c r="FB27" s="139"/>
      <c r="FC27" s="139"/>
      <c r="FD27" s="139"/>
      <c r="FE27" s="139"/>
      <c r="FF27" s="139"/>
      <c r="FG27" s="139"/>
      <c r="FH27" s="139"/>
      <c r="FI27" s="139"/>
      <c r="FJ27" s="139"/>
      <c r="FK27" s="139"/>
      <c r="FL27" s="139"/>
      <c r="FM27" s="139"/>
      <c r="FN27" s="139"/>
      <c r="FO27" s="139"/>
      <c r="FP27" s="139"/>
      <c r="FQ27" s="139"/>
      <c r="FR27" s="139"/>
    </row>
    <row r="28" spans="1:174" s="96" customFormat="1" ht="21.75" customHeight="1">
      <c r="A28" s="138"/>
      <c r="B28" s="138"/>
      <c r="C28" s="135"/>
      <c r="D28" s="133" t="s">
        <v>1207</v>
      </c>
      <c r="E28" s="134"/>
      <c r="F28" s="136"/>
      <c r="G28" s="136"/>
      <c r="H28" s="136"/>
      <c r="I28" s="136"/>
      <c r="J28" s="139"/>
      <c r="K28" s="139"/>
      <c r="L28" s="139"/>
      <c r="M28" s="139"/>
      <c r="N28" s="139"/>
      <c r="O28" s="139"/>
      <c r="P28" s="139"/>
      <c r="Q28" s="139"/>
      <c r="R28" s="139"/>
      <c r="S28" s="139"/>
      <c r="T28" s="139"/>
      <c r="U28" s="139"/>
      <c r="V28" s="139"/>
      <c r="W28" s="139"/>
      <c r="X28" s="139"/>
      <c r="Y28" s="139"/>
      <c r="Z28" s="139"/>
      <c r="AA28" s="139"/>
      <c r="AB28" s="139"/>
      <c r="AC28" s="139"/>
      <c r="AD28" s="139"/>
      <c r="AE28" s="139"/>
      <c r="AF28" s="139"/>
      <c r="AG28" s="139"/>
      <c r="AH28" s="139"/>
      <c r="AI28" s="139"/>
      <c r="AJ28" s="139"/>
      <c r="AK28" s="139"/>
      <c r="AL28" s="139"/>
      <c r="AM28" s="139"/>
      <c r="AN28" s="139"/>
      <c r="AO28" s="139"/>
      <c r="AP28" s="139"/>
      <c r="AQ28" s="139"/>
      <c r="AR28" s="139"/>
      <c r="AS28" s="139"/>
      <c r="AT28" s="139"/>
      <c r="AU28" s="139"/>
      <c r="AV28" s="139"/>
      <c r="AW28" s="139"/>
      <c r="AX28" s="139"/>
      <c r="AY28" s="139"/>
      <c r="AZ28" s="139"/>
      <c r="BA28" s="139"/>
      <c r="BB28" s="139"/>
      <c r="BC28" s="139"/>
      <c r="BD28" s="139"/>
      <c r="BE28" s="139"/>
      <c r="BF28" s="139"/>
      <c r="BG28" s="139"/>
      <c r="BH28" s="139"/>
      <c r="BI28" s="139"/>
      <c r="BJ28" s="139"/>
      <c r="BK28" s="139"/>
      <c r="BL28" s="139"/>
      <c r="BM28" s="139"/>
      <c r="BN28" s="139"/>
      <c r="BO28" s="139"/>
      <c r="BP28" s="139"/>
      <c r="BQ28" s="139"/>
      <c r="BR28" s="139"/>
      <c r="BS28" s="139"/>
      <c r="BT28" s="139"/>
      <c r="BU28" s="139"/>
      <c r="BV28" s="139"/>
      <c r="BW28" s="139"/>
      <c r="BX28" s="139"/>
      <c r="BY28" s="139"/>
      <c r="BZ28" s="139"/>
      <c r="CA28" s="139"/>
      <c r="CB28" s="139"/>
      <c r="CC28" s="139"/>
      <c r="CD28" s="139"/>
      <c r="CE28" s="139"/>
      <c r="CF28" s="139"/>
      <c r="CG28" s="139"/>
      <c r="CH28" s="139"/>
      <c r="CI28" s="139"/>
      <c r="CJ28" s="139"/>
      <c r="CK28" s="139"/>
      <c r="CL28" s="139"/>
      <c r="CM28" s="139"/>
      <c r="CN28" s="139"/>
      <c r="CO28" s="139"/>
      <c r="CP28" s="139"/>
      <c r="CQ28" s="139"/>
      <c r="CR28" s="139"/>
      <c r="CS28" s="139"/>
      <c r="CT28" s="139"/>
      <c r="CU28" s="139"/>
      <c r="CV28" s="139"/>
      <c r="CW28" s="139"/>
      <c r="CX28" s="139"/>
      <c r="CY28" s="139"/>
      <c r="CZ28" s="139"/>
      <c r="DA28" s="139"/>
      <c r="DB28" s="139"/>
      <c r="DC28" s="139"/>
      <c r="DD28" s="139"/>
      <c r="DE28" s="139"/>
      <c r="DF28" s="139"/>
      <c r="DG28" s="139"/>
      <c r="DH28" s="139"/>
      <c r="DI28" s="139"/>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9"/>
      <c r="EZ28" s="139"/>
      <c r="FA28" s="139"/>
      <c r="FB28" s="139"/>
      <c r="FC28" s="139"/>
      <c r="FD28" s="139"/>
      <c r="FE28" s="139"/>
      <c r="FF28" s="139"/>
      <c r="FG28" s="139"/>
      <c r="FH28" s="139"/>
      <c r="FI28" s="139"/>
      <c r="FJ28" s="139"/>
      <c r="FK28" s="139"/>
      <c r="FL28" s="139"/>
      <c r="FM28" s="139"/>
      <c r="FN28" s="139"/>
      <c r="FO28" s="139"/>
      <c r="FP28" s="139"/>
      <c r="FQ28" s="139"/>
      <c r="FR28" s="139"/>
    </row>
    <row r="29" spans="1:174" s="96" customFormat="1" ht="44.25" customHeight="1">
      <c r="A29" s="138"/>
      <c r="B29" s="138"/>
      <c r="C29" s="135"/>
      <c r="D29" s="137" t="s">
        <v>1887</v>
      </c>
      <c r="E29" s="137"/>
      <c r="F29" s="137"/>
      <c r="G29" s="137"/>
      <c r="H29" s="137"/>
      <c r="I29" s="137"/>
      <c r="J29" s="139"/>
      <c r="K29" s="139"/>
      <c r="L29" s="139"/>
      <c r="M29" s="139"/>
      <c r="N29" s="139"/>
      <c r="O29" s="139"/>
      <c r="P29" s="139"/>
      <c r="Q29" s="139"/>
      <c r="R29" s="139"/>
      <c r="S29" s="139"/>
      <c r="T29" s="139"/>
      <c r="U29" s="139"/>
      <c r="V29" s="139"/>
      <c r="W29" s="139"/>
      <c r="X29" s="139"/>
      <c r="Y29" s="139"/>
      <c r="Z29" s="139"/>
      <c r="AA29" s="139"/>
      <c r="AB29" s="139"/>
      <c r="AC29" s="139"/>
      <c r="AD29" s="139"/>
      <c r="AE29" s="139"/>
      <c r="AF29" s="139"/>
      <c r="AG29" s="139"/>
      <c r="AH29" s="139"/>
      <c r="AI29" s="139"/>
      <c r="AJ29" s="139"/>
      <c r="AK29" s="139"/>
      <c r="AL29" s="139"/>
      <c r="AM29" s="139"/>
      <c r="AN29" s="139"/>
      <c r="AO29" s="139"/>
      <c r="AP29" s="139"/>
      <c r="AQ29" s="139"/>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9"/>
      <c r="CI29" s="139"/>
      <c r="CJ29" s="139"/>
      <c r="CK29" s="139"/>
      <c r="CL29" s="139"/>
      <c r="CM29" s="139"/>
      <c r="CN29" s="139"/>
      <c r="CO29" s="139"/>
      <c r="CP29" s="139"/>
      <c r="CQ29" s="139"/>
      <c r="CR29" s="139"/>
      <c r="CS29" s="139"/>
      <c r="CT29" s="139"/>
      <c r="CU29" s="139"/>
      <c r="CV29" s="139"/>
      <c r="CW29" s="139"/>
      <c r="CX29" s="139"/>
      <c r="CY29" s="139"/>
      <c r="CZ29" s="139"/>
      <c r="DA29" s="139"/>
      <c r="DB29" s="139"/>
      <c r="DC29" s="139"/>
      <c r="DD29" s="139"/>
      <c r="DE29" s="139"/>
      <c r="DF29" s="139"/>
      <c r="DG29" s="139"/>
      <c r="DH29" s="139"/>
      <c r="DI29" s="139"/>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139"/>
      <c r="EJ29" s="139"/>
      <c r="EK29" s="139"/>
      <c r="EL29" s="139"/>
      <c r="EM29" s="139"/>
      <c r="EN29" s="139"/>
      <c r="EO29" s="139"/>
      <c r="EP29" s="139"/>
      <c r="EQ29" s="139"/>
      <c r="ER29" s="139"/>
      <c r="ES29" s="139"/>
      <c r="ET29" s="139"/>
      <c r="EU29" s="139"/>
      <c r="EV29" s="139"/>
      <c r="EW29" s="139"/>
      <c r="EX29" s="139"/>
      <c r="EY29" s="139"/>
      <c r="EZ29" s="139"/>
      <c r="FA29" s="139"/>
      <c r="FB29" s="139"/>
      <c r="FC29" s="139"/>
      <c r="FD29" s="139"/>
      <c r="FE29" s="139"/>
      <c r="FF29" s="139"/>
      <c r="FG29" s="139"/>
      <c r="FH29" s="139"/>
      <c r="FI29" s="139"/>
      <c r="FJ29" s="139"/>
      <c r="FK29" s="139"/>
      <c r="FL29" s="139"/>
      <c r="FM29" s="139"/>
      <c r="FN29" s="139"/>
      <c r="FO29" s="139"/>
      <c r="FP29" s="139"/>
      <c r="FQ29" s="139"/>
      <c r="FR29" s="139"/>
    </row>
    <row r="30" spans="1:174" s="96" customFormat="1" ht="5.25" customHeight="1">
      <c r="A30" s="138"/>
      <c r="B30" s="138"/>
      <c r="C30" s="135"/>
      <c r="D30" s="137"/>
      <c r="E30" s="137"/>
      <c r="F30" s="137"/>
      <c r="G30" s="137"/>
      <c r="H30" s="137"/>
      <c r="I30" s="137"/>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c r="BA30" s="139"/>
      <c r="BB30" s="139"/>
      <c r="BC30" s="139"/>
      <c r="BD30" s="139"/>
      <c r="BE30" s="139"/>
      <c r="BF30" s="139"/>
      <c r="BG30" s="139"/>
      <c r="BH30" s="139"/>
      <c r="BI30" s="139"/>
      <c r="BJ30" s="139"/>
      <c r="BK30" s="139"/>
      <c r="BL30" s="139"/>
      <c r="BM30" s="139"/>
      <c r="BN30" s="139"/>
      <c r="BO30" s="139"/>
      <c r="BP30" s="139"/>
      <c r="BQ30" s="139"/>
      <c r="BR30" s="139"/>
      <c r="BS30" s="139"/>
      <c r="BT30" s="139"/>
      <c r="BU30" s="139"/>
      <c r="BV30" s="139"/>
      <c r="BW30" s="139"/>
      <c r="BX30" s="139"/>
      <c r="BY30" s="139"/>
      <c r="BZ30" s="139"/>
      <c r="CA30" s="139"/>
      <c r="CB30" s="139"/>
      <c r="CC30" s="139"/>
      <c r="CD30" s="139"/>
      <c r="CE30" s="139"/>
      <c r="CF30" s="139"/>
      <c r="CG30" s="139"/>
      <c r="CH30" s="139"/>
      <c r="CI30" s="139"/>
      <c r="CJ30" s="139"/>
      <c r="CK30" s="139"/>
      <c r="CL30" s="139"/>
      <c r="CM30" s="139"/>
      <c r="CN30" s="139"/>
      <c r="CO30" s="139"/>
      <c r="CP30" s="139"/>
      <c r="CQ30" s="139"/>
      <c r="CR30" s="139"/>
      <c r="CS30" s="139"/>
      <c r="CT30" s="139"/>
      <c r="CU30" s="139"/>
      <c r="CV30" s="139"/>
      <c r="CW30" s="139"/>
      <c r="CX30" s="139"/>
      <c r="CY30" s="139"/>
      <c r="CZ30" s="139"/>
      <c r="DA30" s="139"/>
      <c r="DB30" s="139"/>
      <c r="DC30" s="139"/>
      <c r="DD30" s="139"/>
      <c r="DE30" s="139"/>
      <c r="DF30" s="139"/>
      <c r="DG30" s="139"/>
      <c r="DH30" s="139"/>
      <c r="DI30" s="139"/>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139"/>
      <c r="EJ30" s="139"/>
      <c r="EK30" s="139"/>
      <c r="EL30" s="139"/>
      <c r="EM30" s="139"/>
      <c r="EN30" s="139"/>
      <c r="EO30" s="139"/>
      <c r="EP30" s="139"/>
      <c r="EQ30" s="139"/>
      <c r="ER30" s="139"/>
      <c r="ES30" s="139"/>
      <c r="ET30" s="139"/>
      <c r="EU30" s="139"/>
      <c r="EV30" s="139"/>
      <c r="EW30" s="139"/>
      <c r="EX30" s="139"/>
      <c r="EY30" s="139"/>
      <c r="EZ30" s="139"/>
      <c r="FA30" s="139"/>
      <c r="FB30" s="139"/>
      <c r="FC30" s="139"/>
      <c r="FD30" s="139"/>
      <c r="FE30" s="139"/>
      <c r="FF30" s="139"/>
      <c r="FG30" s="139"/>
      <c r="FH30" s="139"/>
      <c r="FI30" s="139"/>
      <c r="FJ30" s="139"/>
      <c r="FK30" s="139"/>
      <c r="FL30" s="139"/>
      <c r="FM30" s="139"/>
      <c r="FN30" s="139"/>
      <c r="FO30" s="139"/>
      <c r="FP30" s="139"/>
      <c r="FQ30" s="139"/>
      <c r="FR30" s="139"/>
    </row>
    <row r="31" spans="1:174" s="122" customFormat="1" ht="21.75" customHeight="1">
      <c r="A31" s="117"/>
      <c r="B31" s="117"/>
      <c r="C31" s="130"/>
      <c r="D31" s="132" t="s">
        <v>1559</v>
      </c>
      <c r="E31" s="132"/>
      <c r="F31" s="132"/>
      <c r="G31" s="132"/>
      <c r="H31" s="132"/>
      <c r="I31" s="132"/>
      <c r="J31" s="121"/>
      <c r="K31" s="121"/>
      <c r="L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row>
    <row r="32" spans="1:174" s="96" customFormat="1" ht="5.25" customHeight="1">
      <c r="A32" s="138"/>
      <c r="B32" s="138"/>
      <c r="C32" s="135"/>
      <c r="D32" s="137"/>
      <c r="E32" s="137"/>
      <c r="F32" s="137"/>
      <c r="G32" s="137"/>
      <c r="H32" s="137"/>
      <c r="I32" s="137"/>
      <c r="J32" s="139"/>
      <c r="K32" s="139"/>
      <c r="L32" s="139"/>
      <c r="M32" s="139"/>
      <c r="N32" s="139"/>
      <c r="O32" s="139"/>
      <c r="P32" s="139"/>
      <c r="Q32" s="139"/>
      <c r="R32" s="139"/>
      <c r="S32" s="139"/>
      <c r="T32" s="139"/>
      <c r="U32" s="139"/>
      <c r="V32" s="139"/>
      <c r="W32" s="139"/>
      <c r="X32" s="139"/>
      <c r="Y32" s="139"/>
      <c r="Z32" s="139"/>
      <c r="AA32" s="139"/>
      <c r="AB32" s="139"/>
      <c r="AC32" s="139"/>
      <c r="AD32" s="139"/>
      <c r="AE32" s="139"/>
      <c r="AF32" s="139"/>
      <c r="AG32" s="139"/>
      <c r="AH32" s="139"/>
      <c r="AI32" s="139"/>
      <c r="AJ32" s="139"/>
      <c r="AK32" s="139"/>
      <c r="AL32" s="139"/>
      <c r="AM32" s="139"/>
      <c r="AN32" s="139"/>
      <c r="AO32" s="139"/>
      <c r="AP32" s="139"/>
      <c r="AQ32" s="139"/>
      <c r="AR32" s="139"/>
      <c r="AS32" s="139"/>
      <c r="AT32" s="139"/>
      <c r="AU32" s="139"/>
      <c r="AV32" s="139"/>
      <c r="AW32" s="139"/>
      <c r="AX32" s="139"/>
      <c r="AY32" s="139"/>
      <c r="AZ32" s="139"/>
      <c r="BA32" s="139"/>
      <c r="BB32" s="139"/>
      <c r="BC32" s="139"/>
      <c r="BD32" s="139"/>
      <c r="BE32" s="139"/>
      <c r="BF32" s="139"/>
      <c r="BG32" s="139"/>
      <c r="BH32" s="139"/>
      <c r="BI32" s="139"/>
      <c r="BJ32" s="139"/>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9"/>
      <c r="CI32" s="139"/>
      <c r="CJ32" s="139"/>
      <c r="CK32" s="139"/>
      <c r="CL32" s="139"/>
      <c r="CM32" s="139"/>
      <c r="CN32" s="139"/>
      <c r="CO32" s="139"/>
      <c r="CP32" s="139"/>
      <c r="CQ32" s="139"/>
      <c r="CR32" s="139"/>
      <c r="CS32" s="139"/>
      <c r="CT32" s="139"/>
      <c r="CU32" s="139"/>
      <c r="CV32" s="139"/>
      <c r="CW32" s="139"/>
      <c r="CX32" s="139"/>
      <c r="CY32" s="139"/>
      <c r="CZ32" s="139"/>
      <c r="DA32" s="139"/>
      <c r="DB32" s="139"/>
      <c r="DC32" s="139"/>
      <c r="DD32" s="139"/>
      <c r="DE32" s="139"/>
      <c r="DF32" s="139"/>
      <c r="DG32" s="139"/>
      <c r="DH32" s="139"/>
      <c r="DI32" s="139"/>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139"/>
      <c r="EJ32" s="139"/>
      <c r="EK32" s="139"/>
      <c r="EL32" s="139"/>
      <c r="EM32" s="139"/>
      <c r="EN32" s="139"/>
      <c r="EO32" s="139"/>
      <c r="EP32" s="139"/>
      <c r="EQ32" s="139"/>
      <c r="ER32" s="139"/>
      <c r="ES32" s="139"/>
      <c r="ET32" s="139"/>
      <c r="EU32" s="139"/>
      <c r="EV32" s="139"/>
      <c r="EW32" s="139"/>
      <c r="EX32" s="139"/>
      <c r="EY32" s="139"/>
      <c r="EZ32" s="139"/>
      <c r="FA32" s="139"/>
      <c r="FB32" s="139"/>
      <c r="FC32" s="139"/>
      <c r="FD32" s="139"/>
      <c r="FE32" s="139"/>
      <c r="FF32" s="139"/>
      <c r="FG32" s="139"/>
      <c r="FH32" s="139"/>
      <c r="FI32" s="139"/>
      <c r="FJ32" s="139"/>
      <c r="FK32" s="139"/>
      <c r="FL32" s="139"/>
      <c r="FM32" s="139"/>
      <c r="FN32" s="139"/>
      <c r="FO32" s="139"/>
      <c r="FP32" s="139"/>
      <c r="FQ32" s="139"/>
      <c r="FR32" s="139"/>
    </row>
    <row r="33" spans="1:174" s="96" customFormat="1" ht="13.15">
      <c r="A33" s="138"/>
      <c r="B33" s="138"/>
      <c r="C33" s="135"/>
      <c r="D33" s="133" t="s">
        <v>1380</v>
      </c>
      <c r="E33" s="134"/>
      <c r="F33" s="136"/>
      <c r="G33" s="136"/>
      <c r="H33" s="136"/>
      <c r="I33" s="136"/>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c r="AR33" s="139"/>
      <c r="AS33" s="139"/>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c r="CX33" s="139"/>
      <c r="CY33" s="139"/>
      <c r="CZ33" s="139"/>
      <c r="DA33" s="139"/>
      <c r="DB33" s="139"/>
      <c r="DC33" s="139"/>
      <c r="DD33" s="139"/>
      <c r="DE33" s="139"/>
      <c r="DF33" s="139"/>
      <c r="DG33" s="139"/>
      <c r="DH33" s="139"/>
      <c r="DI33" s="139"/>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139"/>
      <c r="EJ33" s="139"/>
      <c r="EK33" s="139"/>
      <c r="EL33" s="139"/>
      <c r="EM33" s="139"/>
      <c r="EN33" s="139"/>
      <c r="EO33" s="139"/>
      <c r="EP33" s="139"/>
      <c r="EQ33" s="139"/>
      <c r="ER33" s="139"/>
      <c r="ES33" s="139"/>
      <c r="ET33" s="139"/>
      <c r="EU33" s="139"/>
      <c r="EV33" s="139"/>
      <c r="EW33" s="139"/>
      <c r="EX33" s="139"/>
      <c r="EY33" s="139"/>
      <c r="EZ33" s="139"/>
      <c r="FA33" s="139"/>
      <c r="FB33" s="139"/>
      <c r="FC33" s="139"/>
      <c r="FD33" s="139"/>
      <c r="FE33" s="139"/>
      <c r="FF33" s="139"/>
      <c r="FG33" s="139"/>
      <c r="FH33" s="139"/>
      <c r="FI33" s="139"/>
      <c r="FJ33" s="139"/>
      <c r="FK33" s="139"/>
      <c r="FL33" s="139"/>
      <c r="FM33" s="139"/>
      <c r="FN33" s="139"/>
      <c r="FO33" s="139"/>
      <c r="FP33" s="139"/>
      <c r="FQ33" s="139"/>
      <c r="FR33" s="139"/>
    </row>
    <row r="34" spans="1:174" s="96" customFormat="1" ht="34.5" customHeight="1">
      <c r="A34" s="138"/>
      <c r="B34" s="138"/>
      <c r="C34" s="135"/>
      <c r="D34" s="137" t="s">
        <v>218</v>
      </c>
      <c r="E34" s="137"/>
      <c r="F34" s="137"/>
      <c r="G34" s="137"/>
      <c r="H34" s="137"/>
      <c r="I34" s="137"/>
      <c r="J34" s="139"/>
      <c r="K34" s="139"/>
      <c r="L34" s="139"/>
      <c r="M34" s="139"/>
      <c r="N34" s="139"/>
      <c r="O34" s="139"/>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39"/>
      <c r="AO34" s="139"/>
      <c r="AP34" s="139"/>
      <c r="AQ34" s="139"/>
      <c r="AR34" s="139"/>
      <c r="AS34" s="139"/>
      <c r="AT34" s="139"/>
      <c r="AU34" s="139"/>
      <c r="AV34" s="139"/>
      <c r="AW34" s="139"/>
      <c r="AX34" s="139"/>
      <c r="AY34" s="139"/>
      <c r="AZ34" s="139"/>
      <c r="BA34" s="139"/>
      <c r="BB34" s="139"/>
      <c r="BC34" s="139"/>
      <c r="BD34" s="139"/>
      <c r="BE34" s="139"/>
      <c r="BF34" s="139"/>
      <c r="BG34" s="139"/>
      <c r="BH34" s="139"/>
      <c r="BI34" s="139"/>
      <c r="BJ34" s="139"/>
      <c r="BK34" s="139"/>
      <c r="BL34" s="139"/>
      <c r="BM34" s="139"/>
      <c r="BN34" s="139"/>
      <c r="BO34" s="139"/>
      <c r="BP34" s="139"/>
      <c r="BQ34" s="139"/>
      <c r="BR34" s="139"/>
      <c r="BS34" s="139"/>
      <c r="BT34" s="139"/>
      <c r="BU34" s="139"/>
      <c r="BV34" s="139"/>
      <c r="BW34" s="139"/>
      <c r="BX34" s="139"/>
      <c r="BY34" s="139"/>
      <c r="BZ34" s="139"/>
      <c r="CA34" s="139"/>
      <c r="CB34" s="139"/>
      <c r="CC34" s="139"/>
      <c r="CD34" s="139"/>
      <c r="CE34" s="139"/>
      <c r="CF34" s="139"/>
      <c r="CG34" s="139"/>
      <c r="CH34" s="139"/>
      <c r="CI34" s="139"/>
      <c r="CJ34" s="139"/>
      <c r="CK34" s="139"/>
      <c r="CL34" s="139"/>
      <c r="CM34" s="139"/>
      <c r="CN34" s="139"/>
      <c r="CO34" s="139"/>
      <c r="CP34" s="139"/>
      <c r="CQ34" s="139"/>
      <c r="CR34" s="139"/>
      <c r="CS34" s="139"/>
      <c r="CT34" s="139"/>
      <c r="CU34" s="139"/>
      <c r="CV34" s="139"/>
      <c r="CW34" s="139"/>
      <c r="CX34" s="139"/>
      <c r="CY34" s="139"/>
      <c r="CZ34" s="139"/>
      <c r="DA34" s="139"/>
      <c r="DB34" s="139"/>
      <c r="DC34" s="139"/>
      <c r="DD34" s="139"/>
      <c r="DE34" s="139"/>
      <c r="DF34" s="139"/>
      <c r="DG34" s="139"/>
      <c r="DH34" s="139"/>
      <c r="DI34" s="139"/>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139"/>
      <c r="EJ34" s="139"/>
      <c r="EK34" s="139"/>
      <c r="EL34" s="139"/>
      <c r="EM34" s="139"/>
      <c r="EN34" s="139"/>
      <c r="EO34" s="139"/>
      <c r="EP34" s="139"/>
      <c r="EQ34" s="139"/>
      <c r="ER34" s="139"/>
      <c r="ES34" s="139"/>
      <c r="ET34" s="139"/>
      <c r="EU34" s="139"/>
      <c r="EV34" s="139"/>
      <c r="EW34" s="139"/>
      <c r="EX34" s="139"/>
      <c r="EY34" s="139"/>
      <c r="EZ34" s="139"/>
      <c r="FA34" s="139"/>
      <c r="FB34" s="139"/>
      <c r="FC34" s="139"/>
      <c r="FD34" s="139"/>
      <c r="FE34" s="139"/>
      <c r="FF34" s="139"/>
      <c r="FG34" s="139"/>
      <c r="FH34" s="139"/>
      <c r="FI34" s="139"/>
      <c r="FJ34" s="139"/>
      <c r="FK34" s="139"/>
      <c r="FL34" s="139"/>
      <c r="FM34" s="139"/>
      <c r="FN34" s="139"/>
      <c r="FO34" s="139"/>
      <c r="FP34" s="139"/>
      <c r="FQ34" s="139"/>
      <c r="FR34" s="139"/>
    </row>
    <row r="35" spans="1:174" s="96" customFormat="1" ht="27.75" customHeight="1">
      <c r="A35" s="138"/>
      <c r="B35" s="138"/>
      <c r="C35" s="135"/>
      <c r="D35" s="137" t="s">
        <v>1072</v>
      </c>
      <c r="E35" s="137"/>
      <c r="F35" s="137"/>
      <c r="G35" s="137"/>
      <c r="H35" s="137"/>
      <c r="I35" s="137"/>
      <c r="J35" s="139"/>
      <c r="K35" s="139"/>
      <c r="L35" s="139"/>
      <c r="M35" s="139"/>
      <c r="N35" s="139"/>
      <c r="O35" s="139"/>
      <c r="P35" s="139"/>
      <c r="Q35" s="139"/>
      <c r="R35" s="139"/>
      <c r="S35" s="139"/>
      <c r="T35" s="139"/>
      <c r="U35" s="139"/>
      <c r="V35" s="139"/>
      <c r="W35" s="139"/>
      <c r="X35" s="139"/>
      <c r="Y35" s="139"/>
      <c r="Z35" s="139"/>
      <c r="AA35" s="139"/>
      <c r="AB35" s="139"/>
      <c r="AC35" s="139"/>
      <c r="AD35" s="139"/>
      <c r="AE35" s="139"/>
      <c r="AF35" s="139"/>
      <c r="AG35" s="139"/>
      <c r="AH35" s="139"/>
      <c r="AI35" s="139"/>
      <c r="AJ35" s="139"/>
      <c r="AK35" s="139"/>
      <c r="AL35" s="139"/>
      <c r="AM35" s="139"/>
      <c r="AN35" s="139"/>
      <c r="AO35" s="139"/>
      <c r="AP35" s="139"/>
      <c r="AQ35" s="139"/>
      <c r="AR35" s="139"/>
      <c r="AS35" s="139"/>
      <c r="AT35" s="139"/>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9"/>
      <c r="CI35" s="139"/>
      <c r="CJ35" s="139"/>
      <c r="CK35" s="139"/>
      <c r="CL35" s="139"/>
      <c r="CM35" s="139"/>
      <c r="CN35" s="139"/>
      <c r="CO35" s="139"/>
      <c r="CP35" s="139"/>
      <c r="CQ35" s="139"/>
      <c r="CR35" s="139"/>
      <c r="CS35" s="139"/>
      <c r="CT35" s="139"/>
      <c r="CU35" s="139"/>
      <c r="CV35" s="139"/>
      <c r="CW35" s="139"/>
      <c r="CX35" s="139"/>
      <c r="CY35" s="139"/>
      <c r="CZ35" s="139"/>
      <c r="DA35" s="139"/>
      <c r="DB35" s="139"/>
      <c r="DC35" s="139"/>
      <c r="DD35" s="139"/>
      <c r="DE35" s="139"/>
      <c r="DF35" s="139"/>
      <c r="DG35" s="139"/>
      <c r="DH35" s="139"/>
      <c r="DI35" s="139"/>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139"/>
      <c r="EJ35" s="139"/>
      <c r="EK35" s="139"/>
      <c r="EL35" s="139"/>
      <c r="EM35" s="139"/>
      <c r="EN35" s="139"/>
      <c r="EO35" s="139"/>
      <c r="EP35" s="139"/>
      <c r="EQ35" s="139"/>
      <c r="ER35" s="139"/>
      <c r="ES35" s="139"/>
      <c r="ET35" s="139"/>
      <c r="EU35" s="139"/>
      <c r="EV35" s="139"/>
      <c r="EW35" s="139"/>
      <c r="EX35" s="139"/>
      <c r="EY35" s="139"/>
      <c r="EZ35" s="139"/>
      <c r="FA35" s="139"/>
      <c r="FB35" s="139"/>
      <c r="FC35" s="139"/>
      <c r="FD35" s="139"/>
      <c r="FE35" s="139"/>
      <c r="FF35" s="139"/>
      <c r="FG35" s="139"/>
      <c r="FH35" s="139"/>
      <c r="FI35" s="139"/>
      <c r="FJ35" s="139"/>
      <c r="FK35" s="139"/>
      <c r="FL35" s="139"/>
      <c r="FM35" s="139"/>
      <c r="FN35" s="139"/>
      <c r="FO35" s="139"/>
      <c r="FP35" s="139"/>
      <c r="FQ35" s="139"/>
      <c r="FR35" s="139"/>
    </row>
    <row r="36" spans="1:174" s="96" customFormat="1" ht="8.25" customHeight="1">
      <c r="A36" s="138"/>
      <c r="B36" s="138"/>
      <c r="C36" s="135"/>
      <c r="D36" s="137"/>
      <c r="E36" s="137"/>
      <c r="F36" s="137"/>
      <c r="G36" s="137"/>
      <c r="H36" s="137"/>
      <c r="I36" s="137"/>
      <c r="J36" s="139"/>
      <c r="K36" s="139"/>
      <c r="L36" s="139"/>
      <c r="M36" s="139"/>
      <c r="N36" s="139"/>
      <c r="O36" s="139"/>
      <c r="P36" s="139"/>
      <c r="Q36" s="139"/>
      <c r="R36" s="139"/>
      <c r="S36" s="139"/>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139"/>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row>
    <row r="37" spans="1:174" s="122" customFormat="1" ht="27" customHeight="1">
      <c r="A37" s="117"/>
      <c r="B37" s="123" t="s">
        <v>2101</v>
      </c>
      <c r="C37" s="543" t="s">
        <v>114</v>
      </c>
      <c r="D37" s="543"/>
      <c r="E37" s="117"/>
      <c r="F37" s="117"/>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row>
    <row r="38" spans="1:174" s="122" customFormat="1" ht="11.65">
      <c r="A38" s="117"/>
      <c r="B38" s="117"/>
      <c r="C38" s="124"/>
      <c r="D38" s="125"/>
      <c r="E38" s="125"/>
      <c r="F38" s="125"/>
      <c r="G38" s="121"/>
      <c r="H38" s="121"/>
      <c r="I38" s="121"/>
      <c r="J38" s="121"/>
      <c r="K38" s="121"/>
      <c r="L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row>
    <row r="39" spans="1:174" s="96" customFormat="1">
      <c r="C39" s="141"/>
      <c r="D39" s="140"/>
      <c r="G39" s="139"/>
      <c r="H39" s="139"/>
      <c r="I39" s="139"/>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c r="BH39" s="139"/>
      <c r="BI39" s="139"/>
      <c r="BJ39" s="139"/>
      <c r="BK39" s="139"/>
      <c r="BL39" s="139"/>
      <c r="BM39" s="139"/>
      <c r="BN39" s="139"/>
      <c r="BO39" s="139"/>
      <c r="BP39" s="139"/>
      <c r="BQ39" s="139"/>
      <c r="BR39" s="139"/>
      <c r="BS39" s="139"/>
      <c r="BT39" s="139"/>
      <c r="BU39" s="139"/>
      <c r="BV39" s="139"/>
      <c r="BW39" s="139"/>
      <c r="BX39" s="139"/>
      <c r="BY39" s="139"/>
      <c r="BZ39" s="139"/>
      <c r="CA39" s="139"/>
      <c r="CB39" s="139"/>
      <c r="CC39" s="139"/>
      <c r="CD39" s="139"/>
      <c r="CE39" s="139"/>
      <c r="CF39" s="139"/>
      <c r="CG39" s="139"/>
      <c r="CH39" s="139"/>
      <c r="CI39" s="139"/>
      <c r="CJ39" s="139"/>
      <c r="CK39" s="139"/>
      <c r="CL39" s="139"/>
      <c r="CM39" s="139"/>
      <c r="CN39" s="139"/>
      <c r="CO39" s="139"/>
      <c r="CP39" s="139"/>
      <c r="CQ39" s="139"/>
      <c r="CR39" s="139"/>
      <c r="CS39" s="139"/>
      <c r="CT39" s="139"/>
      <c r="CU39" s="139"/>
      <c r="CV39" s="139"/>
      <c r="CW39" s="139"/>
      <c r="CX39" s="139"/>
      <c r="CY39" s="139"/>
      <c r="CZ39" s="139"/>
      <c r="DA39" s="139"/>
      <c r="DB39" s="139"/>
      <c r="DC39" s="139"/>
      <c r="DD39" s="139"/>
      <c r="DE39" s="139"/>
      <c r="DF39" s="139"/>
      <c r="DG39" s="139"/>
      <c r="DH39" s="139"/>
      <c r="DI39" s="139"/>
      <c r="DJ39" s="139"/>
      <c r="DK39" s="139"/>
      <c r="DL39" s="139"/>
      <c r="DM39" s="139"/>
      <c r="DN39" s="139"/>
      <c r="DO39" s="139"/>
      <c r="DP39" s="139"/>
      <c r="DQ39" s="139"/>
      <c r="DR39" s="139"/>
      <c r="DS39" s="139"/>
      <c r="DT39" s="139"/>
      <c r="DU39" s="139"/>
      <c r="DV39" s="139"/>
      <c r="DW39" s="139"/>
      <c r="DX39" s="139"/>
      <c r="DY39" s="139"/>
      <c r="DZ39" s="139"/>
      <c r="EA39" s="139"/>
      <c r="EB39" s="139"/>
      <c r="EC39" s="139"/>
      <c r="ED39" s="139"/>
      <c r="EE39" s="139"/>
      <c r="EF39" s="139"/>
      <c r="EG39" s="139"/>
      <c r="EH39" s="139"/>
      <c r="EI39" s="139"/>
      <c r="EJ39" s="139"/>
      <c r="EK39" s="139"/>
      <c r="EL39" s="139"/>
      <c r="EM39" s="139"/>
      <c r="EN39" s="139"/>
      <c r="EO39" s="139"/>
      <c r="EP39" s="139"/>
      <c r="EQ39" s="139"/>
      <c r="ER39" s="139"/>
      <c r="ES39" s="139"/>
      <c r="ET39" s="139"/>
      <c r="EU39" s="139"/>
      <c r="EV39" s="139"/>
      <c r="EW39" s="139"/>
      <c r="EX39" s="139"/>
      <c r="EY39" s="139"/>
      <c r="EZ39" s="139"/>
      <c r="FA39" s="139"/>
      <c r="FB39" s="139"/>
      <c r="FC39" s="139"/>
      <c r="FD39" s="139"/>
      <c r="FE39" s="139"/>
      <c r="FF39" s="139"/>
      <c r="FG39" s="139"/>
      <c r="FH39" s="139"/>
      <c r="FI39" s="139"/>
      <c r="FJ39" s="139"/>
      <c r="FK39" s="139"/>
      <c r="FL39" s="139"/>
      <c r="FM39" s="139"/>
      <c r="FN39" s="139"/>
      <c r="FO39" s="139"/>
      <c r="FP39" s="139"/>
      <c r="FQ39" s="139"/>
      <c r="FR39" s="139"/>
    </row>
    <row r="40" spans="1:174" s="96" customFormat="1">
      <c r="C40" s="142"/>
      <c r="G40" s="139"/>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c r="AR40" s="139"/>
      <c r="AS40" s="139"/>
      <c r="AT40" s="139"/>
      <c r="AU40" s="139"/>
      <c r="AV40" s="139"/>
      <c r="AW40" s="139"/>
      <c r="AX40" s="139"/>
      <c r="AY40" s="139"/>
      <c r="AZ40" s="139"/>
      <c r="BA40" s="139"/>
      <c r="BB40" s="139"/>
      <c r="BC40" s="139"/>
      <c r="BD40" s="139"/>
      <c r="BE40" s="139"/>
      <c r="BF40" s="139"/>
      <c r="BG40" s="139"/>
      <c r="BH40" s="139"/>
      <c r="BI40" s="139"/>
      <c r="BJ40" s="139"/>
      <c r="BK40" s="139"/>
      <c r="BL40" s="139"/>
      <c r="BM40" s="139"/>
      <c r="BN40" s="139"/>
      <c r="BO40" s="139"/>
      <c r="BP40" s="139"/>
      <c r="BQ40" s="139"/>
      <c r="BR40" s="139"/>
      <c r="BS40" s="139"/>
      <c r="BT40" s="139"/>
      <c r="BU40" s="139"/>
      <c r="BV40" s="139"/>
      <c r="BW40" s="139"/>
      <c r="BX40" s="139"/>
      <c r="BY40" s="139"/>
      <c r="BZ40" s="139"/>
      <c r="CA40" s="139"/>
      <c r="CB40" s="139"/>
      <c r="CC40" s="139"/>
      <c r="CD40" s="139"/>
      <c r="CE40" s="139"/>
      <c r="CF40" s="139"/>
      <c r="CG40" s="139"/>
      <c r="CH40" s="139"/>
      <c r="CI40" s="139"/>
      <c r="CJ40" s="139"/>
      <c r="CK40" s="139"/>
      <c r="CL40" s="139"/>
      <c r="CM40" s="139"/>
      <c r="CN40" s="139"/>
      <c r="CO40" s="139"/>
      <c r="CP40" s="139"/>
      <c r="CQ40" s="139"/>
      <c r="CR40" s="139"/>
      <c r="CS40" s="139"/>
      <c r="CT40" s="139"/>
      <c r="CU40" s="139"/>
      <c r="CV40" s="139"/>
      <c r="CW40" s="139"/>
      <c r="CX40" s="139"/>
      <c r="CY40" s="139"/>
      <c r="CZ40" s="139"/>
      <c r="DA40" s="139"/>
      <c r="DB40" s="139"/>
      <c r="DC40" s="139"/>
      <c r="DD40" s="139"/>
      <c r="DE40" s="139"/>
      <c r="DF40" s="139"/>
      <c r="DG40" s="139"/>
      <c r="DH40" s="139"/>
      <c r="DI40" s="139"/>
      <c r="DJ40" s="139"/>
      <c r="DK40" s="139"/>
      <c r="DL40" s="139"/>
      <c r="DM40" s="139"/>
      <c r="DN40" s="139"/>
      <c r="DO40" s="139"/>
      <c r="DP40" s="139"/>
      <c r="DQ40" s="139"/>
      <c r="DR40" s="139"/>
      <c r="DS40" s="139"/>
      <c r="DT40" s="139"/>
      <c r="DU40" s="139"/>
      <c r="DV40" s="139"/>
      <c r="DW40" s="139"/>
      <c r="DX40" s="139"/>
      <c r="DY40" s="139"/>
      <c r="DZ40" s="139"/>
      <c r="EA40" s="139"/>
      <c r="EB40" s="139"/>
      <c r="EC40" s="139"/>
      <c r="ED40" s="139"/>
      <c r="EE40" s="139"/>
      <c r="EF40" s="139"/>
      <c r="EG40" s="139"/>
      <c r="EH40" s="139"/>
      <c r="EI40" s="139"/>
      <c r="EJ40" s="139"/>
      <c r="EK40" s="139"/>
      <c r="EL40" s="139"/>
      <c r="EM40" s="139"/>
      <c r="EN40" s="139"/>
      <c r="EO40" s="139"/>
      <c r="EP40" s="139"/>
      <c r="EQ40" s="139"/>
      <c r="ER40" s="139"/>
      <c r="ES40" s="139"/>
      <c r="ET40" s="139"/>
      <c r="EU40" s="139"/>
      <c r="EV40" s="139"/>
      <c r="EW40" s="139"/>
      <c r="EX40" s="139"/>
      <c r="EY40" s="139"/>
      <c r="EZ40" s="139"/>
      <c r="FA40" s="139"/>
      <c r="FB40" s="139"/>
      <c r="FC40" s="139"/>
      <c r="FD40" s="139"/>
      <c r="FE40" s="139"/>
      <c r="FF40" s="139"/>
      <c r="FG40" s="139"/>
      <c r="FH40" s="139"/>
      <c r="FI40" s="139"/>
      <c r="FJ40" s="139"/>
      <c r="FK40" s="139"/>
      <c r="FL40" s="139"/>
      <c r="FM40" s="139"/>
      <c r="FN40" s="139"/>
      <c r="FO40" s="139"/>
      <c r="FP40" s="139"/>
      <c r="FQ40" s="139"/>
      <c r="FR40" s="139"/>
    </row>
  </sheetData>
  <sheetProtection password="D3CE" sheet="1" objects="1" scenarios="1" selectLockedCells="1"/>
  <mergeCells count="6">
    <mergeCell ref="C2:D2"/>
    <mergeCell ref="C37:D37"/>
    <mergeCell ref="C6:D6"/>
    <mergeCell ref="C8:D8"/>
    <mergeCell ref="C9:D9"/>
    <mergeCell ref="C10:D10"/>
  </mergeCells>
  <phoneticPr fontId="0" type="noConversion"/>
  <hyperlinks>
    <hyperlink ref="D11" location="Instue!A100" display="Instue!A100"/>
  </hyperlinks>
  <pageMargins left="0.47" right="0.51" top="0.48" bottom="1" header="0" footer="0"/>
  <pageSetup paperSize="9" scale="90" orientation="portrait" r:id="rId1"/>
  <headerFooter alignWithMargins="0"/>
  <drawing r:id="rId2"/>
  <legacyDrawing r:id="rId3"/>
  <oleObjects>
    <mc:AlternateContent xmlns:mc="http://schemas.openxmlformats.org/markup-compatibility/2006">
      <mc:Choice Requires="x14">
        <oleObject progId="MSPhotoEd.3" shapeId="58384" r:id="rId4">
          <objectPr defaultSize="0" autoPict="0" r:id="rId5">
            <anchor moveWithCells="1" sizeWithCells="1">
              <from>
                <xdr:col>7</xdr:col>
                <xdr:colOff>400050</xdr:colOff>
                <xdr:row>0</xdr:row>
                <xdr:rowOff>47625</xdr:rowOff>
              </from>
              <to>
                <xdr:col>7</xdr:col>
                <xdr:colOff>1390650</xdr:colOff>
                <xdr:row>0</xdr:row>
                <xdr:rowOff>638175</xdr:rowOff>
              </to>
            </anchor>
          </objectPr>
        </oleObject>
      </mc:Choice>
      <mc:Fallback>
        <oleObject progId="MSPhotoEd.3" shapeId="58384" r:id="rId4"/>
      </mc:Fallback>
    </mc:AlternateContent>
  </oleObjects>
  <mc:AlternateContent xmlns:mc="http://schemas.openxmlformats.org/markup-compatibility/2006">
    <mc:Choice Requires="x14">
      <controls>
        <mc:AlternateContent xmlns:mc="http://schemas.openxmlformats.org/markup-compatibility/2006">
          <mc:Choice Requires="x14">
            <control shapeId="58376" r:id="rId6" name="Button 8">
              <controlPr defaultSize="0" print="0" autoFill="0" autoPict="0" macro="[0]!Legal_Botón8_AlHacerClic">
                <anchor moveWithCells="1" sizeWithCells="1">
                  <from>
                    <xdr:col>3</xdr:col>
                    <xdr:colOff>4724400</xdr:colOff>
                    <xdr:row>0</xdr:row>
                    <xdr:rowOff>628650</xdr:rowOff>
                  </from>
                  <to>
                    <xdr:col>3</xdr:col>
                    <xdr:colOff>5729288</xdr:colOff>
                    <xdr:row>0</xdr:row>
                    <xdr:rowOff>962025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1">
    <pageSetUpPr autoPageBreaks="0"/>
  </sheetPr>
  <dimension ref="A1:W233"/>
  <sheetViews>
    <sheetView showGridLines="0" showRowColHeaders="0" showZeros="0" showOutlineSymbols="0" topLeftCell="B1" zoomScaleNormal="100" workbookViewId="0">
      <pane ySplit="7" topLeftCell="A8" activePane="bottomLeft" state="frozen"/>
      <selection pane="bottomLeft" activeCell="G2" sqref="G2"/>
    </sheetView>
  </sheetViews>
  <sheetFormatPr defaultRowHeight="12.75"/>
  <cols>
    <col min="1" max="1" width="1.73046875" hidden="1" customWidth="1"/>
    <col min="2" max="2" width="2.1328125" customWidth="1"/>
    <col min="3" max="3" width="13.3984375" customWidth="1"/>
    <col min="4" max="4" width="17.3984375" customWidth="1"/>
    <col min="5" max="5" width="22.59765625" customWidth="1"/>
    <col min="6" max="6" width="28.59765625" customWidth="1"/>
    <col min="7" max="7" width="11.59765625" customWidth="1"/>
    <col min="8" max="8" width="17.3984375" hidden="1" customWidth="1"/>
    <col min="9" max="9" width="12.59765625" hidden="1" customWidth="1"/>
    <col min="10" max="10" width="11.3984375" hidden="1" customWidth="1"/>
    <col min="11" max="11" width="10.6640625" customWidth="1"/>
    <col min="12" max="12" width="16.86328125" customWidth="1"/>
    <col min="13" max="256" width="10.6640625" customWidth="1"/>
  </cols>
  <sheetData>
    <row r="1" spans="1:23" ht="40.5" customHeight="1">
      <c r="B1" s="12"/>
      <c r="C1" s="12"/>
      <c r="D1" s="12"/>
      <c r="E1" s="12"/>
      <c r="F1" s="12"/>
      <c r="G1" s="12"/>
      <c r="H1" s="12"/>
      <c r="I1" s="12"/>
    </row>
    <row r="2" spans="1:23" ht="40.5" customHeight="1">
      <c r="B2" s="12"/>
      <c r="C2" s="12"/>
      <c r="D2" s="12"/>
      <c r="E2" s="12"/>
      <c r="F2" s="12"/>
      <c r="G2" s="12"/>
      <c r="H2" s="12"/>
      <c r="I2" s="12"/>
    </row>
    <row r="3" spans="1:23" ht="18.75" customHeight="1">
      <c r="B3" s="12"/>
      <c r="C3" s="541" t="s">
        <v>2743</v>
      </c>
      <c r="D3" s="594"/>
      <c r="E3" s="594"/>
      <c r="F3" s="594"/>
      <c r="G3" s="594"/>
      <c r="H3" s="165"/>
      <c r="I3" s="12"/>
    </row>
    <row r="4" spans="1:23" s="193" customFormat="1" ht="49.5" customHeight="1">
      <c r="B4" s="596" t="s">
        <v>1599</v>
      </c>
      <c r="C4" s="596"/>
      <c r="D4" s="596"/>
      <c r="E4" s="191"/>
      <c r="F4" s="191"/>
      <c r="G4" s="192"/>
      <c r="H4" s="167"/>
      <c r="I4" s="167"/>
    </row>
    <row r="5" spans="1:23" s="193" customFormat="1" ht="17.25" customHeight="1">
      <c r="B5" s="162" t="s">
        <v>1514</v>
      </c>
      <c r="C5" s="162"/>
      <c r="D5" s="68"/>
      <c r="E5" s="315"/>
      <c r="F5" s="191"/>
      <c r="G5" s="192"/>
      <c r="H5" s="167"/>
      <c r="I5" s="167"/>
    </row>
    <row r="6" spans="1:23" s="193" customFormat="1" ht="17.25" customHeight="1">
      <c r="B6" s="494" t="s">
        <v>1515</v>
      </c>
      <c r="C6" s="162"/>
      <c r="D6" s="162"/>
      <c r="E6" s="162"/>
      <c r="F6" s="191"/>
      <c r="G6" s="192"/>
      <c r="H6" s="167"/>
      <c r="I6" s="167"/>
    </row>
    <row r="7" spans="1:23" s="193" customFormat="1" ht="31.5" customHeight="1">
      <c r="B7" s="397"/>
      <c r="C7" s="398"/>
      <c r="D7" s="398"/>
      <c r="E7" s="398"/>
      <c r="F7" s="398"/>
      <c r="G7" s="399"/>
      <c r="H7" s="400"/>
      <c r="I7" s="400"/>
      <c r="J7" s="401"/>
      <c r="K7" s="401"/>
      <c r="L7" s="401"/>
      <c r="M7" s="401"/>
      <c r="N7" s="401"/>
      <c r="O7" s="401"/>
      <c r="P7" s="401"/>
      <c r="Q7" s="401"/>
      <c r="R7" s="401"/>
      <c r="S7" s="401"/>
      <c r="T7" s="401"/>
      <c r="U7" s="401"/>
      <c r="V7" s="401"/>
      <c r="W7" s="401"/>
    </row>
    <row r="8" spans="1:23" s="193" customFormat="1" ht="7.5" customHeight="1">
      <c r="B8" s="7"/>
      <c r="C8" s="194"/>
      <c r="D8" s="194"/>
      <c r="E8" s="194"/>
      <c r="F8" s="194"/>
      <c r="G8" s="194"/>
      <c r="H8" s="7"/>
      <c r="I8" s="167"/>
    </row>
    <row r="9" spans="1:23" s="197" customFormat="1" ht="18.75" customHeight="1">
      <c r="B9" s="280" t="s">
        <v>121</v>
      </c>
      <c r="C9" s="195"/>
      <c r="D9" s="196"/>
      <c r="E9" s="196"/>
      <c r="F9" s="196"/>
      <c r="G9" s="196"/>
    </row>
    <row r="10" spans="1:23" s="176" customFormat="1" ht="15" customHeight="1">
      <c r="A10" s="597"/>
      <c r="B10" s="198"/>
      <c r="C10" s="199" t="s">
        <v>2587</v>
      </c>
      <c r="D10" s="199"/>
      <c r="E10" s="199"/>
      <c r="F10" s="199"/>
      <c r="G10" s="199"/>
    </row>
    <row r="11" spans="1:23" s="176" customFormat="1" ht="15" customHeight="1">
      <c r="A11" s="597"/>
      <c r="B11" s="198"/>
      <c r="C11" s="94" t="s">
        <v>545</v>
      </c>
      <c r="D11" s="200"/>
      <c r="E11" s="200"/>
      <c r="F11" s="200"/>
      <c r="G11" s="200"/>
    </row>
    <row r="12" spans="1:23" s="176" customFormat="1" ht="15" customHeight="1">
      <c r="A12" s="597"/>
      <c r="B12" s="198"/>
      <c r="C12" s="94" t="s">
        <v>546</v>
      </c>
      <c r="D12" s="200"/>
      <c r="E12" s="200"/>
      <c r="F12" s="200"/>
      <c r="G12" s="200"/>
    </row>
    <row r="13" spans="1:23" s="176" customFormat="1" ht="15" customHeight="1">
      <c r="A13" s="597"/>
      <c r="B13" s="198"/>
      <c r="C13" s="94" t="s">
        <v>3568</v>
      </c>
      <c r="D13" s="200"/>
      <c r="E13" s="200"/>
      <c r="F13" s="200"/>
      <c r="G13" s="200"/>
    </row>
    <row r="14" spans="1:23" s="176" customFormat="1" ht="12" customHeight="1">
      <c r="B14" s="198"/>
      <c r="C14" s="200"/>
      <c r="D14" s="200"/>
      <c r="E14" s="200"/>
      <c r="F14" s="200"/>
      <c r="G14" s="200"/>
    </row>
    <row r="15" spans="1:23" s="176" customFormat="1" ht="24.75" customHeight="1">
      <c r="B15" s="198"/>
      <c r="C15" s="583" t="s">
        <v>1516</v>
      </c>
      <c r="D15" s="583"/>
      <c r="E15" s="583"/>
      <c r="F15" s="583"/>
      <c r="G15" s="583"/>
    </row>
    <row r="16" spans="1:23" s="176" customFormat="1" ht="12.75" customHeight="1">
      <c r="B16" s="198"/>
      <c r="C16" s="590" t="s">
        <v>2586</v>
      </c>
      <c r="D16" s="590"/>
      <c r="E16" s="590"/>
      <c r="F16" s="590"/>
      <c r="G16" s="590"/>
      <c r="H16" s="590"/>
      <c r="I16" s="590"/>
      <c r="J16" s="590"/>
      <c r="K16" s="590"/>
    </row>
    <row r="17" spans="2:11" s="176" customFormat="1" ht="15" customHeight="1">
      <c r="B17" s="198"/>
      <c r="C17" s="585" t="s">
        <v>3990</v>
      </c>
      <c r="D17" s="585"/>
      <c r="E17" s="585"/>
      <c r="F17" s="585"/>
      <c r="G17" s="585"/>
      <c r="K17" s="176" t="s">
        <v>1385</v>
      </c>
    </row>
    <row r="18" spans="2:11" s="176" customFormat="1" ht="30" customHeight="1">
      <c r="B18" s="198"/>
      <c r="C18" s="589" t="s">
        <v>1230</v>
      </c>
      <c r="D18" s="589"/>
      <c r="E18" s="589"/>
      <c r="F18" s="589"/>
      <c r="G18" s="589"/>
    </row>
    <row r="19" spans="2:11" s="193" customFormat="1" ht="14.25" customHeight="1">
      <c r="B19" s="198"/>
      <c r="C19" s="590" t="s">
        <v>1517</v>
      </c>
      <c r="D19" s="590"/>
      <c r="E19" s="590"/>
      <c r="F19" s="590"/>
      <c r="G19" s="590"/>
    </row>
    <row r="20" spans="2:11" s="193" customFormat="1" ht="13.5" customHeight="1">
      <c r="B20" s="198"/>
      <c r="C20" s="591" t="s">
        <v>846</v>
      </c>
      <c r="D20" s="591"/>
      <c r="E20" s="591"/>
      <c r="F20" s="591"/>
      <c r="G20" s="591"/>
    </row>
    <row r="21" spans="2:11" s="193" customFormat="1" ht="13.15">
      <c r="B21" s="198"/>
      <c r="C21" s="150" t="s">
        <v>2254</v>
      </c>
      <c r="D21" s="150"/>
      <c r="E21" s="150"/>
      <c r="F21" s="150"/>
      <c r="G21" s="273"/>
    </row>
    <row r="22" spans="2:11" s="193" customFormat="1" ht="13.15">
      <c r="B22" s="198"/>
      <c r="C22" s="149" t="s">
        <v>2255</v>
      </c>
      <c r="D22" s="150"/>
      <c r="E22" s="150"/>
      <c r="F22" s="150"/>
      <c r="G22" s="150"/>
    </row>
    <row r="23" spans="2:11" s="193" customFormat="1" ht="13.15">
      <c r="B23" s="198"/>
      <c r="C23" s="150" t="s">
        <v>2907</v>
      </c>
      <c r="D23" s="150"/>
      <c r="E23" s="150"/>
      <c r="F23" s="150"/>
      <c r="G23" s="150"/>
    </row>
    <row r="24" spans="2:11" s="193" customFormat="1" ht="13.15">
      <c r="B24" s="198"/>
      <c r="C24" s="150" t="s">
        <v>1166</v>
      </c>
      <c r="D24" s="150"/>
      <c r="E24" s="150"/>
      <c r="F24" s="150"/>
      <c r="G24" s="150"/>
    </row>
    <row r="25" spans="2:11" s="193" customFormat="1" ht="13.15">
      <c r="B25" s="198"/>
      <c r="C25" s="150" t="s">
        <v>1270</v>
      </c>
      <c r="D25" s="150"/>
      <c r="E25" s="150"/>
      <c r="F25" s="150"/>
      <c r="G25" s="150"/>
    </row>
    <row r="26" spans="2:11" s="193" customFormat="1" ht="13.15">
      <c r="B26" s="198"/>
      <c r="C26" s="150" t="s">
        <v>2161</v>
      </c>
      <c r="D26" s="150"/>
      <c r="E26" s="150"/>
      <c r="F26" s="150"/>
      <c r="G26" s="150"/>
    </row>
    <row r="27" spans="2:11" s="193" customFormat="1" ht="13.15">
      <c r="B27" s="198"/>
      <c r="C27" s="150" t="s">
        <v>3452</v>
      </c>
      <c r="D27" s="150"/>
      <c r="E27" s="150"/>
      <c r="F27" s="150"/>
      <c r="G27" s="150"/>
    </row>
    <row r="28" spans="2:11" s="193" customFormat="1" ht="13.15">
      <c r="B28" s="198"/>
      <c r="C28" s="591" t="s">
        <v>594</v>
      </c>
      <c r="D28" s="591"/>
      <c r="E28" s="591"/>
      <c r="F28" s="591"/>
      <c r="G28" s="591"/>
    </row>
    <row r="29" spans="2:11" s="193" customFormat="1" ht="13.15">
      <c r="B29" s="198"/>
      <c r="C29" s="591"/>
      <c r="D29" s="591"/>
      <c r="E29" s="591"/>
      <c r="F29" s="591"/>
      <c r="G29" s="591"/>
    </row>
    <row r="30" spans="2:11" s="193" customFormat="1" ht="3" customHeight="1">
      <c r="B30" s="198"/>
      <c r="C30" s="201"/>
      <c r="D30" s="201"/>
      <c r="E30" s="201"/>
      <c r="F30" s="201"/>
      <c r="G30" s="201"/>
    </row>
    <row r="31" spans="2:11" s="193" customFormat="1" ht="13.15" hidden="1">
      <c r="B31" s="198"/>
      <c r="C31" s="586" t="s">
        <v>107</v>
      </c>
      <c r="D31" s="587"/>
      <c r="E31" s="587"/>
      <c r="F31" s="588"/>
      <c r="G31" s="201"/>
    </row>
    <row r="32" spans="2:11" s="193" customFormat="1" ht="13.15" hidden="1">
      <c r="B32" s="198"/>
      <c r="C32" s="598" t="s">
        <v>1520</v>
      </c>
      <c r="D32" s="599"/>
      <c r="E32" s="599"/>
      <c r="F32" s="600"/>
      <c r="G32" s="201"/>
    </row>
    <row r="33" spans="1:11" s="193" customFormat="1" ht="13.15" hidden="1">
      <c r="B33" s="198"/>
      <c r="C33" s="598" t="s">
        <v>3569</v>
      </c>
      <c r="D33" s="599"/>
      <c r="E33" s="599"/>
      <c r="F33" s="600"/>
      <c r="G33" s="201"/>
    </row>
    <row r="34" spans="1:11" s="193" customFormat="1" ht="13.15" hidden="1">
      <c r="B34" s="198"/>
      <c r="C34" s="202" t="s">
        <v>3453</v>
      </c>
      <c r="D34" s="203"/>
      <c r="E34" s="203"/>
      <c r="F34" s="204"/>
      <c r="G34" s="201"/>
    </row>
    <row r="35" spans="1:11" ht="13.5" hidden="1" thickBot="1">
      <c r="B35" s="5"/>
      <c r="C35" s="601"/>
      <c r="D35" s="602"/>
      <c r="E35" s="602"/>
      <c r="F35" s="603"/>
      <c r="G35" s="27"/>
      <c r="H35" s="5"/>
      <c r="I35" s="12"/>
    </row>
    <row r="36" spans="1:11" ht="3.75" customHeight="1">
      <c r="B36" s="5"/>
      <c r="C36" s="205"/>
      <c r="D36" s="205"/>
      <c r="E36" s="205"/>
      <c r="F36" s="205"/>
      <c r="G36" s="27"/>
      <c r="H36" s="5"/>
      <c r="I36" s="12"/>
    </row>
    <row r="37" spans="1:11" s="176" customFormat="1" ht="13.15">
      <c r="B37" s="206"/>
      <c r="C37" s="172" t="s">
        <v>3454</v>
      </c>
      <c r="D37" s="7"/>
      <c r="E37" s="7"/>
      <c r="F37" s="7"/>
      <c r="G37" s="7"/>
    </row>
    <row r="38" spans="1:11" s="176" customFormat="1" ht="13.15">
      <c r="B38" s="206"/>
      <c r="C38" s="207"/>
      <c r="D38" s="7"/>
      <c r="E38" s="7"/>
      <c r="F38" s="7"/>
      <c r="G38" s="7"/>
    </row>
    <row r="39" spans="1:11" s="176" customFormat="1" ht="13.5" customHeight="1" thickBot="1">
      <c r="B39" s="175"/>
      <c r="C39" s="584" t="s">
        <v>2911</v>
      </c>
      <c r="D39" s="584"/>
      <c r="E39" s="584"/>
      <c r="F39" s="584"/>
      <c r="G39" s="584"/>
      <c r="H39" s="584"/>
      <c r="I39" s="584"/>
      <c r="J39" s="584"/>
      <c r="K39" s="584"/>
    </row>
    <row r="40" spans="1:11" s="176" customFormat="1" ht="24" customHeight="1" thickBot="1">
      <c r="B40" s="175"/>
      <c r="C40" s="592" t="s">
        <v>3455</v>
      </c>
      <c r="D40" s="592"/>
      <c r="E40" s="592"/>
      <c r="F40" s="593"/>
      <c r="G40" s="208"/>
    </row>
    <row r="41" spans="1:11" s="176" customFormat="1" ht="24.75" customHeight="1" thickBot="1">
      <c r="B41" s="175"/>
      <c r="C41" s="592" t="s">
        <v>1406</v>
      </c>
      <c r="D41" s="592"/>
      <c r="E41" s="592"/>
      <c r="F41" s="593"/>
      <c r="G41" s="209"/>
    </row>
    <row r="42" spans="1:11" s="176" customFormat="1" ht="23.25" customHeight="1" thickBot="1">
      <c r="B42" s="175"/>
      <c r="C42" s="592" t="s">
        <v>1261</v>
      </c>
      <c r="D42" s="592"/>
      <c r="E42" s="592"/>
      <c r="F42" s="593"/>
      <c r="G42" s="210"/>
    </row>
    <row r="43" spans="1:11" s="176" customFormat="1" ht="29.25" customHeight="1">
      <c r="B43" s="175"/>
      <c r="C43" s="584" t="s">
        <v>4321</v>
      </c>
      <c r="D43" s="584"/>
      <c r="E43" s="584"/>
      <c r="F43" s="584"/>
      <c r="G43" s="584"/>
    </row>
    <row r="44" spans="1:11" ht="8.25" customHeight="1">
      <c r="B44" s="314"/>
      <c r="C44" s="211"/>
      <c r="D44" s="27"/>
      <c r="E44" s="27"/>
      <c r="F44" s="27"/>
      <c r="G44" s="27"/>
      <c r="H44" s="5"/>
      <c r="I44" s="12"/>
    </row>
    <row r="45" spans="1:11" ht="13.9">
      <c r="B45" s="64" t="s">
        <v>122</v>
      </c>
      <c r="C45" s="27"/>
      <c r="D45" s="27"/>
      <c r="E45" s="27"/>
      <c r="F45" s="27"/>
      <c r="G45" s="27"/>
      <c r="H45" s="5"/>
      <c r="I45" s="12"/>
    </row>
    <row r="46" spans="1:11" s="193" customFormat="1">
      <c r="B46" s="7"/>
      <c r="C46" s="194"/>
      <c r="D46" s="194"/>
      <c r="E46" s="194"/>
      <c r="F46" s="194"/>
      <c r="G46" s="194"/>
      <c r="H46" s="7"/>
      <c r="I46" s="167"/>
    </row>
    <row r="47" spans="1:11" s="193" customFormat="1" ht="13.15">
      <c r="A47" s="597"/>
      <c r="B47" s="7"/>
      <c r="C47" s="60" t="s">
        <v>3485</v>
      </c>
      <c r="D47" s="60" t="s">
        <v>123</v>
      </c>
      <c r="E47" s="60"/>
      <c r="F47" s="60"/>
      <c r="G47" s="7"/>
      <c r="H47" s="7"/>
      <c r="I47" s="167"/>
    </row>
    <row r="48" spans="1:11" s="193" customFormat="1">
      <c r="A48" s="597"/>
      <c r="B48" s="7"/>
      <c r="C48" s="7"/>
      <c r="D48" s="7"/>
      <c r="E48" s="7"/>
      <c r="F48" s="7"/>
      <c r="G48" s="7"/>
      <c r="H48" s="7"/>
      <c r="I48" s="167"/>
    </row>
    <row r="49" spans="1:11" s="193" customFormat="1" ht="12.75" customHeight="1">
      <c r="A49" s="597"/>
      <c r="B49" s="7"/>
      <c r="C49" s="570" t="s">
        <v>2912</v>
      </c>
      <c r="D49" s="582"/>
      <c r="E49" s="582"/>
      <c r="F49" s="582"/>
      <c r="G49" s="582"/>
      <c r="H49" s="582"/>
      <c r="I49" s="582"/>
    </row>
    <row r="50" spans="1:11" s="193" customFormat="1" ht="12.75" customHeight="1">
      <c r="A50" s="597"/>
      <c r="B50" s="7"/>
      <c r="C50" s="570" t="s">
        <v>124</v>
      </c>
      <c r="D50" s="570"/>
      <c r="E50" s="570"/>
      <c r="F50" s="570"/>
      <c r="G50" s="570"/>
      <c r="H50" s="570"/>
      <c r="I50" s="570"/>
      <c r="J50" s="570"/>
      <c r="K50" s="570"/>
    </row>
    <row r="51" spans="1:11" s="193" customFormat="1" ht="12.75" customHeight="1">
      <c r="A51" s="597"/>
      <c r="B51" s="7"/>
      <c r="C51" s="595" t="s">
        <v>2913</v>
      </c>
      <c r="D51" s="595"/>
      <c r="E51" s="595"/>
      <c r="F51" s="595"/>
      <c r="G51" s="595"/>
      <c r="H51" s="212"/>
      <c r="I51" s="212"/>
    </row>
    <row r="52" spans="1:11" s="193" customFormat="1">
      <c r="A52" s="597"/>
      <c r="B52" s="7"/>
      <c r="C52" s="571" t="s">
        <v>4322</v>
      </c>
      <c r="D52" s="571"/>
      <c r="E52" s="571"/>
      <c r="F52" s="571"/>
      <c r="G52" s="571"/>
      <c r="H52" s="571"/>
      <c r="I52" s="212"/>
    </row>
    <row r="53" spans="1:11" s="193" customFormat="1">
      <c r="A53" s="597"/>
      <c r="B53" s="7"/>
      <c r="C53" s="570" t="s">
        <v>2012</v>
      </c>
      <c r="D53" s="582"/>
      <c r="E53" s="582"/>
      <c r="F53" s="582"/>
      <c r="G53" s="582"/>
      <c r="H53" s="582"/>
      <c r="I53" s="582"/>
    </row>
    <row r="54" spans="1:11" s="193" customFormat="1">
      <c r="A54" s="597"/>
      <c r="B54" s="7"/>
      <c r="C54" s="571" t="s">
        <v>4323</v>
      </c>
      <c r="D54" s="571"/>
      <c r="E54" s="571"/>
      <c r="F54" s="571"/>
      <c r="G54" s="571"/>
      <c r="H54" s="571"/>
      <c r="I54" s="212"/>
    </row>
    <row r="55" spans="1:11" s="193" customFormat="1" ht="12.75" customHeight="1">
      <c r="A55" s="597"/>
      <c r="B55" s="7"/>
      <c r="C55" s="570" t="s">
        <v>2598</v>
      </c>
      <c r="D55" s="570"/>
      <c r="E55" s="570"/>
      <c r="F55" s="570"/>
      <c r="G55" s="570"/>
      <c r="H55" s="570"/>
      <c r="I55" s="570"/>
      <c r="J55" s="570"/>
      <c r="K55" s="570"/>
    </row>
    <row r="56" spans="1:11" s="193" customFormat="1" ht="12.75" customHeight="1">
      <c r="A56" s="597"/>
      <c r="B56" s="7"/>
      <c r="C56" s="571" t="s">
        <v>4324</v>
      </c>
      <c r="D56" s="571"/>
      <c r="E56" s="571"/>
      <c r="F56" s="571"/>
      <c r="G56" s="571"/>
      <c r="H56" s="571"/>
      <c r="I56" s="212"/>
    </row>
    <row r="57" spans="1:11" s="193" customFormat="1" ht="12.75" customHeight="1">
      <c r="A57" s="597"/>
      <c r="B57" s="7"/>
      <c r="C57" s="570" t="s">
        <v>125</v>
      </c>
      <c r="D57" s="570"/>
      <c r="E57" s="570"/>
      <c r="F57" s="570"/>
      <c r="G57" s="570"/>
      <c r="H57" s="570"/>
      <c r="I57" s="570"/>
      <c r="J57" s="570"/>
      <c r="K57" s="570"/>
    </row>
    <row r="58" spans="1:11" s="193" customFormat="1" ht="12.75" customHeight="1">
      <c r="A58" s="597"/>
      <c r="B58" s="7"/>
      <c r="C58" s="213" t="s">
        <v>3487</v>
      </c>
      <c r="D58" s="213"/>
      <c r="E58" s="212"/>
      <c r="F58" s="212"/>
      <c r="G58" s="212"/>
      <c r="H58" s="212"/>
      <c r="I58" s="212"/>
    </row>
    <row r="59" spans="1:11" s="193" customFormat="1" ht="12.75" customHeight="1">
      <c r="A59" s="597"/>
      <c r="B59" s="7"/>
      <c r="C59" s="570" t="s">
        <v>126</v>
      </c>
      <c r="D59" s="570"/>
      <c r="E59" s="570"/>
      <c r="F59" s="570"/>
      <c r="G59" s="570"/>
      <c r="H59" s="570"/>
      <c r="I59" s="570"/>
      <c r="J59" s="570"/>
      <c r="K59" s="570"/>
    </row>
    <row r="60" spans="1:11" s="193" customFormat="1" ht="12.75" customHeight="1">
      <c r="A60" s="597"/>
      <c r="B60" s="7"/>
      <c r="C60" s="214" t="s">
        <v>127</v>
      </c>
    </row>
    <row r="61" spans="1:11" s="193" customFormat="1" ht="12.75" customHeight="1">
      <c r="B61" s="7"/>
      <c r="C61" s="214" t="s">
        <v>877</v>
      </c>
      <c r="I61" s="212"/>
    </row>
    <row r="62" spans="1:11" s="193" customFormat="1" ht="12.75" customHeight="1">
      <c r="B62" s="7"/>
      <c r="C62" s="214" t="s">
        <v>878</v>
      </c>
    </row>
    <row r="63" spans="1:11" s="193" customFormat="1" ht="12.75" customHeight="1">
      <c r="B63" s="7"/>
      <c r="C63" s="570" t="s">
        <v>879</v>
      </c>
      <c r="D63" s="570"/>
      <c r="E63" s="570"/>
      <c r="F63" s="570"/>
      <c r="G63" s="570"/>
      <c r="H63" s="570"/>
      <c r="I63" s="570"/>
      <c r="J63" s="570"/>
      <c r="K63" s="570"/>
    </row>
    <row r="64" spans="1:11" s="53" customFormat="1" ht="25.5" customHeight="1">
      <c r="B64" s="51"/>
      <c r="C64" s="552" t="s">
        <v>880</v>
      </c>
      <c r="D64" s="553"/>
      <c r="E64" s="553"/>
      <c r="F64" s="553"/>
      <c r="G64" s="553"/>
      <c r="H64" s="51"/>
      <c r="I64" s="13"/>
    </row>
    <row r="65" spans="2:11" s="176" customFormat="1" ht="12.75" customHeight="1">
      <c r="B65" s="7"/>
      <c r="C65" s="554" t="s">
        <v>881</v>
      </c>
      <c r="D65" s="555"/>
      <c r="E65" s="555"/>
      <c r="F65" s="555"/>
      <c r="G65" s="555"/>
      <c r="H65" s="7"/>
      <c r="I65" s="7"/>
    </row>
    <row r="66" spans="2:11" s="176" customFormat="1" ht="3.75" customHeight="1" thickBot="1">
      <c r="B66" s="7"/>
      <c r="H66" s="7"/>
      <c r="I66" s="7"/>
    </row>
    <row r="67" spans="2:11" s="176" customFormat="1" ht="31.5" customHeight="1" thickBot="1">
      <c r="B67" s="7"/>
      <c r="C67" s="556" t="s">
        <v>882</v>
      </c>
      <c r="D67" s="557"/>
      <c r="E67" s="557"/>
      <c r="F67" s="558"/>
      <c r="G67" s="215"/>
      <c r="H67" s="7"/>
      <c r="I67" s="7"/>
    </row>
    <row r="68" spans="2:11" s="176" customFormat="1" ht="26.25" customHeight="1">
      <c r="B68" s="7"/>
      <c r="C68" s="568" t="s">
        <v>883</v>
      </c>
      <c r="D68" s="569"/>
      <c r="E68" s="569"/>
      <c r="F68" s="569"/>
      <c r="G68" s="569"/>
      <c r="H68" s="7"/>
      <c r="I68" s="7"/>
    </row>
    <row r="69" spans="2:11" s="176" customFormat="1" ht="12.75" customHeight="1">
      <c r="B69" s="7"/>
      <c r="C69" s="569" t="s">
        <v>2823</v>
      </c>
      <c r="D69" s="569"/>
      <c r="E69" s="569"/>
      <c r="F69" s="569"/>
      <c r="G69" s="569"/>
      <c r="H69" s="569"/>
      <c r="I69" s="569"/>
      <c r="J69" s="569"/>
      <c r="K69" s="569"/>
    </row>
    <row r="70" spans="2:11" s="176" customFormat="1" ht="24.75" customHeight="1">
      <c r="B70" s="7"/>
      <c r="C70" s="569" t="s">
        <v>108</v>
      </c>
      <c r="D70" s="569"/>
      <c r="E70" s="569"/>
      <c r="F70" s="569"/>
      <c r="G70" s="569"/>
      <c r="H70" s="7"/>
      <c r="I70" s="7"/>
    </row>
    <row r="71" spans="2:11" s="176" customFormat="1" ht="13.5" customHeight="1">
      <c r="B71" s="7"/>
      <c r="C71" s="568" t="s">
        <v>884</v>
      </c>
      <c r="D71" s="569"/>
      <c r="E71" s="569"/>
      <c r="F71" s="569"/>
      <c r="G71" s="569"/>
      <c r="H71" s="7"/>
      <c r="I71" s="7"/>
    </row>
    <row r="72" spans="2:11" s="176" customFormat="1" ht="12.75" customHeight="1">
      <c r="B72" s="7"/>
      <c r="C72" s="569" t="s">
        <v>2823</v>
      </c>
      <c r="D72" s="569"/>
      <c r="E72" s="569"/>
      <c r="F72" s="569"/>
      <c r="G72" s="569"/>
      <c r="H72" s="569"/>
      <c r="I72" s="569"/>
      <c r="J72" s="569"/>
      <c r="K72" s="569"/>
    </row>
    <row r="73" spans="2:11" s="176" customFormat="1" ht="29.25" customHeight="1">
      <c r="B73" s="7"/>
      <c r="C73" s="569" t="s">
        <v>1814</v>
      </c>
      <c r="D73" s="569"/>
      <c r="E73" s="569"/>
      <c r="F73" s="569"/>
      <c r="G73" s="569"/>
      <c r="H73" s="7"/>
      <c r="I73" s="7"/>
    </row>
    <row r="74" spans="2:11" s="176" customFormat="1" ht="44.25" customHeight="1" thickBot="1">
      <c r="B74" s="7"/>
      <c r="C74" s="578" t="s">
        <v>885</v>
      </c>
      <c r="D74" s="578"/>
      <c r="E74" s="578"/>
      <c r="F74" s="578"/>
      <c r="G74" s="578"/>
      <c r="H74" s="7"/>
      <c r="I74" s="7"/>
    </row>
    <row r="75" spans="2:11" s="176" customFormat="1" ht="18.75" customHeight="1" thickBot="1">
      <c r="B75" s="7"/>
      <c r="C75" s="575" t="s">
        <v>3477</v>
      </c>
      <c r="D75" s="576"/>
      <c r="E75" s="576"/>
      <c r="F75" s="577"/>
      <c r="G75" s="216"/>
      <c r="H75" s="7"/>
      <c r="I75" s="7"/>
    </row>
    <row r="76" spans="2:11" s="176" customFormat="1" ht="35.25" customHeight="1" thickBot="1">
      <c r="B76" s="7"/>
      <c r="C76" s="575" t="s">
        <v>2906</v>
      </c>
      <c r="D76" s="576"/>
      <c r="E76" s="576"/>
      <c r="F76" s="577"/>
      <c r="G76" s="216"/>
      <c r="H76" s="7"/>
      <c r="I76" s="7"/>
    </row>
    <row r="77" spans="2:11" s="176" customFormat="1" ht="30.75" customHeight="1">
      <c r="B77" s="7"/>
      <c r="C77" s="580" t="s">
        <v>886</v>
      </c>
      <c r="D77" s="581"/>
      <c r="E77" s="581"/>
      <c r="F77" s="581"/>
      <c r="G77" s="581"/>
      <c r="H77" s="7"/>
      <c r="I77" s="7"/>
    </row>
    <row r="78" spans="2:11" s="176" customFormat="1" ht="21" customHeight="1">
      <c r="B78" s="7"/>
      <c r="C78" s="580" t="s">
        <v>887</v>
      </c>
      <c r="D78" s="581"/>
      <c r="E78" s="581"/>
      <c r="F78" s="581"/>
      <c r="G78" s="581"/>
      <c r="H78" s="7"/>
      <c r="I78" s="7"/>
    </row>
    <row r="79" spans="2:11" s="176" customFormat="1" ht="30.75" customHeight="1">
      <c r="B79" s="7"/>
      <c r="C79" s="569" t="s">
        <v>2056</v>
      </c>
      <c r="D79" s="569"/>
      <c r="E79" s="569"/>
      <c r="F79" s="569"/>
      <c r="G79" s="569"/>
      <c r="H79" s="7"/>
      <c r="I79" s="7"/>
    </row>
    <row r="80" spans="2:11" s="176" customFormat="1" ht="32.25" customHeight="1">
      <c r="B80" s="7"/>
      <c r="C80" s="569" t="s">
        <v>3486</v>
      </c>
      <c r="D80" s="569"/>
      <c r="E80" s="569"/>
      <c r="F80" s="569"/>
      <c r="G80" s="569"/>
      <c r="H80" s="7"/>
      <c r="I80" s="7"/>
    </row>
    <row r="81" spans="2:9">
      <c r="B81" s="5"/>
      <c r="C81" s="5"/>
      <c r="D81" s="5"/>
      <c r="E81" s="5"/>
      <c r="F81" s="5"/>
      <c r="G81" s="5"/>
      <c r="H81" s="5"/>
      <c r="I81" s="12"/>
    </row>
    <row r="82" spans="2:9" ht="13.15">
      <c r="B82" s="5"/>
      <c r="C82" s="60" t="s">
        <v>2076</v>
      </c>
      <c r="D82" s="60" t="s">
        <v>257</v>
      </c>
      <c r="E82" s="60"/>
      <c r="F82" s="5"/>
      <c r="G82" s="5"/>
      <c r="H82" s="5"/>
      <c r="I82" s="12"/>
    </row>
    <row r="83" spans="2:9">
      <c r="B83" s="5"/>
      <c r="C83" s="7"/>
      <c r="D83" s="5"/>
      <c r="E83" s="5"/>
      <c r="F83" s="5"/>
      <c r="G83" s="5"/>
      <c r="H83" s="5"/>
      <c r="I83" s="12"/>
    </row>
    <row r="84" spans="2:9" s="53" customFormat="1">
      <c r="B84" s="51"/>
      <c r="C84" s="7" t="s">
        <v>478</v>
      </c>
      <c r="D84" s="51"/>
      <c r="E84" s="51"/>
      <c r="F84" s="51"/>
      <c r="G84" s="51"/>
      <c r="H84" s="51"/>
      <c r="I84" s="13"/>
    </row>
    <row r="85" spans="2:9" s="53" customFormat="1">
      <c r="B85" s="51"/>
      <c r="C85" s="217"/>
      <c r="D85" s="51"/>
      <c r="E85" s="51"/>
      <c r="F85" s="51"/>
      <c r="G85" s="51"/>
      <c r="H85" s="51"/>
      <c r="I85" s="13"/>
    </row>
    <row r="86" spans="2:9" ht="13.15">
      <c r="B86" s="5"/>
      <c r="C86" s="60" t="s">
        <v>480</v>
      </c>
      <c r="D86" s="60" t="s">
        <v>479</v>
      </c>
      <c r="E86" s="60"/>
      <c r="F86" s="60"/>
      <c r="G86" s="60"/>
      <c r="H86" s="5"/>
      <c r="I86" s="12"/>
    </row>
    <row r="87" spans="2:9">
      <c r="B87" s="5"/>
      <c r="C87" s="7"/>
      <c r="D87" s="5"/>
      <c r="E87" s="5"/>
      <c r="F87" s="5"/>
      <c r="G87" s="5"/>
      <c r="H87" s="5"/>
      <c r="I87" s="12"/>
    </row>
    <row r="88" spans="2:9" s="53" customFormat="1" ht="11.65">
      <c r="B88" s="51"/>
      <c r="C88" s="218" t="s">
        <v>1386</v>
      </c>
      <c r="D88" s="51"/>
      <c r="E88" s="51"/>
      <c r="F88" s="51"/>
      <c r="G88" s="51"/>
      <c r="H88" s="51"/>
      <c r="I88" s="13"/>
    </row>
    <row r="89" spans="2:9">
      <c r="B89" s="5"/>
      <c r="C89" s="254" t="s">
        <v>2588</v>
      </c>
      <c r="D89" s="5"/>
      <c r="E89" s="5"/>
      <c r="F89" s="5"/>
      <c r="G89" s="5"/>
      <c r="H89" s="5"/>
      <c r="I89" s="12"/>
    </row>
    <row r="90" spans="2:9">
      <c r="B90" s="5"/>
      <c r="C90" s="7"/>
      <c r="D90" s="5"/>
      <c r="E90" s="5"/>
      <c r="F90" s="5"/>
      <c r="G90" s="5"/>
      <c r="H90" s="5"/>
      <c r="I90" s="12"/>
    </row>
    <row r="91" spans="2:9" ht="13.15">
      <c r="B91" s="5"/>
      <c r="C91" s="60" t="s">
        <v>481</v>
      </c>
      <c r="D91" s="60" t="s">
        <v>1680</v>
      </c>
      <c r="E91" s="5"/>
      <c r="F91" s="5"/>
      <c r="G91" s="5"/>
      <c r="H91" s="5"/>
      <c r="I91" s="12"/>
    </row>
    <row r="92" spans="2:9">
      <c r="B92" s="5"/>
      <c r="C92" s="7"/>
      <c r="D92" s="5"/>
      <c r="E92" s="5"/>
      <c r="F92" s="5"/>
      <c r="G92" s="5"/>
      <c r="H92" s="5"/>
      <c r="I92" s="12"/>
    </row>
    <row r="93" spans="2:9">
      <c r="B93" s="5"/>
      <c r="C93" s="7" t="s">
        <v>2471</v>
      </c>
      <c r="D93" s="5"/>
      <c r="E93" s="5"/>
      <c r="F93" s="5"/>
      <c r="G93" s="5"/>
      <c r="H93" s="5"/>
      <c r="I93" s="12"/>
    </row>
    <row r="94" spans="2:9">
      <c r="B94" s="5"/>
      <c r="C94" s="255" t="s">
        <v>1681</v>
      </c>
      <c r="D94" s="5"/>
      <c r="E94" s="5"/>
      <c r="F94" s="5"/>
      <c r="G94" s="5"/>
      <c r="H94" s="5"/>
      <c r="I94" s="12"/>
    </row>
    <row r="95" spans="2:9">
      <c r="B95" s="5"/>
      <c r="C95" s="7"/>
      <c r="D95" s="5"/>
      <c r="E95" s="5"/>
      <c r="F95" s="5"/>
      <c r="G95" s="5"/>
      <c r="H95" s="5"/>
      <c r="I95" s="12"/>
    </row>
    <row r="96" spans="2:9" ht="13.15">
      <c r="B96" s="5"/>
      <c r="C96" s="60" t="s">
        <v>1682</v>
      </c>
      <c r="D96" s="60" t="s">
        <v>3172</v>
      </c>
      <c r="E96" s="5"/>
      <c r="F96" s="5"/>
      <c r="G96" s="5"/>
      <c r="H96" s="5"/>
      <c r="I96" s="12"/>
    </row>
    <row r="97" spans="2:9">
      <c r="B97" s="5"/>
      <c r="C97" s="7"/>
      <c r="D97" s="5"/>
      <c r="E97" s="5"/>
      <c r="F97" s="5"/>
      <c r="G97" s="5"/>
      <c r="H97" s="5"/>
      <c r="I97" s="12"/>
    </row>
    <row r="98" spans="2:9">
      <c r="B98" s="5"/>
      <c r="C98" s="7" t="s">
        <v>3637</v>
      </c>
      <c r="D98" s="5"/>
      <c r="E98" s="5"/>
      <c r="F98" s="5"/>
      <c r="G98" s="5"/>
      <c r="H98" s="5"/>
      <c r="I98" s="12"/>
    </row>
    <row r="99" spans="2:9">
      <c r="B99" s="5"/>
      <c r="C99" s="255" t="s">
        <v>2964</v>
      </c>
      <c r="D99" s="5"/>
      <c r="E99" s="5"/>
      <c r="F99" s="5"/>
      <c r="G99" s="5"/>
      <c r="H99" s="5"/>
      <c r="I99" s="12"/>
    </row>
    <row r="100" spans="2:9">
      <c r="B100" s="5"/>
      <c r="C100" s="7"/>
      <c r="D100" s="5"/>
      <c r="E100" s="5"/>
      <c r="F100" s="5"/>
      <c r="G100" s="5"/>
      <c r="H100" s="5"/>
      <c r="I100" s="12"/>
    </row>
    <row r="101" spans="2:9" ht="13.15">
      <c r="B101" s="5"/>
      <c r="C101" s="60" t="s">
        <v>3071</v>
      </c>
      <c r="D101" s="60" t="s">
        <v>2558</v>
      </c>
      <c r="E101" s="5"/>
      <c r="F101" s="5"/>
      <c r="G101" s="5"/>
      <c r="H101" s="5"/>
      <c r="I101" s="12"/>
    </row>
    <row r="102" spans="2:9">
      <c r="B102" s="5"/>
      <c r="C102" s="7"/>
      <c r="D102" s="5"/>
      <c r="E102" s="5"/>
      <c r="F102" s="5"/>
      <c r="G102" s="5"/>
      <c r="H102" s="5"/>
      <c r="I102" s="12"/>
    </row>
    <row r="103" spans="2:9">
      <c r="B103" s="5"/>
      <c r="C103" s="7" t="s">
        <v>1719</v>
      </c>
      <c r="D103" s="5"/>
      <c r="E103" s="5"/>
      <c r="F103" s="5"/>
      <c r="G103" s="5"/>
      <c r="H103" s="5"/>
      <c r="I103" s="12"/>
    </row>
    <row r="104" spans="2:9">
      <c r="B104" s="5"/>
      <c r="C104" s="7"/>
      <c r="D104" s="5"/>
      <c r="E104" s="5"/>
      <c r="F104" s="5"/>
      <c r="G104" s="5"/>
      <c r="H104" s="5"/>
      <c r="I104" s="12"/>
    </row>
    <row r="105" spans="2:9" ht="13.15">
      <c r="B105" s="5"/>
      <c r="C105" s="60" t="s">
        <v>1720</v>
      </c>
      <c r="D105" s="60" t="s">
        <v>888</v>
      </c>
      <c r="E105" s="5"/>
      <c r="F105" s="5"/>
      <c r="G105" s="5"/>
      <c r="H105" s="5"/>
      <c r="I105" s="12"/>
    </row>
    <row r="106" spans="2:9">
      <c r="B106" s="5"/>
      <c r="C106" s="7"/>
      <c r="D106" s="5"/>
      <c r="E106" s="5"/>
      <c r="F106" s="5"/>
      <c r="G106" s="5"/>
      <c r="H106" s="5"/>
      <c r="I106" s="12"/>
    </row>
    <row r="107" spans="2:9">
      <c r="B107" s="5"/>
      <c r="C107" s="218" t="s">
        <v>2589</v>
      </c>
      <c r="D107" s="5"/>
      <c r="E107" s="5"/>
      <c r="F107" s="5"/>
      <c r="G107" s="5"/>
      <c r="H107" s="5"/>
      <c r="I107" s="12"/>
    </row>
    <row r="108" spans="2:9">
      <c r="B108" s="5"/>
      <c r="C108" s="254" t="s">
        <v>634</v>
      </c>
      <c r="D108" s="5"/>
      <c r="E108" s="5"/>
      <c r="F108" s="5"/>
      <c r="G108" s="5"/>
      <c r="H108" s="5"/>
      <c r="I108" s="12"/>
    </row>
    <row r="109" spans="2:9">
      <c r="B109" s="5"/>
      <c r="C109" s="254" t="s">
        <v>3570</v>
      </c>
      <c r="D109" s="5"/>
      <c r="E109" s="5"/>
      <c r="F109" s="5"/>
      <c r="G109" s="5"/>
      <c r="H109" s="5"/>
      <c r="I109" s="12"/>
    </row>
    <row r="110" spans="2:9">
      <c r="B110" s="5"/>
      <c r="C110" s="254" t="s">
        <v>1893</v>
      </c>
      <c r="D110" s="5"/>
      <c r="E110" s="5"/>
      <c r="F110" s="5"/>
      <c r="G110" s="5"/>
      <c r="H110" s="5"/>
      <c r="I110" s="12"/>
    </row>
    <row r="111" spans="2:9">
      <c r="B111" s="5"/>
      <c r="C111" s="254" t="s">
        <v>1894</v>
      </c>
      <c r="D111" s="5"/>
      <c r="E111" s="5"/>
      <c r="F111" s="5"/>
      <c r="G111" s="5"/>
      <c r="H111" s="5"/>
      <c r="I111" s="12"/>
    </row>
    <row r="112" spans="2:9">
      <c r="B112" s="5"/>
      <c r="C112" s="7"/>
      <c r="D112" s="5"/>
      <c r="E112" s="5"/>
      <c r="F112" s="5"/>
      <c r="G112" s="5"/>
      <c r="H112" s="5"/>
      <c r="I112" s="12"/>
    </row>
    <row r="113" spans="2:9" ht="13.15">
      <c r="B113" s="5"/>
      <c r="C113" s="60" t="s">
        <v>4345</v>
      </c>
      <c r="D113" s="60" t="s">
        <v>889</v>
      </c>
      <c r="E113" s="5"/>
      <c r="F113" s="5"/>
      <c r="G113" s="5"/>
      <c r="H113" s="5"/>
      <c r="I113" s="12"/>
    </row>
    <row r="114" spans="2:9">
      <c r="B114" s="5"/>
      <c r="C114" s="7"/>
      <c r="D114" s="5"/>
      <c r="E114" s="5"/>
      <c r="F114" s="5"/>
      <c r="G114" s="5"/>
      <c r="H114" s="5"/>
      <c r="I114" s="12"/>
    </row>
    <row r="115" spans="2:9">
      <c r="B115" s="5"/>
      <c r="C115" s="218" t="s">
        <v>2591</v>
      </c>
      <c r="D115" s="5"/>
      <c r="E115" s="5"/>
      <c r="F115" s="5"/>
      <c r="G115" s="5"/>
      <c r="H115" s="5"/>
      <c r="I115" s="12"/>
    </row>
    <row r="116" spans="2:9">
      <c r="B116" s="5"/>
      <c r="C116" s="253" t="s">
        <v>2702</v>
      </c>
      <c r="D116" s="5"/>
      <c r="E116" s="5"/>
      <c r="F116" s="5"/>
      <c r="G116" s="5"/>
      <c r="H116" s="5"/>
      <c r="I116" s="12"/>
    </row>
    <row r="117" spans="2:9">
      <c r="B117" s="5"/>
      <c r="C117" s="253" t="s">
        <v>2703</v>
      </c>
      <c r="D117" s="5"/>
      <c r="E117" s="5"/>
      <c r="F117" s="5"/>
      <c r="G117" s="5"/>
      <c r="H117" s="5"/>
      <c r="I117" s="12"/>
    </row>
    <row r="118" spans="2:9">
      <c r="B118" s="5"/>
      <c r="C118" s="7"/>
      <c r="D118" s="5"/>
      <c r="E118" s="5"/>
      <c r="F118" s="5"/>
      <c r="G118" s="5"/>
      <c r="H118" s="5"/>
      <c r="I118" s="12"/>
    </row>
    <row r="119" spans="2:9" ht="13.15">
      <c r="B119" s="5"/>
      <c r="C119" s="60" t="s">
        <v>1346</v>
      </c>
      <c r="D119" s="60" t="s">
        <v>1347</v>
      </c>
      <c r="E119" s="60"/>
      <c r="F119" s="60"/>
      <c r="G119" s="60"/>
      <c r="H119" s="60"/>
      <c r="I119" s="67"/>
    </row>
    <row r="120" spans="2:9">
      <c r="B120" s="5"/>
      <c r="C120" s="7"/>
      <c r="D120" s="5"/>
      <c r="E120" s="5"/>
      <c r="F120" s="5"/>
      <c r="G120" s="5"/>
      <c r="H120" s="5"/>
      <c r="I120" s="12"/>
    </row>
    <row r="121" spans="2:9" s="53" customFormat="1">
      <c r="B121" s="51"/>
      <c r="C121" s="7" t="s">
        <v>2704</v>
      </c>
      <c r="D121" s="51"/>
      <c r="E121" s="51"/>
      <c r="F121" s="51"/>
      <c r="G121" s="51"/>
      <c r="H121" s="51"/>
      <c r="I121" s="13"/>
    </row>
    <row r="122" spans="2:9">
      <c r="B122" s="5"/>
      <c r="C122" s="7"/>
      <c r="D122" s="5"/>
      <c r="E122" s="5"/>
      <c r="F122" s="5"/>
      <c r="G122" s="5"/>
      <c r="H122" s="5"/>
      <c r="I122" s="12"/>
    </row>
    <row r="123" spans="2:9" s="53" customFormat="1" ht="15">
      <c r="B123" s="281" t="s">
        <v>890</v>
      </c>
      <c r="C123" s="7"/>
      <c r="D123" s="51"/>
      <c r="E123" s="51"/>
      <c r="F123" s="51"/>
      <c r="G123" s="51"/>
      <c r="H123" s="51"/>
      <c r="I123" s="13"/>
    </row>
    <row r="124" spans="2:9" s="53" customFormat="1" ht="15">
      <c r="B124" s="281"/>
      <c r="C124" s="7"/>
      <c r="D124" s="51"/>
      <c r="E124" s="51"/>
      <c r="F124" s="51"/>
      <c r="G124" s="51"/>
      <c r="H124" s="51"/>
      <c r="I124" s="13"/>
    </row>
    <row r="125" spans="2:9" s="53" customFormat="1" ht="15">
      <c r="B125" s="281"/>
      <c r="C125" s="565" t="s">
        <v>891</v>
      </c>
      <c r="D125" s="566"/>
      <c r="E125" s="566"/>
      <c r="F125" s="567"/>
      <c r="G125" s="51"/>
      <c r="H125" s="51"/>
      <c r="I125" s="13"/>
    </row>
    <row r="126" spans="2:9" s="53" customFormat="1" ht="5.25" customHeight="1">
      <c r="B126" s="281"/>
      <c r="C126" s="290"/>
      <c r="D126" s="252"/>
      <c r="E126" s="252"/>
      <c r="F126" s="291"/>
      <c r="G126" s="51"/>
      <c r="H126" s="51"/>
      <c r="I126" s="13"/>
    </row>
    <row r="127" spans="2:9" s="53" customFormat="1" ht="68.25" customHeight="1">
      <c r="B127" s="281"/>
      <c r="C127" s="572" t="s">
        <v>310</v>
      </c>
      <c r="D127" s="573"/>
      <c r="E127" s="573"/>
      <c r="F127" s="574"/>
      <c r="G127" s="51"/>
      <c r="H127" s="51"/>
      <c r="I127" s="13"/>
    </row>
    <row r="128" spans="2:9" s="53" customFormat="1" ht="69.95" customHeight="1">
      <c r="B128" s="281"/>
      <c r="C128" s="579" t="s">
        <v>311</v>
      </c>
      <c r="D128" s="560"/>
      <c r="E128" s="560"/>
      <c r="F128" s="561"/>
      <c r="G128" s="51"/>
      <c r="H128" s="51"/>
      <c r="I128" s="13"/>
    </row>
    <row r="129" spans="2:9" s="53" customFormat="1" ht="15.4" thickBot="1">
      <c r="B129" s="281"/>
      <c r="C129" s="342"/>
      <c r="D129" s="51"/>
      <c r="E129" s="51"/>
      <c r="F129" s="51"/>
      <c r="G129" s="51"/>
      <c r="H129" s="51"/>
      <c r="I129" s="13"/>
    </row>
    <row r="130" spans="2:9" s="53" customFormat="1" ht="15" hidden="1">
      <c r="B130" s="281"/>
      <c r="C130" s="565" t="s">
        <v>2728</v>
      </c>
      <c r="D130" s="566"/>
      <c r="E130" s="566"/>
      <c r="F130" s="567"/>
      <c r="G130" s="51"/>
      <c r="H130" s="51"/>
      <c r="I130" s="13"/>
    </row>
    <row r="131" spans="2:9" s="53" customFormat="1" ht="15" hidden="1">
      <c r="B131" s="281"/>
      <c r="C131" s="562" t="s">
        <v>2590</v>
      </c>
      <c r="D131" s="563"/>
      <c r="E131" s="563"/>
      <c r="F131" s="564"/>
      <c r="G131" s="51"/>
      <c r="H131" s="51"/>
      <c r="I131" s="13"/>
    </row>
    <row r="132" spans="2:9" s="53" customFormat="1" ht="39.75" hidden="1" customHeight="1">
      <c r="B132" s="281"/>
      <c r="C132" s="559"/>
      <c r="D132" s="560"/>
      <c r="E132" s="560"/>
      <c r="F132" s="561"/>
      <c r="G132" s="51"/>
      <c r="H132" s="51"/>
      <c r="I132" s="13"/>
    </row>
    <row r="133" spans="2:9" s="53" customFormat="1" ht="15" hidden="1">
      <c r="B133" s="281"/>
      <c r="C133" s="7"/>
      <c r="D133" s="51"/>
      <c r="E133" s="252"/>
      <c r="F133" s="252"/>
      <c r="G133" s="51"/>
      <c r="H133" s="51"/>
      <c r="I133" s="13"/>
    </row>
    <row r="134" spans="2:9" s="53" customFormat="1" ht="15.4" hidden="1" thickBot="1">
      <c r="B134" s="281"/>
      <c r="C134" s="7"/>
      <c r="D134" s="252"/>
      <c r="E134" s="252"/>
      <c r="F134" s="252"/>
      <c r="G134" s="51"/>
      <c r="H134" s="51"/>
      <c r="I134" s="13"/>
    </row>
    <row r="135" spans="2:9" s="53" customFormat="1" ht="22.5" customHeight="1">
      <c r="B135" s="281"/>
      <c r="C135" s="549" t="s">
        <v>2162</v>
      </c>
      <c r="D135" s="550"/>
      <c r="E135" s="550"/>
      <c r="F135" s="551"/>
      <c r="G135" s="51"/>
      <c r="H135" s="51"/>
      <c r="I135" s="13"/>
    </row>
    <row r="136" spans="2:9" s="53" customFormat="1" ht="15">
      <c r="B136" s="281"/>
      <c r="C136" s="495" t="s">
        <v>2093</v>
      </c>
      <c r="D136" s="420"/>
      <c r="E136" s="420"/>
      <c r="F136" s="421"/>
      <c r="G136" s="51"/>
      <c r="H136" s="51"/>
      <c r="I136" s="13"/>
    </row>
    <row r="137" spans="2:9" s="53" customFormat="1" ht="15">
      <c r="B137" s="281"/>
      <c r="C137" s="495" t="s">
        <v>314</v>
      </c>
      <c r="D137" s="420"/>
      <c r="E137" s="420"/>
      <c r="F137" s="421"/>
      <c r="G137" s="51"/>
      <c r="H137" s="51"/>
      <c r="I137" s="13"/>
    </row>
    <row r="138" spans="2:9" s="53" customFormat="1" ht="15">
      <c r="B138" s="281"/>
      <c r="C138" s="496" t="s">
        <v>315</v>
      </c>
      <c r="D138" s="420"/>
      <c r="E138" s="420"/>
      <c r="F138" s="421"/>
      <c r="G138" s="51"/>
      <c r="H138" s="51"/>
      <c r="I138" s="13"/>
    </row>
    <row r="139" spans="2:9" s="53" customFormat="1" ht="15">
      <c r="B139" s="281"/>
      <c r="C139" s="496" t="s">
        <v>317</v>
      </c>
      <c r="D139" s="420"/>
      <c r="E139" s="420"/>
      <c r="F139" s="421"/>
      <c r="G139" s="51"/>
      <c r="H139" s="51"/>
      <c r="I139" s="13"/>
    </row>
    <row r="140" spans="2:9" s="53" customFormat="1" ht="15">
      <c r="B140" s="281"/>
      <c r="C140" s="495" t="s">
        <v>346</v>
      </c>
      <c r="D140" s="420"/>
      <c r="E140" s="420"/>
      <c r="F140" s="421"/>
      <c r="G140" s="51"/>
      <c r="H140" s="51"/>
      <c r="I140" s="13"/>
    </row>
    <row r="141" spans="2:9" s="53" customFormat="1" ht="13.15" hidden="1">
      <c r="B141" s="321" t="s">
        <v>296</v>
      </c>
      <c r="C141" s="495"/>
      <c r="D141" s="420"/>
      <c r="E141" s="420"/>
      <c r="F141" s="421"/>
      <c r="G141" s="51"/>
      <c r="H141" s="51"/>
      <c r="I141" s="13"/>
    </row>
    <row r="142" spans="2:9" s="53" customFormat="1" ht="15">
      <c r="B142" s="281"/>
      <c r="C142" s="497" t="s">
        <v>683</v>
      </c>
      <c r="D142" s="420"/>
      <c r="E142" s="420"/>
      <c r="F142" s="421"/>
      <c r="G142" s="51"/>
      <c r="H142" s="51"/>
      <c r="I142" s="13"/>
    </row>
    <row r="143" spans="2:9" s="53" customFormat="1" ht="15.4" thickBot="1">
      <c r="B143" s="281"/>
      <c r="C143" s="498" t="s">
        <v>316</v>
      </c>
      <c r="D143" s="422"/>
      <c r="E143" s="422"/>
      <c r="F143" s="423"/>
      <c r="G143" s="51"/>
      <c r="H143" s="51"/>
      <c r="I143" s="13"/>
    </row>
    <row r="144" spans="2:9" s="53" customFormat="1" ht="15">
      <c r="B144" s="281"/>
      <c r="C144" s="325"/>
      <c r="D144" s="252"/>
      <c r="E144" s="252"/>
      <c r="F144" s="252"/>
      <c r="G144" s="51"/>
      <c r="H144" s="51"/>
      <c r="I144" s="13"/>
    </row>
    <row r="145" spans="2:11" s="53" customFormat="1" ht="15">
      <c r="B145" s="281"/>
      <c r="C145" s="546" t="s">
        <v>1688</v>
      </c>
      <c r="D145" s="547"/>
      <c r="E145" s="547"/>
      <c r="F145" s="547"/>
      <c r="G145" s="547"/>
      <c r="H145" s="547"/>
      <c r="I145" s="547"/>
      <c r="J145" s="547"/>
      <c r="K145" s="548"/>
    </row>
    <row r="146" spans="2:11" s="298" customFormat="1" ht="13.9">
      <c r="B146" s="64"/>
      <c r="C146" s="333"/>
      <c r="D146" s="334"/>
      <c r="E146" s="334"/>
      <c r="F146" s="334"/>
      <c r="G146" s="334"/>
      <c r="H146" s="334"/>
      <c r="I146" s="335"/>
      <c r="J146" s="336"/>
      <c r="K146" s="337"/>
    </row>
    <row r="147" spans="2:11" s="53" customFormat="1" ht="12" customHeight="1">
      <c r="B147" s="281"/>
      <c r="C147" s="499" t="s">
        <v>1598</v>
      </c>
      <c r="D147" s="500"/>
      <c r="E147" s="500"/>
      <c r="F147" s="501" t="s">
        <v>2877</v>
      </c>
      <c r="G147" s="296"/>
      <c r="H147" s="292"/>
      <c r="I147" s="15"/>
      <c r="J147" s="323"/>
      <c r="K147" s="338"/>
    </row>
    <row r="148" spans="2:11" s="53" customFormat="1" ht="12" customHeight="1">
      <c r="B148" s="281"/>
      <c r="C148" s="502" t="s">
        <v>297</v>
      </c>
      <c r="D148" s="500"/>
      <c r="E148" s="500"/>
      <c r="F148" s="503" t="s">
        <v>335</v>
      </c>
      <c r="G148" s="328"/>
      <c r="H148" s="323"/>
      <c r="I148" s="15"/>
      <c r="J148" s="323"/>
      <c r="K148" s="338"/>
    </row>
    <row r="149" spans="2:11" s="53" customFormat="1" ht="12" customHeight="1">
      <c r="B149" s="281"/>
      <c r="C149" s="504" t="s">
        <v>298</v>
      </c>
      <c r="D149" s="500"/>
      <c r="E149" s="500"/>
      <c r="F149" s="505" t="s">
        <v>298</v>
      </c>
      <c r="G149" s="329"/>
      <c r="H149" s="323"/>
      <c r="I149" s="15"/>
      <c r="J149" s="323"/>
      <c r="K149" s="338"/>
    </row>
    <row r="150" spans="2:11" s="53" customFormat="1" ht="12" customHeight="1">
      <c r="B150" s="281"/>
      <c r="C150" s="504" t="s">
        <v>299</v>
      </c>
      <c r="D150" s="500"/>
      <c r="E150" s="500"/>
      <c r="F150" s="506" t="s">
        <v>318</v>
      </c>
      <c r="G150" s="330"/>
      <c r="H150" s="323"/>
      <c r="I150" s="15"/>
      <c r="J150" s="323"/>
      <c r="K150" s="338"/>
    </row>
    <row r="151" spans="2:11" s="53" customFormat="1" ht="12" customHeight="1">
      <c r="B151" s="281"/>
      <c r="C151" s="504" t="s">
        <v>300</v>
      </c>
      <c r="D151" s="500"/>
      <c r="E151" s="500"/>
      <c r="F151" s="505" t="s">
        <v>2316</v>
      </c>
      <c r="G151" s="296"/>
      <c r="H151" s="323"/>
      <c r="I151" s="15"/>
      <c r="J151" s="323"/>
      <c r="K151" s="338"/>
    </row>
    <row r="152" spans="2:11" s="53" customFormat="1" ht="12" customHeight="1">
      <c r="B152" s="281"/>
      <c r="C152" s="507" t="s">
        <v>301</v>
      </c>
      <c r="D152" s="500"/>
      <c r="E152" s="500"/>
      <c r="F152" s="508" t="s">
        <v>2317</v>
      </c>
      <c r="G152" s="331"/>
      <c r="H152" s="323"/>
      <c r="I152" s="15"/>
      <c r="J152" s="323"/>
      <c r="K152" s="338"/>
    </row>
    <row r="153" spans="2:11" s="53" customFormat="1" ht="12" customHeight="1">
      <c r="B153" s="281"/>
      <c r="C153" s="509"/>
      <c r="D153" s="500"/>
      <c r="E153" s="500"/>
      <c r="F153" s="510"/>
      <c r="G153" s="296"/>
      <c r="H153" s="323"/>
      <c r="I153" s="15"/>
      <c r="J153" s="323"/>
      <c r="K153" s="338"/>
    </row>
    <row r="154" spans="2:11" s="53" customFormat="1" ht="12" customHeight="1">
      <c r="B154" s="281"/>
      <c r="C154" s="502" t="s">
        <v>49</v>
      </c>
      <c r="D154" s="500"/>
      <c r="E154" s="500"/>
      <c r="F154" s="511" t="s">
        <v>4283</v>
      </c>
      <c r="G154" s="292"/>
      <c r="H154" s="292"/>
      <c r="I154" s="15"/>
      <c r="J154" s="323"/>
      <c r="K154" s="338"/>
    </row>
    <row r="155" spans="2:11" s="53" customFormat="1" ht="12" customHeight="1">
      <c r="B155" s="281"/>
      <c r="C155" s="512" t="s">
        <v>312</v>
      </c>
      <c r="D155" s="500"/>
      <c r="E155" s="500"/>
      <c r="F155" s="503" t="s">
        <v>336</v>
      </c>
      <c r="G155" s="328"/>
      <c r="H155" s="292"/>
      <c r="I155" s="15"/>
      <c r="J155" s="323"/>
      <c r="K155" s="338"/>
    </row>
    <row r="156" spans="2:11" s="53" customFormat="1" ht="12" customHeight="1">
      <c r="B156" s="281"/>
      <c r="C156" s="513" t="s">
        <v>298</v>
      </c>
      <c r="D156" s="500"/>
      <c r="E156" s="500"/>
      <c r="F156" s="506" t="s">
        <v>298</v>
      </c>
      <c r="G156" s="330"/>
      <c r="H156" s="292"/>
      <c r="I156" s="15"/>
      <c r="J156" s="323"/>
      <c r="K156" s="338"/>
    </row>
    <row r="157" spans="2:11" s="53" customFormat="1" ht="12" customHeight="1">
      <c r="B157" s="281"/>
      <c r="C157" s="513" t="s">
        <v>302</v>
      </c>
      <c r="D157" s="500"/>
      <c r="E157" s="500"/>
      <c r="F157" s="506" t="s">
        <v>319</v>
      </c>
      <c r="G157" s="330"/>
      <c r="H157" s="296"/>
      <c r="I157" s="15"/>
      <c r="J157" s="323"/>
      <c r="K157" s="338"/>
    </row>
    <row r="158" spans="2:11" s="53" customFormat="1" ht="12" customHeight="1">
      <c r="B158" s="281"/>
      <c r="C158" s="513" t="s">
        <v>303</v>
      </c>
      <c r="D158" s="500"/>
      <c r="E158" s="500"/>
      <c r="F158" s="506" t="s">
        <v>2318</v>
      </c>
      <c r="G158" s="296"/>
      <c r="H158" s="296"/>
      <c r="I158" s="15"/>
      <c r="J158" s="323"/>
      <c r="K158" s="338"/>
    </row>
    <row r="159" spans="2:11" s="53" customFormat="1" ht="12" customHeight="1">
      <c r="B159" s="281"/>
      <c r="C159" s="514" t="s">
        <v>304</v>
      </c>
      <c r="D159" s="500"/>
      <c r="E159" s="500"/>
      <c r="F159" s="508" t="s">
        <v>2319</v>
      </c>
      <c r="G159" s="327"/>
      <c r="H159" s="327"/>
      <c r="I159" s="15"/>
      <c r="J159" s="323"/>
      <c r="K159" s="338"/>
    </row>
    <row r="160" spans="2:11" s="53" customFormat="1" ht="12" customHeight="1">
      <c r="B160" s="281"/>
      <c r="C160" s="509"/>
      <c r="D160" s="500"/>
      <c r="E160" s="500"/>
      <c r="F160" s="500"/>
      <c r="G160" s="296"/>
      <c r="H160" s="296"/>
      <c r="I160" s="15"/>
      <c r="J160" s="323"/>
      <c r="K160" s="338"/>
    </row>
    <row r="161" spans="2:11" s="53" customFormat="1" ht="12" customHeight="1">
      <c r="B161" s="281"/>
      <c r="C161" s="515" t="s">
        <v>320</v>
      </c>
      <c r="D161" s="500"/>
      <c r="E161" s="500"/>
      <c r="F161" s="501" t="s">
        <v>393</v>
      </c>
      <c r="G161" s="327"/>
      <c r="H161" s="327"/>
      <c r="I161" s="15"/>
      <c r="J161" s="323"/>
      <c r="K161" s="338"/>
    </row>
    <row r="162" spans="2:11" s="53" customFormat="1" ht="12" customHeight="1">
      <c r="B162" s="281"/>
      <c r="C162" s="512" t="s">
        <v>313</v>
      </c>
      <c r="D162" s="500"/>
      <c r="E162" s="500"/>
      <c r="F162" s="503" t="s">
        <v>337</v>
      </c>
      <c r="G162" s="327"/>
      <c r="H162" s="327"/>
      <c r="I162" s="15"/>
      <c r="J162" s="323"/>
      <c r="K162" s="338"/>
    </row>
    <row r="163" spans="2:11" s="53" customFormat="1" ht="12" customHeight="1">
      <c r="B163" s="281"/>
      <c r="C163" s="513" t="s">
        <v>305</v>
      </c>
      <c r="D163" s="500"/>
      <c r="E163" s="500"/>
      <c r="F163" s="506" t="s">
        <v>298</v>
      </c>
      <c r="G163" s="327"/>
      <c r="H163" s="327"/>
      <c r="I163" s="15"/>
      <c r="J163" s="323"/>
      <c r="K163" s="338"/>
    </row>
    <row r="164" spans="2:11" s="53" customFormat="1" ht="12" customHeight="1">
      <c r="B164" s="281"/>
      <c r="C164" s="513" t="s">
        <v>306</v>
      </c>
      <c r="D164" s="500"/>
      <c r="E164" s="500"/>
      <c r="F164" s="505" t="s">
        <v>2320</v>
      </c>
      <c r="G164" s="327"/>
      <c r="H164" s="327"/>
      <c r="I164" s="15"/>
      <c r="J164" s="323"/>
      <c r="K164" s="338"/>
    </row>
    <row r="165" spans="2:11" s="53" customFormat="1" ht="12" customHeight="1">
      <c r="B165" s="281"/>
      <c r="C165" s="516" t="s">
        <v>307</v>
      </c>
      <c r="D165" s="500"/>
      <c r="E165" s="500"/>
      <c r="F165" s="505" t="s">
        <v>2321</v>
      </c>
      <c r="G165" s="327"/>
      <c r="H165" s="327"/>
      <c r="I165" s="15"/>
      <c r="J165" s="323"/>
      <c r="K165" s="338"/>
    </row>
    <row r="166" spans="2:11" s="53" customFormat="1" ht="12" customHeight="1">
      <c r="B166" s="281"/>
      <c r="C166" s="514" t="s">
        <v>329</v>
      </c>
      <c r="D166" s="500"/>
      <c r="E166" s="500"/>
      <c r="F166" s="508" t="s">
        <v>4087</v>
      </c>
      <c r="G166" s="327"/>
      <c r="H166" s="327"/>
      <c r="I166" s="15"/>
      <c r="J166" s="323"/>
      <c r="K166" s="338"/>
    </row>
    <row r="167" spans="2:11" s="53" customFormat="1" ht="12" customHeight="1">
      <c r="B167" s="281"/>
      <c r="C167" s="509"/>
      <c r="D167" s="500"/>
      <c r="E167" s="500"/>
      <c r="F167" s="517"/>
      <c r="G167" s="327"/>
      <c r="H167" s="327"/>
      <c r="I167" s="15"/>
      <c r="J167" s="323"/>
      <c r="K167" s="338"/>
    </row>
    <row r="168" spans="2:11" s="53" customFormat="1" ht="12" customHeight="1">
      <c r="B168" s="281"/>
      <c r="C168" s="502" t="s">
        <v>755</v>
      </c>
      <c r="D168" s="500"/>
      <c r="E168" s="500"/>
      <c r="F168" s="511" t="s">
        <v>2131</v>
      </c>
      <c r="G168" s="327"/>
      <c r="H168" s="327"/>
      <c r="I168" s="15"/>
      <c r="J168" s="323"/>
      <c r="K168" s="338"/>
    </row>
    <row r="169" spans="2:11" s="53" customFormat="1" ht="12" customHeight="1">
      <c r="B169" s="281"/>
      <c r="C169" s="512" t="s">
        <v>3981</v>
      </c>
      <c r="D169" s="500"/>
      <c r="E169" s="500"/>
      <c r="F169" s="503" t="s">
        <v>338</v>
      </c>
      <c r="G169" s="327"/>
      <c r="H169" s="327"/>
      <c r="I169" s="15"/>
      <c r="J169" s="323"/>
      <c r="K169" s="338"/>
    </row>
    <row r="170" spans="2:11" s="53" customFormat="1" ht="12" customHeight="1">
      <c r="B170" s="281"/>
      <c r="C170" s="516" t="s">
        <v>298</v>
      </c>
      <c r="D170" s="500"/>
      <c r="E170" s="500"/>
      <c r="F170" s="506" t="s">
        <v>298</v>
      </c>
      <c r="G170" s="327"/>
      <c r="H170" s="327"/>
      <c r="I170" s="15"/>
      <c r="J170" s="323"/>
      <c r="K170" s="338"/>
    </row>
    <row r="171" spans="2:11" s="53" customFormat="1" ht="12" customHeight="1">
      <c r="B171" s="281"/>
      <c r="C171" s="513" t="s">
        <v>2199</v>
      </c>
      <c r="D171" s="500"/>
      <c r="E171" s="500"/>
      <c r="F171" s="506" t="s">
        <v>321</v>
      </c>
      <c r="G171" s="327"/>
      <c r="H171" s="327"/>
      <c r="I171" s="15"/>
      <c r="J171" s="323"/>
      <c r="K171" s="338"/>
    </row>
    <row r="172" spans="2:11" s="53" customFormat="1" ht="12" customHeight="1">
      <c r="B172" s="281"/>
      <c r="C172" s="513" t="s">
        <v>2200</v>
      </c>
      <c r="D172" s="500"/>
      <c r="E172" s="500"/>
      <c r="F172" s="505" t="s">
        <v>1027</v>
      </c>
      <c r="G172" s="327"/>
      <c r="H172" s="327"/>
      <c r="I172" s="15"/>
      <c r="J172" s="323"/>
      <c r="K172" s="338"/>
    </row>
    <row r="173" spans="2:11" s="53" customFormat="1" ht="12" customHeight="1">
      <c r="B173" s="281"/>
      <c r="C173" s="514" t="s">
        <v>2201</v>
      </c>
      <c r="D173" s="518"/>
      <c r="E173" s="519"/>
      <c r="F173" s="508" t="s">
        <v>2970</v>
      </c>
      <c r="G173" s="327"/>
      <c r="H173" s="327"/>
      <c r="I173" s="15"/>
      <c r="J173" s="323"/>
      <c r="K173" s="338"/>
    </row>
    <row r="174" spans="2:11" s="53" customFormat="1" ht="12" customHeight="1">
      <c r="B174" s="281"/>
      <c r="C174" s="499"/>
      <c r="D174" s="500"/>
      <c r="E174" s="500"/>
      <c r="F174" s="500"/>
      <c r="G174" s="327"/>
      <c r="H174" s="327"/>
      <c r="I174" s="15"/>
      <c r="J174" s="323"/>
      <c r="K174" s="338"/>
    </row>
    <row r="175" spans="2:11" s="53" customFormat="1" ht="12" customHeight="1">
      <c r="B175" s="281"/>
      <c r="C175" s="520" t="s">
        <v>1496</v>
      </c>
      <c r="D175" s="500"/>
      <c r="E175" s="500"/>
      <c r="F175" s="521" t="s">
        <v>4138</v>
      </c>
      <c r="G175" s="327"/>
      <c r="H175" s="327"/>
      <c r="I175" s="15"/>
      <c r="J175" s="323"/>
      <c r="K175" s="338"/>
    </row>
    <row r="176" spans="2:11" s="53" customFormat="1" ht="12" customHeight="1">
      <c r="B176" s="281"/>
      <c r="C176" s="512" t="s">
        <v>2202</v>
      </c>
      <c r="D176" s="500"/>
      <c r="E176" s="500"/>
      <c r="F176" s="503" t="s">
        <v>339</v>
      </c>
      <c r="G176" s="327"/>
      <c r="H176" s="327"/>
      <c r="I176" s="15"/>
      <c r="J176" s="323"/>
      <c r="K176" s="338"/>
    </row>
    <row r="177" spans="2:11" s="53" customFormat="1" ht="12" customHeight="1">
      <c r="B177" s="281"/>
      <c r="C177" s="513" t="s">
        <v>298</v>
      </c>
      <c r="D177" s="500"/>
      <c r="E177" s="500"/>
      <c r="F177" s="506" t="s">
        <v>298</v>
      </c>
      <c r="G177" s="327"/>
      <c r="H177" s="327"/>
      <c r="I177" s="15"/>
      <c r="J177" s="323"/>
      <c r="K177" s="338"/>
    </row>
    <row r="178" spans="2:11" s="53" customFormat="1" ht="12" customHeight="1">
      <c r="B178" s="281"/>
      <c r="C178" s="513" t="s">
        <v>2203</v>
      </c>
      <c r="D178" s="505"/>
      <c r="E178" s="519"/>
      <c r="F178" s="506" t="s">
        <v>2971</v>
      </c>
      <c r="G178" s="330"/>
      <c r="H178" s="330"/>
      <c r="I178" s="15"/>
      <c r="J178" s="323"/>
      <c r="K178" s="338"/>
    </row>
    <row r="179" spans="2:11" s="53" customFormat="1" ht="12" customHeight="1">
      <c r="B179" s="281"/>
      <c r="C179" s="516" t="s">
        <v>2204</v>
      </c>
      <c r="D179" s="500"/>
      <c r="E179" s="500"/>
      <c r="F179" s="505" t="s">
        <v>2972</v>
      </c>
      <c r="G179" s="296"/>
      <c r="H179" s="296"/>
      <c r="I179" s="15"/>
      <c r="J179" s="323"/>
      <c r="K179" s="338"/>
    </row>
    <row r="180" spans="2:11" s="53" customFormat="1" ht="12" customHeight="1">
      <c r="B180" s="281"/>
      <c r="C180" s="514" t="s">
        <v>3911</v>
      </c>
      <c r="D180" s="500"/>
      <c r="E180" s="500"/>
      <c r="F180" s="508" t="s">
        <v>2973</v>
      </c>
      <c r="G180" s="331"/>
      <c r="H180" s="296"/>
      <c r="I180" s="15"/>
      <c r="J180" s="323"/>
      <c r="K180" s="338"/>
    </row>
    <row r="181" spans="2:11" s="53" customFormat="1" ht="12" customHeight="1">
      <c r="B181" s="281"/>
      <c r="C181" s="509"/>
      <c r="D181" s="500"/>
      <c r="E181" s="500"/>
      <c r="F181" s="500"/>
      <c r="G181" s="296"/>
      <c r="H181" s="296"/>
      <c r="I181" s="15"/>
      <c r="J181" s="323"/>
      <c r="K181" s="338"/>
    </row>
    <row r="182" spans="2:11" s="53" customFormat="1" ht="12" customHeight="1">
      <c r="B182" s="281"/>
      <c r="C182" s="502" t="s">
        <v>912</v>
      </c>
      <c r="D182" s="500"/>
      <c r="E182" s="500"/>
      <c r="F182" s="511" t="s">
        <v>1295</v>
      </c>
      <c r="G182" s="296"/>
      <c r="H182" s="296"/>
      <c r="I182" s="15"/>
      <c r="J182" s="323"/>
      <c r="K182" s="338"/>
    </row>
    <row r="183" spans="2:11" s="53" customFormat="1" ht="12" customHeight="1">
      <c r="B183" s="281"/>
      <c r="C183" s="512" t="s">
        <v>328</v>
      </c>
      <c r="D183" s="503"/>
      <c r="E183" s="503"/>
      <c r="F183" s="503" t="s">
        <v>340</v>
      </c>
      <c r="G183" s="328"/>
      <c r="H183" s="296"/>
      <c r="I183" s="15"/>
      <c r="J183" s="323"/>
      <c r="K183" s="338"/>
    </row>
    <row r="184" spans="2:11" s="53" customFormat="1" ht="12" customHeight="1">
      <c r="B184" s="281"/>
      <c r="C184" s="516" t="s">
        <v>298</v>
      </c>
      <c r="D184" s="500"/>
      <c r="E184" s="500"/>
      <c r="F184" s="506" t="s">
        <v>298</v>
      </c>
      <c r="G184" s="330"/>
      <c r="H184" s="296"/>
      <c r="I184" s="15"/>
      <c r="J184" s="323"/>
      <c r="K184" s="338"/>
    </row>
    <row r="185" spans="2:11" s="53" customFormat="1" ht="12" customHeight="1">
      <c r="B185" s="281"/>
      <c r="C185" s="516" t="s">
        <v>3912</v>
      </c>
      <c r="D185" s="500"/>
      <c r="E185" s="500"/>
      <c r="F185" s="506" t="s">
        <v>2974</v>
      </c>
      <c r="G185" s="327"/>
      <c r="H185" s="327"/>
      <c r="I185" s="15"/>
      <c r="J185" s="323"/>
      <c r="K185" s="338"/>
    </row>
    <row r="186" spans="2:11" s="53" customFormat="1" ht="12" customHeight="1">
      <c r="B186" s="281"/>
      <c r="C186" s="516" t="s">
        <v>3913</v>
      </c>
      <c r="D186" s="500"/>
      <c r="E186" s="500"/>
      <c r="F186" s="505" t="s">
        <v>322</v>
      </c>
      <c r="G186" s="332"/>
      <c r="H186" s="332"/>
      <c r="I186" s="15"/>
      <c r="J186" s="323"/>
      <c r="K186" s="338"/>
    </row>
    <row r="187" spans="2:11" s="53" customFormat="1" ht="12" customHeight="1">
      <c r="B187" s="281"/>
      <c r="C187" s="514" t="s">
        <v>3914</v>
      </c>
      <c r="D187" s="500"/>
      <c r="E187" s="500"/>
      <c r="F187" s="508" t="s">
        <v>2975</v>
      </c>
      <c r="G187" s="327"/>
      <c r="H187" s="327"/>
      <c r="I187" s="15"/>
      <c r="J187" s="323"/>
      <c r="K187" s="338"/>
    </row>
    <row r="188" spans="2:11" s="53" customFormat="1" ht="12" customHeight="1">
      <c r="B188" s="281"/>
      <c r="C188" s="509"/>
      <c r="D188" s="519"/>
      <c r="E188" s="519"/>
      <c r="F188" s="500"/>
      <c r="G188" s="327"/>
      <c r="H188" s="327"/>
      <c r="I188" s="15"/>
      <c r="J188" s="323"/>
      <c r="K188" s="338"/>
    </row>
    <row r="189" spans="2:11" s="53" customFormat="1" ht="12" customHeight="1">
      <c r="B189" s="281"/>
      <c r="C189" s="502" t="s">
        <v>3397</v>
      </c>
      <c r="D189" s="510"/>
      <c r="E189" s="510"/>
      <c r="F189" s="511" t="s">
        <v>3148</v>
      </c>
      <c r="G189" s="296"/>
      <c r="H189" s="296"/>
      <c r="I189" s="15"/>
      <c r="J189" s="323"/>
      <c r="K189" s="338"/>
    </row>
    <row r="190" spans="2:11" s="53" customFormat="1" ht="12" customHeight="1">
      <c r="B190" s="281"/>
      <c r="C190" s="512" t="s">
        <v>330</v>
      </c>
      <c r="D190" s="503"/>
      <c r="E190" s="503"/>
      <c r="F190" s="503" t="s">
        <v>341</v>
      </c>
      <c r="G190" s="328"/>
      <c r="H190" s="296"/>
      <c r="I190" s="15"/>
      <c r="J190" s="323"/>
      <c r="K190" s="338"/>
    </row>
    <row r="191" spans="2:11" s="53" customFormat="1" ht="12" customHeight="1">
      <c r="B191" s="281"/>
      <c r="C191" s="516" t="s">
        <v>298</v>
      </c>
      <c r="D191" s="500"/>
      <c r="E191" s="500"/>
      <c r="F191" s="506" t="s">
        <v>323</v>
      </c>
      <c r="G191" s="330"/>
      <c r="H191" s="296"/>
      <c r="I191" s="15"/>
      <c r="J191" s="323"/>
      <c r="K191" s="338"/>
    </row>
    <row r="192" spans="2:11" s="53" customFormat="1" ht="12" customHeight="1">
      <c r="B192" s="281"/>
      <c r="C192" s="513" t="s">
        <v>2981</v>
      </c>
      <c r="D192" s="505"/>
      <c r="E192" s="510"/>
      <c r="F192" s="505" t="s">
        <v>2976</v>
      </c>
      <c r="G192" s="296"/>
      <c r="H192" s="296"/>
      <c r="I192" s="15"/>
      <c r="J192" s="323"/>
      <c r="K192" s="338"/>
    </row>
    <row r="193" spans="2:11" s="53" customFormat="1" ht="12" customHeight="1">
      <c r="B193" s="281"/>
      <c r="C193" s="513" t="s">
        <v>2982</v>
      </c>
      <c r="D193" s="519"/>
      <c r="E193" s="519"/>
      <c r="F193" s="505" t="s">
        <v>2977</v>
      </c>
      <c r="G193" s="296"/>
      <c r="H193" s="296"/>
      <c r="I193" s="15"/>
      <c r="J193" s="323"/>
      <c r="K193" s="338"/>
    </row>
    <row r="194" spans="2:11" s="53" customFormat="1" ht="12" customHeight="1">
      <c r="B194" s="281"/>
      <c r="C194" s="514" t="s">
        <v>2983</v>
      </c>
      <c r="D194" s="518"/>
      <c r="E194" s="510"/>
      <c r="F194" s="508" t="s">
        <v>2978</v>
      </c>
      <c r="G194" s="296"/>
      <c r="H194" s="296"/>
      <c r="I194" s="15"/>
      <c r="J194" s="323"/>
      <c r="K194" s="338"/>
    </row>
    <row r="195" spans="2:11" s="53" customFormat="1" ht="12" customHeight="1">
      <c r="B195" s="281"/>
      <c r="C195" s="509"/>
      <c r="D195" s="510"/>
      <c r="E195" s="510"/>
      <c r="F195" s="517"/>
      <c r="G195" s="296"/>
      <c r="H195" s="296"/>
      <c r="I195" s="15"/>
      <c r="J195" s="323"/>
      <c r="K195" s="338"/>
    </row>
    <row r="196" spans="2:11" s="53" customFormat="1" ht="12" customHeight="1">
      <c r="B196" s="281"/>
      <c r="C196" s="502" t="s">
        <v>4108</v>
      </c>
      <c r="D196" s="510"/>
      <c r="E196" s="510"/>
      <c r="F196" s="501" t="s">
        <v>3685</v>
      </c>
      <c r="G196" s="296"/>
      <c r="H196" s="296"/>
      <c r="I196" s="15"/>
      <c r="J196" s="323"/>
      <c r="K196" s="338"/>
    </row>
    <row r="197" spans="2:11" s="53" customFormat="1" ht="12" customHeight="1">
      <c r="B197" s="281"/>
      <c r="C197" s="522" t="s">
        <v>2984</v>
      </c>
      <c r="D197" s="523"/>
      <c r="E197" s="523"/>
      <c r="F197" s="503" t="s">
        <v>342</v>
      </c>
      <c r="G197" s="328"/>
      <c r="H197" s="296"/>
      <c r="I197" s="15"/>
      <c r="J197" s="323"/>
      <c r="K197" s="338"/>
    </row>
    <row r="198" spans="2:11" s="53" customFormat="1" ht="12" customHeight="1">
      <c r="B198" s="281"/>
      <c r="C198" s="516" t="s">
        <v>298</v>
      </c>
      <c r="D198" s="506"/>
      <c r="E198" s="510"/>
      <c r="F198" s="506" t="s">
        <v>298</v>
      </c>
      <c r="G198" s="330"/>
      <c r="H198" s="296"/>
      <c r="I198" s="15"/>
      <c r="J198" s="323"/>
      <c r="K198" s="338"/>
    </row>
    <row r="199" spans="2:11" s="53" customFormat="1" ht="12" customHeight="1">
      <c r="B199" s="281"/>
      <c r="C199" s="513" t="s">
        <v>2985</v>
      </c>
      <c r="D199" s="505"/>
      <c r="E199" s="505"/>
      <c r="F199" s="506" t="s">
        <v>2979</v>
      </c>
      <c r="G199" s="330"/>
      <c r="H199" s="296"/>
      <c r="I199" s="15"/>
      <c r="J199" s="323"/>
      <c r="K199" s="338"/>
    </row>
    <row r="200" spans="2:11" s="53" customFormat="1" ht="12" customHeight="1">
      <c r="B200" s="281"/>
      <c r="C200" s="513" t="s">
        <v>2986</v>
      </c>
      <c r="D200" s="510"/>
      <c r="E200" s="510"/>
      <c r="F200" s="524" t="s">
        <v>324</v>
      </c>
      <c r="G200" s="296"/>
      <c r="H200" s="296"/>
      <c r="I200" s="15"/>
      <c r="J200" s="323"/>
      <c r="K200" s="338"/>
    </row>
    <row r="201" spans="2:11" s="53" customFormat="1" ht="12" customHeight="1">
      <c r="B201" s="281"/>
      <c r="C201" s="514" t="s">
        <v>2987</v>
      </c>
      <c r="D201" s="518"/>
      <c r="E201" s="510"/>
      <c r="F201" s="508" t="s">
        <v>2980</v>
      </c>
      <c r="G201" s="331"/>
      <c r="H201" s="296"/>
      <c r="I201" s="15"/>
      <c r="J201" s="323"/>
      <c r="K201" s="338"/>
    </row>
    <row r="202" spans="2:11" s="53" customFormat="1" ht="12" customHeight="1">
      <c r="B202" s="281"/>
      <c r="C202" s="509"/>
      <c r="D202" s="510"/>
      <c r="E202" s="510"/>
      <c r="F202" s="500"/>
      <c r="G202" s="296"/>
      <c r="H202" s="296"/>
      <c r="I202" s="15"/>
      <c r="J202" s="323"/>
      <c r="K202" s="338"/>
    </row>
    <row r="203" spans="2:11" s="53" customFormat="1" ht="12" customHeight="1">
      <c r="B203" s="281"/>
      <c r="C203" s="502" t="s">
        <v>1472</v>
      </c>
      <c r="D203" s="501"/>
      <c r="E203" s="510"/>
      <c r="F203" s="501" t="s">
        <v>3060</v>
      </c>
      <c r="G203" s="296"/>
      <c r="H203" s="296"/>
      <c r="I203" s="15"/>
      <c r="J203" s="323"/>
      <c r="K203" s="338"/>
    </row>
    <row r="204" spans="2:11" s="53" customFormat="1" ht="12" customHeight="1">
      <c r="B204" s="281"/>
      <c r="C204" s="512" t="s">
        <v>331</v>
      </c>
      <c r="D204" s="503"/>
      <c r="E204" s="510"/>
      <c r="F204" s="503" t="s">
        <v>343</v>
      </c>
      <c r="G204" s="328"/>
      <c r="H204" s="328"/>
      <c r="I204" s="15"/>
      <c r="J204" s="323"/>
      <c r="K204" s="338"/>
    </row>
    <row r="205" spans="2:11" s="53" customFormat="1" ht="12" customHeight="1">
      <c r="B205" s="281"/>
      <c r="C205" s="516" t="s">
        <v>298</v>
      </c>
      <c r="D205" s="506"/>
      <c r="E205" s="510"/>
      <c r="F205" s="505" t="s">
        <v>325</v>
      </c>
      <c r="G205" s="329"/>
      <c r="H205" s="296"/>
      <c r="I205" s="15"/>
      <c r="J205" s="323"/>
      <c r="K205" s="338"/>
    </row>
    <row r="206" spans="2:11" s="53" customFormat="1" ht="12" customHeight="1">
      <c r="B206" s="281"/>
      <c r="C206" s="513" t="s">
        <v>2988</v>
      </c>
      <c r="D206" s="505"/>
      <c r="E206" s="505"/>
      <c r="F206" s="505" t="s">
        <v>1694</v>
      </c>
      <c r="G206" s="329"/>
      <c r="H206" s="296"/>
      <c r="I206" s="15"/>
      <c r="J206" s="323"/>
      <c r="K206" s="338"/>
    </row>
    <row r="207" spans="2:11" s="53" customFormat="1" ht="12" customHeight="1">
      <c r="B207" s="143"/>
      <c r="C207" s="516" t="s">
        <v>2989</v>
      </c>
      <c r="D207" s="510"/>
      <c r="E207" s="510"/>
      <c r="F207" s="505" t="s">
        <v>1695</v>
      </c>
      <c r="G207" s="296"/>
      <c r="H207" s="296"/>
      <c r="I207" s="324"/>
      <c r="J207" s="323"/>
      <c r="K207" s="338"/>
    </row>
    <row r="208" spans="2:11" ht="12" customHeight="1">
      <c r="B208" s="12"/>
      <c r="C208" s="514" t="s">
        <v>2990</v>
      </c>
      <c r="D208" s="518"/>
      <c r="E208" s="518"/>
      <c r="F208" s="508" t="s">
        <v>1696</v>
      </c>
      <c r="G208" s="331"/>
      <c r="H208" s="296"/>
      <c r="I208" s="18"/>
      <c r="J208" s="292"/>
      <c r="K208" s="339"/>
    </row>
    <row r="209" spans="2:11" ht="12" customHeight="1">
      <c r="B209" s="12"/>
      <c r="C209" s="499"/>
      <c r="D209" s="510"/>
      <c r="E209" s="510"/>
      <c r="F209" s="525"/>
      <c r="G209" s="296"/>
      <c r="H209" s="296"/>
      <c r="I209" s="18"/>
      <c r="J209" s="292"/>
      <c r="K209" s="339"/>
    </row>
    <row r="210" spans="2:11" ht="12" customHeight="1">
      <c r="B210" s="12"/>
      <c r="C210" s="502" t="s">
        <v>2532</v>
      </c>
      <c r="D210" s="510"/>
      <c r="E210" s="510"/>
      <c r="F210" s="501" t="s">
        <v>23</v>
      </c>
      <c r="G210" s="296"/>
      <c r="H210" s="296"/>
      <c r="I210" s="18"/>
      <c r="J210" s="292"/>
      <c r="K210" s="339"/>
    </row>
    <row r="211" spans="2:11" ht="12" customHeight="1">
      <c r="C211" s="522" t="s">
        <v>332</v>
      </c>
      <c r="D211" s="523"/>
      <c r="E211" s="523"/>
      <c r="F211" s="503" t="s">
        <v>344</v>
      </c>
      <c r="G211" s="328"/>
      <c r="H211" s="328"/>
      <c r="I211" s="292"/>
      <c r="J211" s="292"/>
      <c r="K211" s="339"/>
    </row>
    <row r="212" spans="2:11" ht="12" customHeight="1">
      <c r="C212" s="516" t="s">
        <v>298</v>
      </c>
      <c r="D212" s="506"/>
      <c r="E212" s="510"/>
      <c r="F212" s="506" t="s">
        <v>298</v>
      </c>
      <c r="G212" s="330"/>
      <c r="H212" s="296"/>
      <c r="I212" s="292"/>
      <c r="J212" s="292"/>
      <c r="K212" s="339"/>
    </row>
    <row r="213" spans="2:11" ht="12" customHeight="1">
      <c r="C213" s="516" t="s">
        <v>1697</v>
      </c>
      <c r="D213" s="506"/>
      <c r="E213" s="506"/>
      <c r="F213" s="505" t="s">
        <v>1687</v>
      </c>
      <c r="G213" s="329"/>
      <c r="H213" s="296"/>
      <c r="I213" s="292"/>
      <c r="J213" s="292"/>
      <c r="K213" s="339"/>
    </row>
    <row r="214" spans="2:11" ht="12" customHeight="1">
      <c r="C214" s="516" t="s">
        <v>2110</v>
      </c>
      <c r="D214" s="525"/>
      <c r="E214" s="525"/>
      <c r="F214" s="505" t="s">
        <v>326</v>
      </c>
      <c r="G214" s="292"/>
      <c r="H214" s="292"/>
      <c r="I214" s="292"/>
      <c r="J214" s="292"/>
      <c r="K214" s="339"/>
    </row>
    <row r="215" spans="2:11" ht="12" customHeight="1">
      <c r="B215" s="292"/>
      <c r="C215" s="514" t="s">
        <v>2111</v>
      </c>
      <c r="D215" s="526"/>
      <c r="E215" s="526"/>
      <c r="F215" s="508" t="s">
        <v>2112</v>
      </c>
      <c r="G215" s="326"/>
      <c r="H215" s="326"/>
      <c r="I215" s="292"/>
      <c r="J215" s="292"/>
      <c r="K215" s="339"/>
    </row>
    <row r="216" spans="2:11" ht="12" customHeight="1">
      <c r="B216" s="292"/>
      <c r="C216" s="527"/>
      <c r="D216" s="526"/>
      <c r="E216" s="526"/>
      <c r="F216" s="526"/>
      <c r="G216" s="326"/>
      <c r="H216" s="326"/>
      <c r="I216" s="292"/>
      <c r="J216" s="292"/>
      <c r="K216" s="339"/>
    </row>
    <row r="217" spans="2:11" ht="13.15">
      <c r="B217" s="322"/>
      <c r="C217" s="502" t="s">
        <v>2719</v>
      </c>
      <c r="D217" s="526"/>
      <c r="E217" s="526"/>
      <c r="F217" s="501" t="s">
        <v>4290</v>
      </c>
      <c r="G217" s="326"/>
      <c r="H217" s="326"/>
      <c r="I217" s="292"/>
      <c r="J217" s="292"/>
      <c r="K217" s="339"/>
    </row>
    <row r="218" spans="2:11" ht="13.15">
      <c r="C218" s="512" t="s">
        <v>333</v>
      </c>
      <c r="D218" s="526"/>
      <c r="E218" s="526"/>
      <c r="F218" s="523" t="s">
        <v>345</v>
      </c>
      <c r="G218" s="326"/>
      <c r="H218" s="326"/>
      <c r="I218" s="292"/>
      <c r="J218" s="292"/>
      <c r="K218" s="339"/>
    </row>
    <row r="219" spans="2:11" ht="13.15">
      <c r="C219" s="516" t="s">
        <v>298</v>
      </c>
      <c r="D219" s="526"/>
      <c r="E219" s="526"/>
      <c r="F219" s="506" t="s">
        <v>298</v>
      </c>
      <c r="G219" s="326"/>
      <c r="H219" s="326"/>
      <c r="I219" s="292"/>
      <c r="J219" s="292"/>
      <c r="K219" s="339"/>
    </row>
    <row r="220" spans="2:11" ht="13.15">
      <c r="C220" s="513" t="s">
        <v>2113</v>
      </c>
      <c r="D220" s="526"/>
      <c r="E220" s="526"/>
      <c r="F220" s="505" t="s">
        <v>2114</v>
      </c>
      <c r="G220" s="326"/>
      <c r="H220" s="326"/>
      <c r="I220" s="292"/>
      <c r="J220" s="292"/>
      <c r="K220" s="339"/>
    </row>
    <row r="221" spans="2:11" ht="13.15">
      <c r="C221" s="513" t="s">
        <v>2115</v>
      </c>
      <c r="D221" s="526"/>
      <c r="E221" s="526"/>
      <c r="F221" s="505" t="s">
        <v>2116</v>
      </c>
      <c r="G221" s="326"/>
      <c r="H221" s="326"/>
      <c r="I221" s="292"/>
      <c r="J221" s="292"/>
      <c r="K221" s="339"/>
    </row>
    <row r="222" spans="2:11" ht="13.15">
      <c r="C222" s="514" t="s">
        <v>2117</v>
      </c>
      <c r="D222" s="526"/>
      <c r="E222" s="526"/>
      <c r="F222" s="508" t="s">
        <v>2118</v>
      </c>
      <c r="G222" s="326"/>
      <c r="H222" s="326"/>
      <c r="I222" s="292"/>
      <c r="J222" s="292"/>
      <c r="K222" s="339"/>
    </row>
    <row r="223" spans="2:11" ht="13.15">
      <c r="C223" s="527"/>
      <c r="D223" s="526"/>
      <c r="E223" s="526"/>
      <c r="F223" s="526"/>
      <c r="G223" s="326"/>
      <c r="H223" s="326"/>
      <c r="I223" s="292"/>
      <c r="J223" s="292"/>
      <c r="K223" s="339"/>
    </row>
    <row r="224" spans="2:11" ht="13.15">
      <c r="C224" s="502" t="s">
        <v>2048</v>
      </c>
      <c r="D224" s="526"/>
      <c r="E224" s="526"/>
      <c r="F224" s="526"/>
      <c r="G224" s="326"/>
      <c r="H224" s="326"/>
      <c r="I224" s="292"/>
      <c r="J224" s="292"/>
      <c r="K224" s="339"/>
    </row>
    <row r="225" spans="3:11" ht="13.15">
      <c r="C225" s="512" t="s">
        <v>334</v>
      </c>
      <c r="D225" s="526"/>
      <c r="E225" s="526"/>
      <c r="F225" s="526"/>
      <c r="G225" s="326"/>
      <c r="H225" s="326"/>
      <c r="I225" s="292"/>
      <c r="J225" s="292"/>
      <c r="K225" s="339"/>
    </row>
    <row r="226" spans="3:11" ht="13.15">
      <c r="C226" s="516" t="s">
        <v>298</v>
      </c>
      <c r="D226" s="526"/>
      <c r="E226" s="526"/>
      <c r="F226" s="526"/>
      <c r="G226" s="326"/>
      <c r="H226" s="326"/>
      <c r="I226" s="292"/>
      <c r="J226" s="292"/>
      <c r="K226" s="339"/>
    </row>
    <row r="227" spans="3:11">
      <c r="C227" s="513" t="s">
        <v>2119</v>
      </c>
      <c r="D227" s="526"/>
      <c r="E227" s="526"/>
      <c r="F227" s="525"/>
      <c r="G227" s="292"/>
      <c r="H227" s="292"/>
      <c r="I227" s="292"/>
      <c r="J227" s="292"/>
      <c r="K227" s="339"/>
    </row>
    <row r="228" spans="3:11">
      <c r="C228" s="513" t="s">
        <v>327</v>
      </c>
      <c r="D228" s="526"/>
      <c r="E228" s="526"/>
      <c r="F228" s="525"/>
      <c r="G228" s="292"/>
      <c r="H228" s="292"/>
      <c r="I228" s="292"/>
      <c r="J228" s="292"/>
      <c r="K228" s="339"/>
    </row>
    <row r="229" spans="3:11">
      <c r="C229" s="514" t="s">
        <v>2120</v>
      </c>
      <c r="D229" s="526"/>
      <c r="E229" s="526"/>
      <c r="F229" s="525"/>
      <c r="G229" s="292"/>
      <c r="H229" s="292"/>
      <c r="I229" s="292"/>
      <c r="J229" s="292"/>
      <c r="K229" s="339"/>
    </row>
    <row r="230" spans="3:11">
      <c r="C230" s="340"/>
      <c r="D230" s="322"/>
      <c r="E230" s="322"/>
      <c r="F230" s="322"/>
      <c r="G230" s="322"/>
      <c r="H230" s="322"/>
      <c r="I230" s="322"/>
      <c r="J230" s="322"/>
      <c r="K230" s="341"/>
    </row>
    <row r="231" spans="3:11">
      <c r="C231" s="292"/>
      <c r="D231" s="292"/>
      <c r="E231" s="292"/>
      <c r="F231" s="292"/>
      <c r="G231" s="292"/>
      <c r="H231" s="292"/>
      <c r="I231" s="292"/>
      <c r="J231" s="292"/>
      <c r="K231" s="292"/>
    </row>
    <row r="232" spans="3:11">
      <c r="C232" s="292"/>
      <c r="D232" s="292"/>
      <c r="E232" s="292"/>
      <c r="F232" s="292"/>
      <c r="G232" s="292"/>
      <c r="H232" s="292"/>
      <c r="I232" s="292"/>
      <c r="J232" s="292"/>
      <c r="K232" s="292"/>
    </row>
    <row r="233" spans="3:11">
      <c r="C233" s="292"/>
      <c r="D233" s="292"/>
      <c r="E233" s="292"/>
      <c r="F233" s="292"/>
      <c r="G233" s="292"/>
      <c r="H233" s="292"/>
      <c r="I233" s="292"/>
      <c r="J233" s="292"/>
      <c r="K233" s="292"/>
    </row>
  </sheetData>
  <sheetProtection password="D3CE" sheet="1" objects="1" scenarios="1"/>
  <mergeCells count="56">
    <mergeCell ref="C49:I49"/>
    <mergeCell ref="C16:K16"/>
    <mergeCell ref="C3:G3"/>
    <mergeCell ref="C51:G51"/>
    <mergeCell ref="B4:D4"/>
    <mergeCell ref="C29:G29"/>
    <mergeCell ref="A10:A13"/>
    <mergeCell ref="A47:A60"/>
    <mergeCell ref="C54:H54"/>
    <mergeCell ref="C32:F32"/>
    <mergeCell ref="C33:F33"/>
    <mergeCell ref="C18:G18"/>
    <mergeCell ref="C19:G19"/>
    <mergeCell ref="C20:G20"/>
    <mergeCell ref="C28:G28"/>
    <mergeCell ref="C42:F42"/>
    <mergeCell ref="C52:H52"/>
    <mergeCell ref="C35:F35"/>
    <mergeCell ref="C43:G43"/>
    <mergeCell ref="C40:F40"/>
    <mergeCell ref="C41:F41"/>
    <mergeCell ref="C128:F128"/>
    <mergeCell ref="C77:G77"/>
    <mergeCell ref="C78:G78"/>
    <mergeCell ref="C79:G79"/>
    <mergeCell ref="C53:I53"/>
    <mergeCell ref="C15:G15"/>
    <mergeCell ref="C39:K39"/>
    <mergeCell ref="C50:K50"/>
    <mergeCell ref="C17:G17"/>
    <mergeCell ref="C31:F31"/>
    <mergeCell ref="C71:G71"/>
    <mergeCell ref="C125:F125"/>
    <mergeCell ref="C127:F127"/>
    <mergeCell ref="C72:K72"/>
    <mergeCell ref="C80:G80"/>
    <mergeCell ref="C76:F76"/>
    <mergeCell ref="C73:G73"/>
    <mergeCell ref="C74:G74"/>
    <mergeCell ref="C75:F75"/>
    <mergeCell ref="C55:K55"/>
    <mergeCell ref="C57:K57"/>
    <mergeCell ref="C59:K59"/>
    <mergeCell ref="C63:K63"/>
    <mergeCell ref="C56:H56"/>
    <mergeCell ref="C70:G70"/>
    <mergeCell ref="C145:K145"/>
    <mergeCell ref="C135:F135"/>
    <mergeCell ref="C64:G64"/>
    <mergeCell ref="C65:G65"/>
    <mergeCell ref="C67:F67"/>
    <mergeCell ref="C132:F132"/>
    <mergeCell ref="C131:F131"/>
    <mergeCell ref="C130:F130"/>
    <mergeCell ref="C68:G68"/>
    <mergeCell ref="C69:K69"/>
  </mergeCells>
  <phoneticPr fontId="0" type="noConversion"/>
  <hyperlinks>
    <hyperlink ref="B5" location="Instue!A48" display="II. Instrucciones Específicas a Nivel de Empresa"/>
    <hyperlink ref="C5" location="Instue!A123" display="Instue!A123"/>
    <hyperlink ref="C6" location="Instue!A123" display="Instue!A123"/>
    <hyperlink ref="D6" location="Instue!A123" display="Instue!A123"/>
    <hyperlink ref="E6" location="Instue!A123" display="Instue!A123"/>
    <hyperlink ref="B4" location="Instue!A45" display="Instue!A45"/>
    <hyperlink ref="B6" location="Instue!A123" display="Instue!A123"/>
    <hyperlink ref="C16" location="Instue!especificas" display="Instue!especificas"/>
    <hyperlink ref="C13" location="Instue!b9" display="Instue!b9"/>
    <hyperlink ref="C14" location="Instue!b9" display="Instue!b9"/>
    <hyperlink ref="D14:E14" location="Instue!B4"/>
    <hyperlink ref="D14" location="Instue!B33" display="Instue!B33"/>
    <hyperlink ref="E14" location="Instue!B33" display="Instue!B33"/>
    <hyperlink ref="E2:IV2" location="Instue!general" display="Instue!general"/>
    <hyperlink ref="E3:IV3" location="Instue!especifica" display="Instue!especifica"/>
    <hyperlink ref="IV65520" location="Instue!A147" display="D. Lugares de Distribución y Recepción de los formularios"/>
    <hyperlink ref="IV65517" location="Instue!A33" display="B. Instrucciones Generales para el llenado del Formulario F1"/>
    <hyperlink ref="E4:IV4" location="Instue!especifica" display="Instue!especifica"/>
    <hyperlink ref="IV65518" location="Instue!A84" display="C. Instrucciones Específicas para diligenciar el formulario F1"/>
    <hyperlink ref="IV65519" location="Instue!A147" display="D. Lugares de Distribución y Recepción de los formularios"/>
    <hyperlink ref="B4:D4" location="Instue!A10" display="I. Instrucciones Generales"/>
    <hyperlink ref="C4" location="Instue!A45" display="Instue!A45"/>
    <hyperlink ref="D4" location="Instue!A45" display="Instue!A45"/>
    <hyperlink ref="E5" location="Instue!A123" display="Instue!A123"/>
    <hyperlink ref="B3" location="Instue!A10" display="I. Instrucciones Generales"/>
    <hyperlink ref="C142" r:id="rId1" display="http://www.produce.gob.pe/"/>
    <hyperlink ref="D2:IV2" location="Instue!A29" display="Instue!A29"/>
    <hyperlink ref="C15" location="Instue!especificas" display="Instue!especificas"/>
    <hyperlink ref="D15" r:id="rId2" location="Instue!b92" display="C:\Documents and Settings\EOyola\Datos de programa\Microsoft\MANUFACTURA_CORREGIDOS\definitivos\EEA F1 Comercio y Servicios.xls - Instue!b92"/>
    <hyperlink ref="E15" location="Instue!b92" display="Instue!b92"/>
    <hyperlink ref="C12" location="Instue!b9" display="Instue!b9"/>
    <hyperlink ref="G15" location="Cedulas!A1" display="Cedulas!A1"/>
    <hyperlink ref="D13:E13" location="Instue!B4"/>
    <hyperlink ref="D13" location="Instue!B33" display="Instue!B33"/>
    <hyperlink ref="E13" location="Instue!B33" display="Instue!B33"/>
    <hyperlink ref="E1:IV1" location="Instue!general" display="Instue!general"/>
    <hyperlink ref="IV65516" location="Instue!A9" display="A. Instalación del Programa"/>
    <hyperlink ref="B3:D3" location="Instue!A10" display="I. Instrucciones Generales"/>
    <hyperlink ref="B141" r:id="rId3" display="pcordova@produce.gob.pe"/>
    <hyperlink ref="F152" r:id="rId4" display="mailto:produce@regionlambayeque.gob.pe"/>
    <hyperlink ref="F159" r:id="rId5" display="mailto:Minpes_iquitos@produce.gob.pe"/>
    <hyperlink ref="F166" r:id="rId6" display="mailto:Produce_madrededios@produce.gob.pe"/>
    <hyperlink ref="F173" r:id="rId7" display="mailto:Produce_Moquegua@produce.gob.pe"/>
    <hyperlink ref="F180" r:id="rId8" display="mailto:Produce_pasco@produce.gob.pe"/>
    <hyperlink ref="F187" r:id="rId9" display="mailto:Minpes_piura@produce.gob.pe"/>
    <hyperlink ref="F194" r:id="rId10" display="mailto:Produce_puno@produce.gob.pe"/>
    <hyperlink ref="F201" r:id="rId11" display="mailto:Minpes_moyobamba@produce.gob.pe"/>
    <hyperlink ref="F208" r:id="rId12" display="mailto:Produce_tacna@produce.gob.pe"/>
    <hyperlink ref="F215" r:id="rId13" display="mailto:Minpes_tumbes@produce.gob.pe"/>
    <hyperlink ref="F222" r:id="rId14" display="mailto:regionucayali@produce.gob.pe"/>
    <hyperlink ref="C152" r:id="rId15" display="mailto:produce_amazonas@produce.gob.pe"/>
    <hyperlink ref="C159" r:id="rId16" display="mailto:Produce_ancash@produce.gob.pe"/>
    <hyperlink ref="C166" r:id="rId17"/>
    <hyperlink ref="C173" r:id="rId18" display="mailto:Minpes_arequipa@produce.gob.pe"/>
    <hyperlink ref="C180" r:id="rId19" display="mailto:Produce_ayacucho@produce.gob.pe"/>
    <hyperlink ref="C187" r:id="rId20" display="mailto:Produce_cajamarca@produce.gob.pe"/>
    <hyperlink ref="C194" r:id="rId21" display="mailto:Produce_cusco@produce.gob.pe"/>
    <hyperlink ref="C201" r:id="rId22" display="mailto:Produce_huanuco@produce.gob.pe"/>
    <hyperlink ref="C208" r:id="rId23" display="mailto:Produce_Huancavelica@produce.gob.pe"/>
    <hyperlink ref="C215" r:id="rId24" display="mailto:Produce_pisco@produce.gob.pe"/>
    <hyperlink ref="C229" r:id="rId25" display="mailto:Minpes_Trujillo@produce.gob.pe"/>
    <hyperlink ref="C222" r:id="rId26" display="mailto:Produce_junin@produce.gob.pe"/>
  </hyperlinks>
  <pageMargins left="0.51" right="0.64" top="0.46" bottom="0.39370078740157483" header="0" footer="0"/>
  <pageSetup paperSize="9" scale="75" orientation="portrait" horizontalDpi="300" verticalDpi="300" r:id="rId27"/>
  <headerFooter alignWithMargins="0"/>
  <rowBreaks count="3" manualBreakCount="3">
    <brk id="67" min="1" max="11" man="1"/>
    <brk id="122" min="1" max="11" man="1"/>
    <brk id="144" min="1" max="11" man="1"/>
  </rowBreaks>
  <drawing r:id="rId28"/>
  <legacyDrawing r:id="rId29"/>
  <mc:AlternateContent xmlns:mc="http://schemas.openxmlformats.org/markup-compatibility/2006">
    <mc:Choice Requires="x14">
      <controls>
        <mc:AlternateContent xmlns:mc="http://schemas.openxmlformats.org/markup-compatibility/2006">
          <mc:Choice Requires="x14">
            <control shapeId="57366" r:id="rId30" name="Button 22">
              <controlPr defaultSize="0" print="0" autoFill="0" autoPict="0" macro="[0]!Legal_Botón8_AlHacerClic">
                <anchor moveWithCells="1" sizeWithCells="1">
                  <from>
                    <xdr:col>5</xdr:col>
                    <xdr:colOff>1828800</xdr:colOff>
                    <xdr:row>1</xdr:row>
                    <xdr:rowOff>114300</xdr:rowOff>
                  </from>
                  <to>
                    <xdr:col>6</xdr:col>
                    <xdr:colOff>785813</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11"/>
  <dimension ref="A1:J107"/>
  <sheetViews>
    <sheetView showGridLines="0" showRowColHeaders="0" showZeros="0" showOutlineSymbols="0" zoomScaleNormal="100" workbookViewId="0">
      <pane ySplit="6" topLeftCell="A77" activePane="bottomLeft" state="frozen"/>
      <selection pane="bottomLeft" activeCell="D85" sqref="D85"/>
    </sheetView>
  </sheetViews>
  <sheetFormatPr defaultColWidth="11.3984375" defaultRowHeight="12.75"/>
  <cols>
    <col min="1" max="1" width="2.1328125" style="4" customWidth="1"/>
    <col min="2" max="2" width="2.86328125" style="4" customWidth="1"/>
    <col min="3" max="3" width="14.86328125" style="4" customWidth="1"/>
    <col min="4" max="4" width="16.1328125" style="4" customWidth="1"/>
    <col min="5" max="5" width="31.3984375" style="4" customWidth="1"/>
    <col min="6" max="6" width="14.265625" style="4" customWidth="1"/>
    <col min="7" max="7" width="9.86328125" style="4" customWidth="1"/>
    <col min="8" max="8" width="9.3984375" style="4" customWidth="1"/>
    <col min="9" max="9" width="0.86328125" style="4" customWidth="1"/>
    <col min="10" max="10" width="6.73046875" style="4" customWidth="1"/>
    <col min="11" max="16384" width="11.3984375" style="4"/>
  </cols>
  <sheetData>
    <row r="1" spans="1:10" ht="28.5" customHeight="1">
      <c r="A1" s="12"/>
      <c r="B1" s="12"/>
      <c r="C1" s="12"/>
      <c r="D1" s="12"/>
      <c r="E1" s="12"/>
      <c r="F1" s="12"/>
      <c r="G1" s="144"/>
      <c r="H1" s="12"/>
      <c r="I1" s="12"/>
      <c r="J1" s="12"/>
    </row>
    <row r="2" spans="1:10" ht="44.25" customHeight="1">
      <c r="A2" s="12"/>
      <c r="B2" s="12"/>
      <c r="C2" s="12"/>
      <c r="D2" s="12"/>
      <c r="E2" s="12"/>
      <c r="F2" s="12"/>
      <c r="G2" s="12"/>
      <c r="H2" s="12"/>
      <c r="I2" s="12"/>
      <c r="J2" s="12"/>
    </row>
    <row r="3" spans="1:10" ht="18" customHeight="1">
      <c r="A3" s="665" t="s">
        <v>1797</v>
      </c>
      <c r="B3" s="666"/>
      <c r="C3" s="666"/>
      <c r="D3" s="666"/>
      <c r="E3" s="666"/>
      <c r="F3" s="666"/>
      <c r="G3" s="666"/>
      <c r="H3" s="667"/>
      <c r="I3" s="12"/>
      <c r="J3" s="12"/>
    </row>
    <row r="4" spans="1:10" ht="21" customHeight="1">
      <c r="A4" s="68" t="s">
        <v>1798</v>
      </c>
      <c r="B4" s="68"/>
      <c r="C4" s="162"/>
      <c r="D4" s="162"/>
      <c r="E4" s="163"/>
      <c r="F4" s="163"/>
      <c r="G4" s="163"/>
      <c r="H4" s="164"/>
      <c r="I4" s="12"/>
      <c r="J4" s="12"/>
    </row>
    <row r="5" spans="1:10" ht="14.1" customHeight="1">
      <c r="A5" s="68" t="s">
        <v>1901</v>
      </c>
      <c r="B5" s="68"/>
      <c r="C5" s="162"/>
      <c r="D5" s="162"/>
      <c r="E5" s="163"/>
      <c r="F5" s="163"/>
      <c r="G5" s="163"/>
      <c r="H5" s="164"/>
      <c r="I5" s="12"/>
      <c r="J5" s="12"/>
    </row>
    <row r="6" spans="1:10" ht="34.5" customHeight="1">
      <c r="A6" s="165"/>
      <c r="B6" s="165"/>
      <c r="C6" s="166"/>
      <c r="D6" s="165"/>
      <c r="E6" s="165"/>
      <c r="F6" s="165"/>
      <c r="G6" s="165"/>
      <c r="H6" s="164"/>
      <c r="I6" s="12"/>
      <c r="J6" s="12"/>
    </row>
    <row r="7" spans="1:10" s="169" customFormat="1" ht="7.5" customHeight="1">
      <c r="A7" s="167"/>
      <c r="B7" s="168"/>
      <c r="C7" s="167"/>
      <c r="D7" s="167"/>
      <c r="E7" s="167"/>
      <c r="F7" s="167"/>
      <c r="G7" s="167"/>
      <c r="H7" s="167"/>
      <c r="I7" s="167"/>
      <c r="J7" s="167"/>
    </row>
    <row r="8" spans="1:10" ht="12" customHeight="1">
      <c r="A8" s="12"/>
      <c r="B8" s="145" t="s">
        <v>1902</v>
      </c>
      <c r="C8" s="146" t="s">
        <v>7</v>
      </c>
      <c r="D8" s="147"/>
      <c r="E8" s="147"/>
      <c r="F8" s="147"/>
      <c r="G8" s="147"/>
      <c r="H8" s="148"/>
      <c r="I8" s="148"/>
      <c r="J8" s="12"/>
    </row>
    <row r="9" spans="1:10" ht="12" customHeight="1">
      <c r="A9" s="12"/>
      <c r="B9" s="69"/>
      <c r="C9" s="223"/>
      <c r="D9" s="224"/>
      <c r="E9" s="224"/>
      <c r="F9" s="224"/>
      <c r="G9" s="224"/>
      <c r="H9" s="224"/>
      <c r="I9" s="112"/>
      <c r="J9" s="12"/>
    </row>
    <row r="10" spans="1:10" ht="12" customHeight="1">
      <c r="A10" s="12"/>
      <c r="B10" s="170"/>
      <c r="C10" s="225" t="s">
        <v>3174</v>
      </c>
      <c r="D10" s="226"/>
      <c r="E10" s="66" t="s">
        <v>219</v>
      </c>
      <c r="F10" s="226"/>
      <c r="G10" s="226"/>
      <c r="H10" s="224"/>
      <c r="I10" s="112"/>
      <c r="J10" s="12"/>
    </row>
    <row r="11" spans="1:10" ht="12" customHeight="1">
      <c r="A11" s="12"/>
      <c r="B11" s="170"/>
      <c r="C11" s="227"/>
      <c r="D11" s="228"/>
      <c r="E11" s="66" t="s">
        <v>220</v>
      </c>
      <c r="F11" s="228"/>
      <c r="G11" s="228"/>
      <c r="H11" s="224"/>
      <c r="I11" s="112"/>
      <c r="J11" s="12"/>
    </row>
    <row r="12" spans="1:10" ht="12" customHeight="1">
      <c r="A12" s="12"/>
      <c r="B12" s="170"/>
      <c r="C12" s="225" t="s">
        <v>4220</v>
      </c>
      <c r="D12" s="229"/>
      <c r="E12" s="66" t="s">
        <v>221</v>
      </c>
      <c r="F12" s="229"/>
      <c r="G12" s="229"/>
      <c r="H12" s="224"/>
      <c r="I12" s="112"/>
      <c r="J12" s="12"/>
    </row>
    <row r="13" spans="1:10" ht="12" customHeight="1">
      <c r="A13" s="12"/>
      <c r="B13" s="170"/>
      <c r="C13" s="227"/>
      <c r="D13" s="230"/>
      <c r="E13" s="66" t="s">
        <v>222</v>
      </c>
      <c r="F13" s="230"/>
      <c r="G13" s="230"/>
      <c r="H13" s="224"/>
      <c r="I13" s="112"/>
      <c r="J13" s="12"/>
    </row>
    <row r="14" spans="1:10" ht="12" customHeight="1">
      <c r="A14" s="12"/>
      <c r="B14" s="170"/>
      <c r="C14" s="225" t="s">
        <v>4221</v>
      </c>
      <c r="D14" s="231"/>
      <c r="E14" s="229"/>
      <c r="F14" s="229"/>
      <c r="G14" s="229"/>
      <c r="H14" s="224"/>
      <c r="I14" s="112"/>
      <c r="J14" s="12"/>
    </row>
    <row r="15" spans="1:10" ht="18" customHeight="1">
      <c r="A15" s="12"/>
      <c r="B15" s="170"/>
      <c r="C15" s="664" t="s">
        <v>2502</v>
      </c>
      <c r="D15" s="664"/>
      <c r="E15" s="664"/>
      <c r="F15" s="664"/>
      <c r="G15" s="664"/>
      <c r="H15" s="664"/>
      <c r="I15" s="112"/>
      <c r="J15" s="12"/>
    </row>
    <row r="16" spans="1:10" ht="3" customHeight="1">
      <c r="A16" s="12"/>
      <c r="B16" s="170"/>
      <c r="C16" s="664"/>
      <c r="D16" s="664"/>
      <c r="E16" s="664"/>
      <c r="F16" s="664"/>
      <c r="G16" s="664"/>
      <c r="H16" s="664"/>
      <c r="I16" s="112"/>
      <c r="J16" s="12"/>
    </row>
    <row r="17" spans="1:10" ht="1.5" customHeight="1">
      <c r="A17" s="12"/>
      <c r="B17" s="170"/>
      <c r="C17" s="664"/>
      <c r="D17" s="664"/>
      <c r="E17" s="664"/>
      <c r="F17" s="664"/>
      <c r="G17" s="664"/>
      <c r="H17" s="664"/>
      <c r="I17" s="112"/>
      <c r="J17" s="12"/>
    </row>
    <row r="18" spans="1:10" ht="1.5" customHeight="1">
      <c r="A18" s="12"/>
      <c r="B18" s="170"/>
      <c r="C18" s="664"/>
      <c r="D18" s="664"/>
      <c r="E18" s="664"/>
      <c r="F18" s="664"/>
      <c r="G18" s="664"/>
      <c r="H18" s="664"/>
      <c r="I18" s="112"/>
      <c r="J18" s="12"/>
    </row>
    <row r="19" spans="1:10" ht="3.75" customHeight="1">
      <c r="A19" s="12"/>
      <c r="B19" s="170"/>
      <c r="C19" s="664"/>
      <c r="D19" s="664"/>
      <c r="E19" s="664"/>
      <c r="F19" s="664"/>
      <c r="G19" s="664"/>
      <c r="H19" s="664"/>
      <c r="I19" s="112"/>
      <c r="J19" s="12"/>
    </row>
    <row r="20" spans="1:10" ht="2.25" customHeight="1">
      <c r="A20" s="12"/>
      <c r="B20" s="170"/>
      <c r="C20" s="232"/>
      <c r="D20" s="233"/>
      <c r="E20" s="233"/>
      <c r="F20" s="234"/>
      <c r="G20" s="235"/>
      <c r="H20" s="235"/>
      <c r="I20" s="112"/>
      <c r="J20" s="12"/>
    </row>
    <row r="21" spans="1:10" ht="18" customHeight="1">
      <c r="A21" s="12"/>
      <c r="B21" s="170"/>
      <c r="C21" s="668" t="s">
        <v>4073</v>
      </c>
      <c r="D21" s="668"/>
      <c r="E21" s="668"/>
      <c r="F21" s="668"/>
      <c r="G21" s="668"/>
      <c r="H21" s="668"/>
      <c r="I21" s="112"/>
      <c r="J21" s="12"/>
    </row>
    <row r="22" spans="1:10" ht="18" customHeight="1">
      <c r="A22" s="12"/>
      <c r="B22" s="170"/>
      <c r="C22" s="668" t="s">
        <v>3543</v>
      </c>
      <c r="D22" s="668"/>
      <c r="E22" s="668"/>
      <c r="F22" s="668"/>
      <c r="G22" s="668"/>
      <c r="H22" s="668"/>
      <c r="I22" s="112"/>
      <c r="J22" s="12"/>
    </row>
    <row r="23" spans="1:10" ht="18" customHeight="1">
      <c r="A23" s="12"/>
      <c r="B23" s="170"/>
      <c r="C23" s="668" t="s">
        <v>2592</v>
      </c>
      <c r="D23" s="668"/>
      <c r="E23" s="668"/>
      <c r="F23" s="668"/>
      <c r="G23" s="668"/>
      <c r="H23" s="668"/>
      <c r="I23" s="112"/>
      <c r="J23" s="12"/>
    </row>
    <row r="24" spans="1:10" ht="18" customHeight="1">
      <c r="A24" s="12"/>
      <c r="B24" s="170"/>
      <c r="C24" s="668" t="s">
        <v>717</v>
      </c>
      <c r="D24" s="668"/>
      <c r="E24" s="668"/>
      <c r="F24" s="668"/>
      <c r="G24" s="668"/>
      <c r="H24" s="668"/>
      <c r="I24" s="112"/>
      <c r="J24" s="12"/>
    </row>
    <row r="25" spans="1:10" ht="18" customHeight="1">
      <c r="A25" s="12"/>
      <c r="B25" s="170"/>
      <c r="C25" s="668" t="s">
        <v>2307</v>
      </c>
      <c r="D25" s="668"/>
      <c r="E25" s="668"/>
      <c r="F25" s="668"/>
      <c r="G25" s="668"/>
      <c r="H25" s="668"/>
      <c r="I25" s="112"/>
      <c r="J25" s="12"/>
    </row>
    <row r="26" spans="1:10" ht="18" customHeight="1">
      <c r="A26" s="12"/>
      <c r="B26" s="170"/>
      <c r="C26" s="271" t="s">
        <v>2633</v>
      </c>
      <c r="D26" s="271"/>
      <c r="E26" s="271"/>
      <c r="F26" s="271"/>
      <c r="G26" s="271"/>
      <c r="I26" s="112"/>
      <c r="J26" s="12"/>
    </row>
    <row r="27" spans="1:10" ht="7.5" customHeight="1" thickBot="1">
      <c r="A27" s="12"/>
      <c r="B27" s="170"/>
      <c r="C27" s="171"/>
      <c r="D27" s="172"/>
      <c r="E27" s="150"/>
      <c r="F27" s="150"/>
      <c r="G27" s="150"/>
      <c r="H27" s="164"/>
      <c r="I27" s="112"/>
      <c r="J27" s="12"/>
    </row>
    <row r="28" spans="1:10" ht="13.5" customHeight="1">
      <c r="A28" s="12"/>
      <c r="B28" s="641" t="s">
        <v>3477</v>
      </c>
      <c r="C28" s="642"/>
      <c r="D28" s="642"/>
      <c r="E28" s="642"/>
      <c r="F28" s="642"/>
      <c r="G28" s="642"/>
      <c r="H28" s="643"/>
      <c r="I28" s="112"/>
      <c r="J28" s="12"/>
    </row>
    <row r="29" spans="1:10" ht="27" customHeight="1" thickBot="1">
      <c r="A29" s="12"/>
      <c r="B29" s="644" t="s">
        <v>1948</v>
      </c>
      <c r="C29" s="645"/>
      <c r="D29" s="645"/>
      <c r="E29" s="645"/>
      <c r="F29" s="645"/>
      <c r="G29" s="645"/>
      <c r="H29" s="646"/>
      <c r="I29" s="112"/>
      <c r="J29" s="12"/>
    </row>
    <row r="30" spans="1:10" ht="9" customHeight="1">
      <c r="A30" s="12"/>
      <c r="B30" s="170"/>
      <c r="C30" s="155"/>
      <c r="D30" s="153"/>
      <c r="E30" s="153"/>
      <c r="F30" s="153"/>
      <c r="G30" s="153"/>
      <c r="H30" s="164"/>
      <c r="I30" s="112"/>
      <c r="J30" s="12"/>
    </row>
    <row r="31" spans="1:10" ht="12" customHeight="1">
      <c r="A31" s="13"/>
      <c r="B31" s="237"/>
      <c r="C31" s="238" t="s">
        <v>4074</v>
      </c>
      <c r="D31" s="152"/>
      <c r="E31" s="152"/>
      <c r="F31" s="152"/>
      <c r="G31" s="152"/>
      <c r="H31" s="224"/>
      <c r="I31" s="224"/>
      <c r="J31" s="12"/>
    </row>
    <row r="32" spans="1:10" ht="12" customHeight="1">
      <c r="A32" s="13"/>
      <c r="B32" s="237"/>
      <c r="C32" s="151" t="s">
        <v>4075</v>
      </c>
      <c r="D32" s="152"/>
      <c r="E32" s="152"/>
      <c r="F32" s="152"/>
      <c r="G32" s="152"/>
      <c r="H32" s="224"/>
      <c r="I32" s="224"/>
      <c r="J32" s="12"/>
    </row>
    <row r="33" spans="1:10" ht="12" customHeight="1">
      <c r="A33" s="13"/>
      <c r="B33" s="237"/>
      <c r="C33" s="151" t="s">
        <v>2593</v>
      </c>
      <c r="D33" s="152"/>
      <c r="E33" s="152"/>
      <c r="F33" s="152"/>
      <c r="G33" s="152"/>
      <c r="H33" s="224"/>
      <c r="I33" s="224"/>
      <c r="J33" s="12"/>
    </row>
    <row r="34" spans="1:10" ht="12" customHeight="1">
      <c r="A34" s="13"/>
      <c r="C34" s="272"/>
      <c r="D34" s="152"/>
      <c r="E34" s="152"/>
      <c r="F34" s="152"/>
      <c r="G34" s="152"/>
      <c r="H34" s="224"/>
      <c r="I34" s="224"/>
      <c r="J34" s="12"/>
    </row>
    <row r="35" spans="1:10" ht="12" customHeight="1">
      <c r="A35" s="13"/>
      <c r="B35" s="237"/>
      <c r="C35" s="151"/>
      <c r="D35" s="152"/>
      <c r="E35" s="152"/>
      <c r="F35" s="152"/>
      <c r="G35" s="152"/>
      <c r="H35" s="224"/>
      <c r="I35" s="224"/>
      <c r="J35" s="12"/>
    </row>
    <row r="36" spans="1:10" s="169" customFormat="1" ht="12" customHeight="1">
      <c r="A36" s="13"/>
      <c r="B36" s="461" t="s">
        <v>4076</v>
      </c>
      <c r="C36" s="462" t="s">
        <v>892</v>
      </c>
      <c r="D36" s="152"/>
      <c r="E36" s="152"/>
      <c r="F36" s="152"/>
      <c r="G36" s="152"/>
      <c r="H36" s="224"/>
      <c r="I36" s="224"/>
      <c r="J36" s="167"/>
    </row>
    <row r="37" spans="1:10" s="169" customFormat="1" ht="12" customHeight="1">
      <c r="A37" s="13"/>
      <c r="B37" s="239"/>
      <c r="C37" s="240"/>
      <c r="D37" s="152"/>
      <c r="E37" s="152"/>
      <c r="F37" s="152"/>
      <c r="G37" s="152"/>
      <c r="H37" s="224"/>
      <c r="I37" s="224"/>
      <c r="J37" s="167"/>
    </row>
    <row r="38" spans="1:10" s="169" customFormat="1" ht="12" customHeight="1">
      <c r="A38" s="13"/>
      <c r="B38" s="647" t="s">
        <v>1125</v>
      </c>
      <c r="C38" s="647"/>
      <c r="D38" s="647"/>
      <c r="E38" s="647"/>
      <c r="F38" s="647"/>
      <c r="G38" s="647"/>
      <c r="H38" s="224"/>
      <c r="I38" s="224"/>
      <c r="J38" s="167"/>
    </row>
    <row r="39" spans="1:10" s="169" customFormat="1" ht="12" customHeight="1">
      <c r="A39" s="13"/>
      <c r="B39" s="405" t="s">
        <v>1126</v>
      </c>
      <c r="C39" s="405"/>
      <c r="D39" s="405"/>
      <c r="E39" s="405"/>
      <c r="F39" s="405"/>
      <c r="G39" s="405"/>
      <c r="H39" s="224"/>
      <c r="I39" s="224"/>
      <c r="J39" s="167"/>
    </row>
    <row r="40" spans="1:10" s="169" customFormat="1" ht="12" customHeight="1">
      <c r="A40" s="13"/>
      <c r="B40" s="648" t="s">
        <v>1124</v>
      </c>
      <c r="C40" s="648"/>
      <c r="D40" s="648"/>
      <c r="E40" s="648"/>
      <c r="F40" s="648"/>
      <c r="G40" s="648"/>
      <c r="H40" s="224"/>
      <c r="I40" s="224"/>
      <c r="J40" s="167"/>
    </row>
    <row r="41" spans="1:10" s="174" customFormat="1" ht="21" customHeight="1">
      <c r="A41" s="241"/>
      <c r="B41" s="242" t="s">
        <v>893</v>
      </c>
      <c r="C41" s="243"/>
      <c r="D41" s="243"/>
      <c r="E41" s="243"/>
      <c r="F41" s="243"/>
      <c r="G41" s="243"/>
      <c r="H41" s="244"/>
      <c r="I41" s="244"/>
    </row>
    <row r="42" spans="1:10" s="176" customFormat="1" ht="15.75" customHeight="1">
      <c r="A42" s="245"/>
      <c r="B42" s="636" t="s">
        <v>3181</v>
      </c>
      <c r="C42" s="636"/>
      <c r="D42" s="636"/>
      <c r="E42" s="636"/>
      <c r="F42" s="636"/>
      <c r="G42" s="636"/>
      <c r="H42" s="246"/>
      <c r="I42" s="246"/>
    </row>
    <row r="43" spans="1:10" s="176" customFormat="1" ht="15.75" customHeight="1">
      <c r="A43" s="245"/>
      <c r="B43" s="154"/>
      <c r="C43" s="636" t="s">
        <v>3182</v>
      </c>
      <c r="D43" s="636"/>
      <c r="E43" s="636"/>
      <c r="F43" s="636"/>
      <c r="G43" s="636"/>
      <c r="H43" s="246"/>
      <c r="I43" s="246"/>
    </row>
    <row r="44" spans="1:10" s="176" customFormat="1" ht="15.75" customHeight="1">
      <c r="A44" s="245"/>
      <c r="B44" s="636" t="s">
        <v>2557</v>
      </c>
      <c r="C44" s="636"/>
      <c r="D44" s="636"/>
      <c r="E44" s="636"/>
      <c r="F44" s="636"/>
      <c r="G44" s="636"/>
      <c r="H44" s="246"/>
      <c r="I44" s="246"/>
    </row>
    <row r="45" spans="1:10" s="176" customFormat="1" ht="15.75" customHeight="1">
      <c r="A45" s="245"/>
      <c r="B45" s="636" t="s">
        <v>3982</v>
      </c>
      <c r="C45" s="636"/>
      <c r="D45" s="636"/>
      <c r="E45" s="636"/>
      <c r="F45" s="636"/>
      <c r="G45" s="636"/>
      <c r="H45" s="246"/>
      <c r="I45" s="246"/>
    </row>
    <row r="46" spans="1:10" s="176" customFormat="1" ht="19.5" customHeight="1">
      <c r="A46" s="245"/>
      <c r="B46" s="660" t="s">
        <v>989</v>
      </c>
      <c r="C46" s="660"/>
      <c r="D46" s="660"/>
      <c r="E46" s="660"/>
      <c r="F46" s="660"/>
      <c r="G46" s="660"/>
      <c r="H46" s="660"/>
      <c r="I46" s="660"/>
    </row>
    <row r="47" spans="1:10" s="176" customFormat="1" ht="12.75" customHeight="1">
      <c r="A47" s="245"/>
      <c r="B47" s="660" t="s">
        <v>590</v>
      </c>
      <c r="C47" s="660"/>
      <c r="D47" s="660"/>
      <c r="E47" s="660"/>
      <c r="F47" s="660"/>
      <c r="G47" s="660"/>
      <c r="H47" s="660"/>
      <c r="I47" s="660"/>
    </row>
    <row r="48" spans="1:10" s="176" customFormat="1" ht="12.75" customHeight="1">
      <c r="A48" s="245"/>
      <c r="B48" s="236" t="s">
        <v>3983</v>
      </c>
      <c r="C48" s="637" t="s">
        <v>1942</v>
      </c>
      <c r="D48" s="637"/>
      <c r="E48" s="637"/>
      <c r="F48" s="637"/>
      <c r="G48" s="637"/>
      <c r="H48" s="246"/>
      <c r="I48" s="246"/>
    </row>
    <row r="49" spans="1:9" s="176" customFormat="1" ht="11.25" customHeight="1">
      <c r="A49" s="175"/>
    </row>
    <row r="50" spans="1:9" s="176" customFormat="1" ht="15.75" customHeight="1">
      <c r="A50" s="175"/>
      <c r="B50" s="226" t="s">
        <v>894</v>
      </c>
      <c r="C50" s="247"/>
      <c r="D50" s="247"/>
      <c r="E50" s="247"/>
      <c r="F50" s="247"/>
      <c r="G50" s="248"/>
      <c r="H50" s="246"/>
      <c r="I50" s="246"/>
    </row>
    <row r="51" spans="1:9" s="176" customFormat="1" ht="37.5" customHeight="1">
      <c r="A51" s="180"/>
      <c r="B51" s="637" t="s">
        <v>0</v>
      </c>
      <c r="C51" s="637"/>
      <c r="D51" s="637"/>
      <c r="E51" s="637"/>
      <c r="F51" s="637"/>
      <c r="G51" s="637"/>
      <c r="H51" s="637"/>
      <c r="I51" s="637"/>
    </row>
    <row r="52" spans="1:9" s="176" customFormat="1" ht="7.5" customHeight="1" thickBot="1">
      <c r="A52" s="180"/>
      <c r="B52" s="181"/>
      <c r="C52" s="181"/>
      <c r="D52" s="181"/>
      <c r="E52" s="181"/>
      <c r="F52" s="181"/>
      <c r="G52" s="181"/>
    </row>
    <row r="53" spans="1:9" s="176" customFormat="1" ht="21" customHeight="1">
      <c r="A53" s="180"/>
      <c r="B53" s="661" t="s">
        <v>3477</v>
      </c>
      <c r="C53" s="662"/>
      <c r="D53" s="662"/>
      <c r="E53" s="662"/>
      <c r="F53" s="662"/>
      <c r="G53" s="662"/>
      <c r="H53" s="662"/>
      <c r="I53" s="663"/>
    </row>
    <row r="54" spans="1:9" s="176" customFormat="1" ht="21" customHeight="1">
      <c r="A54" s="180"/>
      <c r="B54" s="649" t="s">
        <v>1</v>
      </c>
      <c r="C54" s="650"/>
      <c r="D54" s="650"/>
      <c r="E54" s="650"/>
      <c r="F54" s="650"/>
      <c r="G54" s="650"/>
      <c r="H54" s="650"/>
      <c r="I54" s="651"/>
    </row>
    <row r="55" spans="1:9" s="176" customFormat="1" ht="30" customHeight="1">
      <c r="A55" s="180"/>
      <c r="B55" s="649" t="s">
        <v>3186</v>
      </c>
      <c r="C55" s="650"/>
      <c r="D55" s="650"/>
      <c r="E55" s="650"/>
      <c r="F55" s="650"/>
      <c r="G55" s="650"/>
      <c r="H55" s="650"/>
      <c r="I55" s="651"/>
    </row>
    <row r="56" spans="1:9" s="176" customFormat="1" ht="26.25" customHeight="1">
      <c r="A56" s="180"/>
      <c r="B56" s="652" t="s">
        <v>3187</v>
      </c>
      <c r="C56" s="653"/>
      <c r="D56" s="653"/>
      <c r="E56" s="653"/>
      <c r="F56" s="653"/>
      <c r="G56" s="653"/>
      <c r="H56" s="653"/>
      <c r="I56" s="654"/>
    </row>
    <row r="57" spans="1:9" s="176" customFormat="1" ht="40.5" customHeight="1" thickBot="1">
      <c r="A57" s="180"/>
      <c r="B57" s="638" t="s">
        <v>3769</v>
      </c>
      <c r="C57" s="639"/>
      <c r="D57" s="639"/>
      <c r="E57" s="639"/>
      <c r="F57" s="639"/>
      <c r="G57" s="639"/>
      <c r="H57" s="639"/>
      <c r="I57" s="640"/>
    </row>
    <row r="58" spans="1:9" s="176" customFormat="1" ht="12" customHeight="1">
      <c r="A58" s="180"/>
      <c r="B58" s="182"/>
      <c r="C58" s="182"/>
      <c r="D58" s="182"/>
      <c r="E58" s="182"/>
      <c r="F58" s="182"/>
      <c r="G58" s="182"/>
    </row>
    <row r="59" spans="1:9" s="176" customFormat="1" ht="15.75" customHeight="1">
      <c r="A59" s="175"/>
      <c r="B59" s="226" t="s">
        <v>2</v>
      </c>
      <c r="C59" s="247"/>
      <c r="D59" s="178"/>
      <c r="E59" s="178"/>
      <c r="F59" s="178"/>
      <c r="G59" s="179"/>
    </row>
    <row r="60" spans="1:9" s="176" customFormat="1" ht="11.25" customHeight="1" thickBot="1">
      <c r="A60" s="175"/>
      <c r="B60" s="183"/>
      <c r="C60" s="178"/>
      <c r="D60" s="178"/>
      <c r="E60" s="178"/>
      <c r="F60" s="178"/>
      <c r="G60" s="179"/>
    </row>
    <row r="61" spans="1:9" s="176" customFormat="1" ht="27" customHeight="1" thickBot="1">
      <c r="A61" s="175"/>
      <c r="B61" s="657" t="s">
        <v>2501</v>
      </c>
      <c r="C61" s="658"/>
      <c r="D61" s="658"/>
      <c r="E61" s="658"/>
      <c r="F61" s="658"/>
      <c r="G61" s="658"/>
      <c r="H61" s="658"/>
      <c r="I61" s="659"/>
    </row>
    <row r="62" spans="1:9" s="176" customFormat="1" ht="6.75" customHeight="1">
      <c r="A62" s="175"/>
      <c r="B62" s="184"/>
      <c r="C62" s="184"/>
      <c r="D62" s="184"/>
      <c r="E62" s="184"/>
      <c r="F62" s="184"/>
      <c r="G62" s="184"/>
    </row>
    <row r="63" spans="1:9" s="176" customFormat="1" ht="29.25" customHeight="1">
      <c r="A63" s="180"/>
      <c r="B63" s="635" t="s">
        <v>3</v>
      </c>
      <c r="C63" s="635"/>
      <c r="D63" s="635"/>
      <c r="E63" s="635"/>
      <c r="F63" s="635"/>
      <c r="G63" s="635"/>
      <c r="H63" s="246"/>
    </row>
    <row r="64" spans="1:9" s="176" customFormat="1" ht="3" customHeight="1">
      <c r="A64" s="180"/>
      <c r="B64" s="249"/>
      <c r="C64" s="249"/>
      <c r="D64" s="249"/>
      <c r="E64" s="249"/>
      <c r="F64" s="249"/>
      <c r="G64" s="249"/>
      <c r="H64" s="246"/>
    </row>
    <row r="65" spans="1:10" s="176" customFormat="1" ht="28.5" customHeight="1">
      <c r="A65" s="180"/>
      <c r="B65" s="635" t="s">
        <v>591</v>
      </c>
      <c r="C65" s="635"/>
      <c r="D65" s="635"/>
      <c r="E65" s="635"/>
      <c r="F65" s="635"/>
      <c r="G65" s="635"/>
      <c r="H65" s="246"/>
    </row>
    <row r="66" spans="1:10" s="186" customFormat="1" ht="22.5" customHeight="1">
      <c r="A66" s="185"/>
      <c r="B66" s="635" t="s">
        <v>592</v>
      </c>
      <c r="C66" s="635"/>
      <c r="D66" s="635"/>
      <c r="E66" s="635"/>
      <c r="F66" s="635"/>
      <c r="G66" s="635"/>
      <c r="H66" s="250"/>
    </row>
    <row r="67" spans="1:10" s="186" customFormat="1">
      <c r="A67" s="185"/>
      <c r="B67" s="249"/>
      <c r="C67" s="633" t="s">
        <v>2499</v>
      </c>
      <c r="D67" s="633"/>
      <c r="E67" s="633"/>
      <c r="F67" s="633"/>
      <c r="G67" s="633"/>
      <c r="H67" s="250"/>
    </row>
    <row r="68" spans="1:10" s="186" customFormat="1">
      <c r="A68" s="185"/>
      <c r="B68" s="249"/>
      <c r="C68" s="634" t="s">
        <v>593</v>
      </c>
      <c r="D68" s="635"/>
      <c r="E68" s="635"/>
      <c r="F68" s="635"/>
      <c r="G68" s="635"/>
      <c r="H68" s="250"/>
    </row>
    <row r="69" spans="1:10" s="176" customFormat="1">
      <c r="A69" s="180"/>
      <c r="B69" s="635" t="s">
        <v>3972</v>
      </c>
      <c r="C69" s="635"/>
      <c r="D69" s="635"/>
      <c r="E69" s="635"/>
      <c r="F69" s="635"/>
      <c r="G69" s="635"/>
      <c r="H69" s="246"/>
    </row>
    <row r="70" spans="1:10" s="176" customFormat="1">
      <c r="A70" s="180"/>
      <c r="B70" s="635" t="s">
        <v>2500</v>
      </c>
      <c r="C70" s="635"/>
      <c r="D70" s="635"/>
      <c r="E70" s="635"/>
      <c r="F70" s="635"/>
      <c r="G70" s="635"/>
      <c r="H70" s="246"/>
    </row>
    <row r="71" spans="1:10" s="176" customFormat="1">
      <c r="A71" s="180"/>
      <c r="B71" s="251"/>
      <c r="C71" s="610" t="s">
        <v>3888</v>
      </c>
      <c r="D71" s="610"/>
      <c r="E71" s="610"/>
      <c r="F71" s="610"/>
      <c r="G71" s="610"/>
      <c r="H71" s="246"/>
    </row>
    <row r="72" spans="1:10" s="189" customFormat="1" ht="12.75" customHeight="1" thickBot="1">
      <c r="A72" s="188"/>
      <c r="B72" s="187"/>
      <c r="C72" s="173"/>
      <c r="D72" s="173"/>
      <c r="E72" s="173"/>
      <c r="F72" s="173"/>
      <c r="G72" s="173"/>
    </row>
    <row r="73" spans="1:10" s="176" customFormat="1" ht="15.75" customHeight="1" thickBot="1">
      <c r="A73" s="175"/>
      <c r="B73" s="623" t="s">
        <v>3477</v>
      </c>
      <c r="C73" s="624"/>
      <c r="D73" s="624"/>
      <c r="E73" s="624"/>
      <c r="F73" s="624"/>
      <c r="G73" s="624"/>
      <c r="H73" s="624"/>
      <c r="I73" s="625"/>
    </row>
    <row r="74" spans="1:10" s="176" customFormat="1" ht="12.75" customHeight="1">
      <c r="A74" s="175"/>
      <c r="B74" s="614" t="s">
        <v>4</v>
      </c>
      <c r="C74" s="615"/>
      <c r="D74" s="615"/>
      <c r="E74" s="615"/>
      <c r="F74" s="615"/>
      <c r="G74" s="615"/>
      <c r="H74" s="615"/>
      <c r="I74" s="616"/>
    </row>
    <row r="75" spans="1:10" s="176" customFormat="1">
      <c r="A75" s="175"/>
      <c r="B75" s="617"/>
      <c r="C75" s="618"/>
      <c r="D75" s="618"/>
      <c r="E75" s="618"/>
      <c r="F75" s="618"/>
      <c r="G75" s="618"/>
      <c r="H75" s="618"/>
      <c r="I75" s="619"/>
    </row>
    <row r="76" spans="1:10" s="176" customFormat="1" ht="13.15" thickBot="1">
      <c r="A76" s="175"/>
      <c r="B76" s="620"/>
      <c r="C76" s="621"/>
      <c r="D76" s="621"/>
      <c r="E76" s="621"/>
      <c r="F76" s="621"/>
      <c r="G76" s="621"/>
      <c r="H76" s="621"/>
      <c r="I76" s="622"/>
    </row>
    <row r="77" spans="1:10" ht="6" customHeight="1">
      <c r="A77" s="12"/>
      <c r="B77" s="69"/>
      <c r="C77" s="154"/>
      <c r="D77" s="154"/>
      <c r="E77" s="154"/>
      <c r="F77" s="154"/>
      <c r="G77" s="154"/>
      <c r="H77" s="154"/>
      <c r="I77" s="112"/>
      <c r="J77" s="12"/>
    </row>
    <row r="78" spans="1:10" ht="12" customHeight="1" thickBot="1">
      <c r="A78" s="12"/>
      <c r="B78" s="69"/>
      <c r="C78" s="151"/>
      <c r="D78" s="152"/>
      <c r="E78" s="152"/>
      <c r="F78" s="153"/>
      <c r="G78" s="153"/>
      <c r="H78" s="112"/>
      <c r="I78" s="112"/>
      <c r="J78" s="12"/>
    </row>
    <row r="79" spans="1:10" ht="12" customHeight="1">
      <c r="A79" s="12"/>
      <c r="B79" s="69"/>
      <c r="C79" s="630" t="s">
        <v>5</v>
      </c>
      <c r="D79" s="631"/>
      <c r="E79" s="631"/>
      <c r="F79" s="632"/>
      <c r="G79" s="153"/>
      <c r="H79" s="112"/>
      <c r="I79" s="112"/>
      <c r="J79" s="12"/>
    </row>
    <row r="80" spans="1:10" ht="12" customHeight="1">
      <c r="A80" s="12"/>
      <c r="B80" s="69"/>
      <c r="C80" s="156" t="s">
        <v>2239</v>
      </c>
      <c r="D80" s="655" t="s">
        <v>223</v>
      </c>
      <c r="E80" s="655"/>
      <c r="F80" s="656"/>
      <c r="G80" s="153"/>
      <c r="H80" s="112"/>
      <c r="I80" s="112"/>
      <c r="J80" s="12"/>
    </row>
    <row r="81" spans="1:10" ht="12" customHeight="1">
      <c r="A81" s="12"/>
      <c r="B81" s="69"/>
      <c r="C81" s="157" t="s">
        <v>2594</v>
      </c>
      <c r="D81" s="611" t="s">
        <v>754</v>
      </c>
      <c r="E81" s="612"/>
      <c r="F81" s="613"/>
      <c r="G81" s="153"/>
      <c r="H81" s="112"/>
      <c r="I81" s="112"/>
      <c r="J81" s="12"/>
    </row>
    <row r="82" spans="1:10" ht="12" customHeight="1">
      <c r="A82" s="12"/>
      <c r="B82" s="69"/>
      <c r="C82" s="158" t="s">
        <v>2595</v>
      </c>
      <c r="D82" s="611" t="s">
        <v>211</v>
      </c>
      <c r="E82" s="612"/>
      <c r="F82" s="613"/>
      <c r="G82" s="153"/>
      <c r="H82" s="112"/>
      <c r="I82" s="112"/>
      <c r="J82" s="12"/>
    </row>
    <row r="83" spans="1:10" ht="12" customHeight="1">
      <c r="A83" s="12"/>
      <c r="B83" s="69"/>
      <c r="C83" s="159" t="s">
        <v>2596</v>
      </c>
      <c r="D83" s="626" t="s">
        <v>542</v>
      </c>
      <c r="E83" s="627"/>
      <c r="F83" s="628"/>
      <c r="G83" s="153"/>
      <c r="H83" s="112"/>
      <c r="I83" s="112"/>
      <c r="J83" s="12"/>
    </row>
    <row r="84" spans="1:10" ht="12" customHeight="1">
      <c r="A84" s="12"/>
      <c r="B84" s="69"/>
      <c r="C84" s="629" t="s">
        <v>6</v>
      </c>
      <c r="D84" s="629"/>
      <c r="E84" s="629"/>
      <c r="F84" s="153"/>
      <c r="G84" s="153"/>
      <c r="H84" s="112"/>
      <c r="I84" s="112"/>
      <c r="J84" s="12"/>
    </row>
    <row r="85" spans="1:10" ht="12" customHeight="1">
      <c r="A85" s="12"/>
      <c r="B85" s="69"/>
      <c r="C85" s="177"/>
      <c r="D85" s="177"/>
      <c r="E85" s="177"/>
      <c r="F85" s="177"/>
      <c r="G85" s="153"/>
      <c r="H85" s="112"/>
      <c r="I85" s="112"/>
    </row>
    <row r="86" spans="1:10" s="33" customFormat="1" ht="10.5" customHeight="1">
      <c r="B86" s="316"/>
      <c r="G86" s="177"/>
      <c r="H86" s="190"/>
      <c r="I86" s="190"/>
    </row>
    <row r="87" spans="1:10" s="33" customFormat="1" ht="4.5" customHeight="1"/>
    <row r="88" spans="1:10" ht="17.25" customHeight="1">
      <c r="C88" s="607" t="s">
        <v>2045</v>
      </c>
      <c r="D88" s="608"/>
      <c r="E88" s="608"/>
      <c r="F88" s="608"/>
      <c r="G88" s="608"/>
      <c r="H88" s="609"/>
      <c r="I88" s="33"/>
      <c r="J88" s="33"/>
    </row>
    <row r="89" spans="1:10" ht="18.75" customHeight="1">
      <c r="A89" s="12"/>
      <c r="B89" s="12"/>
      <c r="C89" s="604" t="s">
        <v>3490</v>
      </c>
      <c r="D89" s="605"/>
      <c r="E89" s="605"/>
      <c r="F89" s="605"/>
      <c r="G89" s="605"/>
      <c r="H89" s="606"/>
      <c r="I89" s="33"/>
      <c r="J89" s="33"/>
    </row>
    <row r="90" spans="1:10" ht="15.75" customHeight="1">
      <c r="A90" s="12"/>
      <c r="B90" s="12"/>
      <c r="C90" s="528" t="s">
        <v>2258</v>
      </c>
      <c r="D90" s="311"/>
      <c r="E90" s="311"/>
      <c r="F90" s="311"/>
      <c r="G90" s="259"/>
      <c r="H90" s="317"/>
      <c r="I90" s="33"/>
      <c r="J90" s="33"/>
    </row>
    <row r="91" spans="1:10">
      <c r="A91" s="12"/>
      <c r="B91" s="12"/>
      <c r="C91" s="528" t="s">
        <v>294</v>
      </c>
      <c r="D91" s="311"/>
      <c r="E91" s="311"/>
      <c r="F91" s="311"/>
      <c r="G91" s="259"/>
      <c r="H91" s="317"/>
      <c r="I91" s="33"/>
      <c r="J91" s="33"/>
    </row>
    <row r="92" spans="1:10">
      <c r="A92" s="12"/>
      <c r="B92" s="12"/>
      <c r="C92" s="528" t="s">
        <v>295</v>
      </c>
      <c r="D92" s="311"/>
      <c r="E92" s="311"/>
      <c r="F92" s="311"/>
      <c r="G92" s="259"/>
      <c r="H92" s="317"/>
      <c r="I92" s="33"/>
      <c r="J92" s="33"/>
    </row>
    <row r="93" spans="1:10" ht="15" customHeight="1">
      <c r="A93" s="12"/>
      <c r="B93" s="12"/>
      <c r="C93" s="529" t="s">
        <v>350</v>
      </c>
      <c r="D93" s="312"/>
      <c r="E93" s="312"/>
      <c r="F93" s="312"/>
      <c r="G93" s="259"/>
      <c r="H93" s="317"/>
      <c r="I93" s="33"/>
      <c r="J93" s="33"/>
    </row>
    <row r="94" spans="1:10" ht="18" customHeight="1">
      <c r="A94" s="12"/>
      <c r="B94" s="12"/>
      <c r="C94" s="530" t="s">
        <v>349</v>
      </c>
      <c r="D94" s="318"/>
      <c r="E94" s="318"/>
      <c r="F94" s="318"/>
      <c r="G94" s="259"/>
      <c r="H94" s="317"/>
      <c r="I94" s="33"/>
      <c r="J94" s="33"/>
    </row>
    <row r="95" spans="1:10" ht="19.5" customHeight="1">
      <c r="A95" s="12"/>
      <c r="B95" s="12"/>
      <c r="C95" s="531" t="s">
        <v>347</v>
      </c>
      <c r="D95" s="18"/>
      <c r="E95" s="18"/>
      <c r="F95" s="18"/>
      <c r="G95" s="259"/>
      <c r="H95" s="317"/>
      <c r="I95" s="33"/>
      <c r="J95" s="33"/>
    </row>
    <row r="96" spans="1:10" ht="18" customHeight="1">
      <c r="A96" s="12"/>
      <c r="B96" s="12"/>
      <c r="C96" s="532" t="s">
        <v>348</v>
      </c>
      <c r="D96" s="319"/>
      <c r="E96" s="319"/>
      <c r="F96" s="319"/>
      <c r="G96" s="319"/>
      <c r="H96" s="320"/>
      <c r="I96" s="33"/>
      <c r="J96" s="33"/>
    </row>
    <row r="97" spans="1:10" ht="15" customHeight="1">
      <c r="A97" s="12"/>
      <c r="B97" s="12"/>
      <c r="G97" s="33"/>
      <c r="H97" s="33"/>
      <c r="I97" s="33"/>
      <c r="J97" s="33"/>
    </row>
    <row r="98" spans="1:10" ht="11.25" customHeight="1">
      <c r="A98" s="12"/>
      <c r="B98" s="12"/>
      <c r="G98" s="33"/>
      <c r="H98" s="33"/>
      <c r="I98" s="33"/>
      <c r="J98" s="33"/>
    </row>
    <row r="99" spans="1:10" ht="12.75" customHeight="1">
      <c r="A99" s="12"/>
      <c r="B99" s="12"/>
      <c r="G99" s="33"/>
      <c r="H99" s="33"/>
      <c r="I99" s="33"/>
      <c r="J99" s="33"/>
    </row>
    <row r="100" spans="1:10" ht="12.75" customHeight="1">
      <c r="A100" s="12"/>
      <c r="B100" s="12"/>
      <c r="G100" s="33"/>
      <c r="H100" s="33"/>
      <c r="I100" s="33"/>
      <c r="J100" s="33"/>
    </row>
    <row r="101" spans="1:10" ht="11.25" customHeight="1">
      <c r="A101" s="12"/>
      <c r="B101" s="12"/>
      <c r="G101" s="33"/>
      <c r="H101" s="33"/>
      <c r="I101" s="33"/>
      <c r="J101" s="33"/>
    </row>
    <row r="102" spans="1:10">
      <c r="I102" s="33"/>
      <c r="J102" s="33"/>
    </row>
    <row r="103" spans="1:10" ht="13.5" customHeight="1">
      <c r="I103" s="33"/>
      <c r="J103" s="33"/>
    </row>
    <row r="104" spans="1:10">
      <c r="I104" s="33"/>
      <c r="J104" s="33"/>
    </row>
    <row r="105" spans="1:10">
      <c r="I105" s="33"/>
      <c r="J105" s="33"/>
    </row>
    <row r="106" spans="1:10">
      <c r="I106" s="33"/>
      <c r="J106" s="33"/>
    </row>
    <row r="107" spans="1:10">
      <c r="I107" s="33"/>
      <c r="J107" s="33"/>
    </row>
  </sheetData>
  <sheetProtection password="D3CE" sheet="1" objects="1" scenarios="1" selectLockedCells="1" selectUnlockedCells="1"/>
  <mergeCells count="47">
    <mergeCell ref="C25:H25"/>
    <mergeCell ref="C19:H19"/>
    <mergeCell ref="C21:H21"/>
    <mergeCell ref="C22:H22"/>
    <mergeCell ref="C23:H23"/>
    <mergeCell ref="C16:H16"/>
    <mergeCell ref="C17:H17"/>
    <mergeCell ref="C18:H18"/>
    <mergeCell ref="A3:H3"/>
    <mergeCell ref="C15:H15"/>
    <mergeCell ref="C24:H24"/>
    <mergeCell ref="B44:G44"/>
    <mergeCell ref="B55:I55"/>
    <mergeCell ref="B56:I56"/>
    <mergeCell ref="D80:F80"/>
    <mergeCell ref="B61:I61"/>
    <mergeCell ref="B46:I46"/>
    <mergeCell ref="B47:I47"/>
    <mergeCell ref="B51:I51"/>
    <mergeCell ref="B53:I53"/>
    <mergeCell ref="B54:I54"/>
    <mergeCell ref="B28:H28"/>
    <mergeCell ref="B29:H29"/>
    <mergeCell ref="B42:G42"/>
    <mergeCell ref="C43:G43"/>
    <mergeCell ref="B38:G38"/>
    <mergeCell ref="B40:G40"/>
    <mergeCell ref="C67:G67"/>
    <mergeCell ref="C68:G68"/>
    <mergeCell ref="B69:G69"/>
    <mergeCell ref="B70:G70"/>
    <mergeCell ref="B63:G63"/>
    <mergeCell ref="B45:G45"/>
    <mergeCell ref="B65:G65"/>
    <mergeCell ref="B66:G66"/>
    <mergeCell ref="C48:G48"/>
    <mergeCell ref="B57:I57"/>
    <mergeCell ref="C89:H89"/>
    <mergeCell ref="C88:H88"/>
    <mergeCell ref="C71:G71"/>
    <mergeCell ref="D81:F81"/>
    <mergeCell ref="B74:I76"/>
    <mergeCell ref="B73:I73"/>
    <mergeCell ref="D82:F82"/>
    <mergeCell ref="D83:F83"/>
    <mergeCell ref="C84:E84"/>
    <mergeCell ref="C79:F79"/>
  </mergeCells>
  <phoneticPr fontId="0" type="noConversion"/>
  <hyperlinks>
    <hyperlink ref="A5" location="Ayuda!A39" display="Ayuda!A39"/>
    <hyperlink ref="B5" location="Ayuda!A39" display="Ayuda!A39"/>
    <hyperlink ref="C5" location="Ayuda!A39" display="Ayuda!A39"/>
    <hyperlink ref="D5" location="Instue!A155" display="Instue!A155"/>
    <hyperlink ref="A4" location="Ayuda!A8" display="Ayuda!A8"/>
    <hyperlink ref="B4" location="Ayuda!A8" display="Ayuda!A8"/>
    <hyperlink ref="C4" location="Ayuda!A8" display="Ayuda!A8"/>
    <hyperlink ref="D4" location="Ayuda!A8" display="Ayuda!A8"/>
  </hyperlinks>
  <pageMargins left="0.38" right="0.64" top="0.42" bottom="0.59055118110236227" header="0" footer="0"/>
  <pageSetup paperSize="9"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7" r:id="rId4" name="Button 7">
              <controlPr defaultSize="0" print="0" autoFill="0" autoPict="0" macro="[0]!Ayuda_Botón7_AlHacerClic">
                <anchor moveWithCells="1" sizeWithCells="1">
                  <from>
                    <xdr:col>6</xdr:col>
                    <xdr:colOff>400050</xdr:colOff>
                    <xdr:row>3</xdr:row>
                    <xdr:rowOff>76200</xdr:rowOff>
                  </from>
                  <to>
                    <xdr:col>7</xdr:col>
                    <xdr:colOff>609600</xdr:colOff>
                    <xdr:row>4</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1:I30"/>
  <sheetViews>
    <sheetView showGridLines="0" showRowColHeaders="0" showZeros="0" showOutlineSymbols="0" workbookViewId="0">
      <selection activeCell="D4" sqref="D4"/>
    </sheetView>
  </sheetViews>
  <sheetFormatPr defaultColWidth="11.3984375" defaultRowHeight="12.75"/>
  <cols>
    <col min="1" max="1" width="2.86328125" style="4" customWidth="1"/>
    <col min="2" max="2" width="7.1328125" style="4" customWidth="1"/>
    <col min="3" max="3" width="20.1328125" style="4" customWidth="1"/>
    <col min="4" max="4" width="14.1328125" style="4" customWidth="1"/>
    <col min="5" max="5" width="9.73046875" style="4" customWidth="1"/>
    <col min="6" max="6" width="6.73046875" style="4" customWidth="1"/>
    <col min="7" max="7" width="11.59765625" style="4" customWidth="1"/>
    <col min="8" max="8" width="14.1328125" style="4" customWidth="1"/>
    <col min="9" max="9" width="12.265625" style="4" customWidth="1"/>
    <col min="10" max="16384" width="11.3984375" style="4"/>
  </cols>
  <sheetData>
    <row r="1" spans="2:9">
      <c r="G1" s="33"/>
      <c r="H1" s="33"/>
      <c r="I1" s="33"/>
    </row>
    <row r="2" spans="2:9">
      <c r="G2" s="33"/>
      <c r="H2" s="33"/>
      <c r="I2" s="33"/>
    </row>
    <row r="3" spans="2:9">
      <c r="G3" s="33"/>
      <c r="H3" s="33"/>
      <c r="I3" s="33"/>
    </row>
    <row r="8" spans="2:9" ht="7.5" customHeight="1"/>
    <row r="10" spans="2:9" ht="12.75" customHeight="1">
      <c r="B10" s="411"/>
      <c r="C10" s="412" t="s">
        <v>8</v>
      </c>
      <c r="D10" s="413"/>
      <c r="E10" s="414"/>
      <c r="F10" s="165"/>
      <c r="G10" s="412" t="s">
        <v>3288</v>
      </c>
    </row>
    <row r="11" spans="2:9" ht="13.5" customHeight="1">
      <c r="B11" s="406"/>
      <c r="C11" s="415"/>
      <c r="D11" s="415"/>
      <c r="E11" s="406"/>
      <c r="G11" s="169"/>
    </row>
    <row r="12" spans="2:9" ht="12.75" customHeight="1">
      <c r="B12" s="406"/>
      <c r="C12" s="412" t="s">
        <v>1938</v>
      </c>
      <c r="D12" s="415"/>
      <c r="E12" s="406"/>
      <c r="G12" s="412" t="s">
        <v>10</v>
      </c>
    </row>
    <row r="13" spans="2:9" ht="13.5" customHeight="1">
      <c r="B13" s="406"/>
      <c r="C13" s="415"/>
      <c r="D13" s="415"/>
      <c r="E13" s="406"/>
      <c r="G13" s="169"/>
    </row>
    <row r="14" spans="2:9" ht="14.25" customHeight="1">
      <c r="B14" s="406"/>
      <c r="C14" s="412" t="s">
        <v>1464</v>
      </c>
      <c r="D14" s="415"/>
      <c r="E14" s="406"/>
      <c r="G14" s="412" t="s">
        <v>9</v>
      </c>
    </row>
    <row r="15" spans="2:9" ht="13.5" customHeight="1">
      <c r="B15" s="406"/>
      <c r="C15" s="415"/>
      <c r="D15" s="415"/>
      <c r="E15" s="406"/>
      <c r="G15" s="169"/>
    </row>
    <row r="16" spans="2:9" ht="14.25" customHeight="1">
      <c r="B16" s="406"/>
      <c r="C16" s="412" t="s">
        <v>1465</v>
      </c>
      <c r="D16" s="415"/>
      <c r="E16" s="406"/>
      <c r="G16" s="412" t="s">
        <v>1121</v>
      </c>
    </row>
    <row r="17" spans="1:9" ht="13.5" customHeight="1">
      <c r="B17" s="406"/>
      <c r="C17" s="415"/>
      <c r="D17" s="415"/>
      <c r="E17" s="406"/>
      <c r="G17" s="169"/>
    </row>
    <row r="18" spans="1:9" ht="12.75" customHeight="1">
      <c r="B18" s="406"/>
      <c r="C18" s="412" t="s">
        <v>3287</v>
      </c>
      <c r="D18" s="415"/>
      <c r="E18" s="406"/>
      <c r="G18" s="416" t="s">
        <v>797</v>
      </c>
    </row>
    <row r="19" spans="1:9" ht="9" customHeight="1">
      <c r="B19" s="406"/>
      <c r="C19" s="169"/>
      <c r="D19" s="169"/>
    </row>
    <row r="20" spans="1:9" ht="17.25" customHeight="1">
      <c r="B20" s="406"/>
      <c r="D20" s="169"/>
    </row>
    <row r="21" spans="1:9" ht="10.5" customHeight="1">
      <c r="B21" s="259"/>
      <c r="C21" s="259"/>
      <c r="D21" s="33"/>
      <c r="E21" s="33"/>
    </row>
    <row r="22" spans="1:9" ht="4.5" customHeight="1">
      <c r="B22" s="33"/>
      <c r="C22" s="33"/>
      <c r="D22" s="33"/>
      <c r="E22" s="33"/>
      <c r="F22" s="33"/>
      <c r="G22" s="33"/>
      <c r="H22" s="33"/>
      <c r="I22" s="33"/>
    </row>
    <row r="23" spans="1:9" ht="10.5" customHeight="1">
      <c r="A23" s="417"/>
      <c r="B23" s="418"/>
      <c r="C23" s="419"/>
      <c r="D23" s="419"/>
      <c r="E23" s="419"/>
      <c r="F23" s="33"/>
      <c r="G23" s="33"/>
      <c r="H23" s="33"/>
      <c r="I23" s="33"/>
    </row>
    <row r="24" spans="1:9" ht="9" customHeight="1">
      <c r="A24" s="417"/>
      <c r="B24" s="418"/>
      <c r="C24" s="419"/>
      <c r="D24" s="419"/>
      <c r="E24" s="419"/>
      <c r="F24" s="33"/>
      <c r="G24" s="33"/>
      <c r="H24" s="33"/>
      <c r="I24" s="33"/>
    </row>
    <row r="25" spans="1:9">
      <c r="A25" s="417"/>
      <c r="B25" s="418"/>
      <c r="C25" s="419"/>
      <c r="D25" s="419"/>
      <c r="E25" s="419"/>
      <c r="F25" s="33"/>
      <c r="G25" s="33"/>
      <c r="H25" s="33"/>
      <c r="I25" s="33"/>
    </row>
    <row r="26" spans="1:9">
      <c r="B26" s="33"/>
      <c r="C26" s="33"/>
      <c r="D26" s="33"/>
      <c r="E26" s="33"/>
      <c r="F26" s="33"/>
      <c r="G26" s="33"/>
      <c r="H26" s="33"/>
      <c r="I26" s="33"/>
    </row>
    <row r="27" spans="1:9">
      <c r="B27" s="33"/>
      <c r="C27" s="33"/>
      <c r="D27" s="33"/>
      <c r="E27" s="33"/>
      <c r="F27" s="33"/>
      <c r="G27" s="33"/>
      <c r="H27" s="33"/>
      <c r="I27" s="33"/>
    </row>
    <row r="30" spans="1:9" ht="70.5" customHeight="1"/>
  </sheetData>
  <sheetProtection password="D3CE" sheet="1" objects="1" scenarios="1" selectLockedCells="1" selectUnlockedCells="1"/>
  <dataConsolidate/>
  <customSheetViews>
    <customSheetView guid="{BADF0D91-0196-11D5-91C8-00485485D900}" showRowCol="0" showRuler="0">
      <selection activeCell="B7" sqref="B7"/>
      <pageMargins left="0.75" right="0.75" top="1" bottom="1" header="0" footer="0"/>
      <pageSetup paperSize="9" orientation="landscape" r:id="rId1"/>
      <headerFooter alignWithMargins="0"/>
    </customSheetView>
  </customSheetViews>
  <phoneticPr fontId="0" type="noConversion"/>
  <pageMargins left="0.75" right="0.75" top="1" bottom="1" header="0" footer="0"/>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9236" r:id="rId5" name="Button 20">
              <controlPr defaultSize="0" autoFill="0" autoPict="0" macro="[0]!Botón20_AlHacerClic">
                <anchor moveWithCells="1" sizeWithCells="1">
                  <from>
                    <xdr:col>1</xdr:col>
                    <xdr:colOff>357188</xdr:colOff>
                    <xdr:row>20</xdr:row>
                    <xdr:rowOff>9525</xdr:rowOff>
                  </from>
                  <to>
                    <xdr:col>2</xdr:col>
                    <xdr:colOff>1000125</xdr:colOff>
                    <xdr:row>22</xdr:row>
                    <xdr:rowOff>38100</xdr:rowOff>
                  </to>
                </anchor>
              </controlPr>
            </control>
          </mc:Choice>
        </mc:AlternateContent>
        <mc:AlternateContent xmlns:mc="http://schemas.openxmlformats.org/markup-compatibility/2006">
          <mc:Choice Requires="x14">
            <control shapeId="9241" r:id="rId6" name="Button 25">
              <controlPr defaultSize="0" autoFill="0" autoPict="0" macro="[0]!Generar_Botón2_AlHacerClic">
                <anchor moveWithCells="1" sizeWithCells="1">
                  <from>
                    <xdr:col>7</xdr:col>
                    <xdr:colOff>314325</xdr:colOff>
                    <xdr:row>5</xdr:row>
                    <xdr:rowOff>76200</xdr:rowOff>
                  </from>
                  <to>
                    <xdr:col>8</xdr:col>
                    <xdr:colOff>376238</xdr:colOff>
                    <xdr:row>6</xdr:row>
                    <xdr:rowOff>142875</xdr:rowOff>
                  </to>
                </anchor>
              </controlPr>
            </control>
          </mc:Choice>
        </mc:AlternateContent>
        <mc:AlternateContent xmlns:mc="http://schemas.openxmlformats.org/markup-compatibility/2006">
          <mc:Choice Requires="x14">
            <control shapeId="9244" r:id="rId7" name="Button 28">
              <controlPr defaultSize="0" autoFill="0" autoPict="0" macro="[0]!Botón28_AlHacerClic">
                <anchor moveWithCells="1" sizeWithCells="1">
                  <from>
                    <xdr:col>2</xdr:col>
                    <xdr:colOff>1114425</xdr:colOff>
                    <xdr:row>20</xdr:row>
                    <xdr:rowOff>9525</xdr:rowOff>
                  </from>
                  <to>
                    <xdr:col>3</xdr:col>
                    <xdr:colOff>795338</xdr:colOff>
                    <xdr:row>22</xdr:row>
                    <xdr:rowOff>47625</xdr:rowOff>
                  </to>
                </anchor>
              </controlPr>
            </control>
          </mc:Choice>
        </mc:AlternateContent>
        <mc:AlternateContent xmlns:mc="http://schemas.openxmlformats.org/markup-compatibility/2006">
          <mc:Choice Requires="x14">
            <control shapeId="9255" r:id="rId8" name="Button 39">
              <controlPr defaultSize="0" autoFill="0" autoPict="0" macro="[0]!Botón6_AlHacerClic">
                <anchor moveWithCells="1" sizeWithCells="1">
                  <from>
                    <xdr:col>1</xdr:col>
                    <xdr:colOff>90488</xdr:colOff>
                    <xdr:row>9</xdr:row>
                    <xdr:rowOff>0</xdr:rowOff>
                  </from>
                  <to>
                    <xdr:col>1</xdr:col>
                    <xdr:colOff>323850</xdr:colOff>
                    <xdr:row>10</xdr:row>
                    <xdr:rowOff>28575</xdr:rowOff>
                  </to>
                </anchor>
              </controlPr>
            </control>
          </mc:Choice>
        </mc:AlternateContent>
        <mc:AlternateContent xmlns:mc="http://schemas.openxmlformats.org/markup-compatibility/2006">
          <mc:Choice Requires="x14">
            <control shapeId="9256" r:id="rId9" name="Button 40">
              <controlPr defaultSize="0" autoFill="0" autoPict="0" macro="[0]!Botón7_AlHacerClic">
                <anchor moveWithCells="1" sizeWithCells="1">
                  <from>
                    <xdr:col>1</xdr:col>
                    <xdr:colOff>90488</xdr:colOff>
                    <xdr:row>10</xdr:row>
                    <xdr:rowOff>152400</xdr:rowOff>
                  </from>
                  <to>
                    <xdr:col>1</xdr:col>
                    <xdr:colOff>323850</xdr:colOff>
                    <xdr:row>12</xdr:row>
                    <xdr:rowOff>28575</xdr:rowOff>
                  </to>
                </anchor>
              </controlPr>
            </control>
          </mc:Choice>
        </mc:AlternateContent>
        <mc:AlternateContent xmlns:mc="http://schemas.openxmlformats.org/markup-compatibility/2006">
          <mc:Choice Requires="x14">
            <control shapeId="9257" r:id="rId10" name="Button 41">
              <controlPr defaultSize="0" autoFill="0" autoPict="0" macro="[0]!Botón8_AlHacerClic">
                <anchor moveWithCells="1" sizeWithCells="1">
                  <from>
                    <xdr:col>1</xdr:col>
                    <xdr:colOff>90488</xdr:colOff>
                    <xdr:row>13</xdr:row>
                    <xdr:rowOff>0</xdr:rowOff>
                  </from>
                  <to>
                    <xdr:col>1</xdr:col>
                    <xdr:colOff>323850</xdr:colOff>
                    <xdr:row>14</xdr:row>
                    <xdr:rowOff>38100</xdr:rowOff>
                  </to>
                </anchor>
              </controlPr>
            </control>
          </mc:Choice>
        </mc:AlternateContent>
        <mc:AlternateContent xmlns:mc="http://schemas.openxmlformats.org/markup-compatibility/2006">
          <mc:Choice Requires="x14">
            <control shapeId="9258" r:id="rId11" name="Button 42">
              <controlPr defaultSize="0" autoFill="0" autoPict="0" macro="[0]!Botón9_AlHacerClic">
                <anchor moveWithCells="1" sizeWithCells="1">
                  <from>
                    <xdr:col>1</xdr:col>
                    <xdr:colOff>90488</xdr:colOff>
                    <xdr:row>15</xdr:row>
                    <xdr:rowOff>9525</xdr:rowOff>
                  </from>
                  <to>
                    <xdr:col>1</xdr:col>
                    <xdr:colOff>323850</xdr:colOff>
                    <xdr:row>16</xdr:row>
                    <xdr:rowOff>47625</xdr:rowOff>
                  </to>
                </anchor>
              </controlPr>
            </control>
          </mc:Choice>
        </mc:AlternateContent>
        <mc:AlternateContent xmlns:mc="http://schemas.openxmlformats.org/markup-compatibility/2006">
          <mc:Choice Requires="x14">
            <control shapeId="9259" r:id="rId12" name="Button 43">
              <controlPr defaultSize="0" autoFill="0" autoPict="0" macro="[0]!Botón10_AlHacerClic">
                <anchor moveWithCells="1" sizeWithCells="1">
                  <from>
                    <xdr:col>1</xdr:col>
                    <xdr:colOff>90488</xdr:colOff>
                    <xdr:row>17</xdr:row>
                    <xdr:rowOff>9525</xdr:rowOff>
                  </from>
                  <to>
                    <xdr:col>1</xdr:col>
                    <xdr:colOff>323850</xdr:colOff>
                    <xdr:row>18</xdr:row>
                    <xdr:rowOff>19050</xdr:rowOff>
                  </to>
                </anchor>
              </controlPr>
            </control>
          </mc:Choice>
        </mc:AlternateContent>
        <mc:AlternateContent xmlns:mc="http://schemas.openxmlformats.org/markup-compatibility/2006">
          <mc:Choice Requires="x14">
            <control shapeId="9260" r:id="rId13" name="Button 44">
              <controlPr defaultSize="0" autoFill="0" autoPict="0" macro="[0]!Botón11_AlHacerClic">
                <anchor moveWithCells="1" sizeWithCells="1">
                  <from>
                    <xdr:col>5</xdr:col>
                    <xdr:colOff>28575</xdr:colOff>
                    <xdr:row>8</xdr:row>
                    <xdr:rowOff>142875</xdr:rowOff>
                  </from>
                  <to>
                    <xdr:col>5</xdr:col>
                    <xdr:colOff>266700</xdr:colOff>
                    <xdr:row>10</xdr:row>
                    <xdr:rowOff>28575</xdr:rowOff>
                  </to>
                </anchor>
              </controlPr>
            </control>
          </mc:Choice>
        </mc:AlternateContent>
        <mc:AlternateContent xmlns:mc="http://schemas.openxmlformats.org/markup-compatibility/2006">
          <mc:Choice Requires="x14">
            <control shapeId="9261" r:id="rId14" name="Button 45">
              <controlPr defaultSize="0" autoFill="0" autoPict="0" macro="[0]!Botón13_AlHacerClic">
                <anchor moveWithCells="1" sizeWithCells="1">
                  <from>
                    <xdr:col>5</xdr:col>
                    <xdr:colOff>28575</xdr:colOff>
                    <xdr:row>10</xdr:row>
                    <xdr:rowOff>123825</xdr:rowOff>
                  </from>
                  <to>
                    <xdr:col>5</xdr:col>
                    <xdr:colOff>266700</xdr:colOff>
                    <xdr:row>12</xdr:row>
                    <xdr:rowOff>0</xdr:rowOff>
                  </to>
                </anchor>
              </controlPr>
            </control>
          </mc:Choice>
        </mc:AlternateContent>
        <mc:AlternateContent xmlns:mc="http://schemas.openxmlformats.org/markup-compatibility/2006">
          <mc:Choice Requires="x14">
            <control shapeId="9262" r:id="rId15" name="Button 46">
              <controlPr defaultSize="0" autoFill="0" autoPict="0" macro="[0]!Botón14_AlHacerClic">
                <anchor moveWithCells="1" sizeWithCells="1">
                  <from>
                    <xdr:col>5</xdr:col>
                    <xdr:colOff>42863</xdr:colOff>
                    <xdr:row>13</xdr:row>
                    <xdr:rowOff>9525</xdr:rowOff>
                  </from>
                  <to>
                    <xdr:col>5</xdr:col>
                    <xdr:colOff>276225</xdr:colOff>
                    <xdr:row>14</xdr:row>
                    <xdr:rowOff>38100</xdr:rowOff>
                  </to>
                </anchor>
              </controlPr>
            </control>
          </mc:Choice>
        </mc:AlternateContent>
        <mc:AlternateContent xmlns:mc="http://schemas.openxmlformats.org/markup-compatibility/2006">
          <mc:Choice Requires="x14">
            <control shapeId="9264" r:id="rId16" name="Button 48">
              <controlPr defaultSize="0" autoFill="0" autoPict="0" macro="[0]!Botón15_AlHacerClic">
                <anchor moveWithCells="1" sizeWithCells="1">
                  <from>
                    <xdr:col>5</xdr:col>
                    <xdr:colOff>52388</xdr:colOff>
                    <xdr:row>15</xdr:row>
                    <xdr:rowOff>0</xdr:rowOff>
                  </from>
                  <to>
                    <xdr:col>5</xdr:col>
                    <xdr:colOff>285750</xdr:colOff>
                    <xdr:row>16</xdr:row>
                    <xdr:rowOff>28575</xdr:rowOff>
                  </to>
                </anchor>
              </controlPr>
            </control>
          </mc:Choice>
        </mc:AlternateContent>
        <mc:AlternateContent xmlns:mc="http://schemas.openxmlformats.org/markup-compatibility/2006">
          <mc:Choice Requires="x14">
            <control shapeId="9265" r:id="rId17" name="Button 49">
              <controlPr defaultSize="0" autoFill="0" autoPict="0" macro="[0]!OBSERVACIONES">
                <anchor moveWithCells="1" sizeWithCells="1">
                  <from>
                    <xdr:col>5</xdr:col>
                    <xdr:colOff>61913</xdr:colOff>
                    <xdr:row>17</xdr:row>
                    <xdr:rowOff>0</xdr:rowOff>
                  </from>
                  <to>
                    <xdr:col>5</xdr:col>
                    <xdr:colOff>295275</xdr:colOff>
                    <xdr:row>18</xdr:row>
                    <xdr:rowOff>47625</xdr:rowOff>
                  </to>
                </anchor>
              </controlPr>
            </control>
          </mc:Choice>
        </mc:AlternateContent>
        <mc:AlternateContent xmlns:mc="http://schemas.openxmlformats.org/markup-compatibility/2006">
          <mc:Choice Requires="x14">
            <control shapeId="9268" r:id="rId18" name="Button 52">
              <controlPr defaultSize="0" autoFill="0" autoPict="0" macro="[0]!Botón52_AlHacerClic">
                <anchor moveWithCells="1" sizeWithCells="1">
                  <from>
                    <xdr:col>6</xdr:col>
                    <xdr:colOff>61913</xdr:colOff>
                    <xdr:row>5</xdr:row>
                    <xdr:rowOff>85725</xdr:rowOff>
                  </from>
                  <to>
                    <xdr:col>7</xdr:col>
                    <xdr:colOff>214313</xdr:colOff>
                    <xdr:row>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1">
    <pageSetUpPr fitToPage="1"/>
  </sheetPr>
  <dimension ref="A1:L71"/>
  <sheetViews>
    <sheetView showGridLines="0" showRowColHeaders="0" showZeros="0" showOutlineSymbols="0" workbookViewId="0">
      <selection activeCell="E21" sqref="E21"/>
    </sheetView>
  </sheetViews>
  <sheetFormatPr defaultColWidth="11.3984375" defaultRowHeight="12.75"/>
  <cols>
    <col min="1" max="1" width="0.59765625" style="3" customWidth="1"/>
    <col min="2" max="2" width="1.59765625" style="3" customWidth="1"/>
    <col min="3" max="3" width="10.86328125" style="3" customWidth="1"/>
    <col min="4" max="4" width="3.59765625" style="3" customWidth="1"/>
    <col min="5" max="5" width="43" style="3" customWidth="1"/>
    <col min="6" max="6" width="7.1328125" style="34" customWidth="1"/>
    <col min="7" max="7" width="5.73046875" style="3" customWidth="1"/>
    <col min="8" max="8" width="5.265625" style="3" customWidth="1"/>
    <col min="9" max="9" width="5.86328125" style="3" customWidth="1"/>
    <col min="10" max="10" width="5.1328125" style="3" customWidth="1"/>
    <col min="11" max="11" width="4.86328125" style="3" customWidth="1"/>
    <col min="12" max="16384" width="11.3984375" style="3"/>
  </cols>
  <sheetData>
    <row r="1" spans="1:11">
      <c r="A1" s="344" t="s">
        <v>2597</v>
      </c>
      <c r="B1" s="9"/>
      <c r="C1" s="9"/>
      <c r="D1" s="9"/>
      <c r="E1" s="9"/>
      <c r="F1" s="9"/>
      <c r="G1" s="5"/>
      <c r="H1" s="5"/>
      <c r="I1" s="5"/>
      <c r="J1" s="9"/>
      <c r="K1" s="9"/>
    </row>
    <row r="2" spans="1:11">
      <c r="A2" s="344" t="s">
        <v>117</v>
      </c>
      <c r="B2" s="9"/>
      <c r="C2" s="9"/>
      <c r="D2" s="9"/>
      <c r="E2" s="34"/>
      <c r="F2" s="9"/>
      <c r="G2" s="5"/>
      <c r="H2" s="5"/>
      <c r="I2" s="5"/>
      <c r="J2" s="9"/>
      <c r="K2" s="9"/>
    </row>
    <row r="3" spans="1:11" ht="14.65">
      <c r="A3" s="9"/>
      <c r="B3" s="9"/>
      <c r="C3" s="5"/>
      <c r="D3" s="676"/>
      <c r="E3" s="677"/>
      <c r="F3" s="677"/>
      <c r="G3" s="5"/>
      <c r="H3" s="5"/>
      <c r="I3" s="5"/>
      <c r="J3" s="9"/>
      <c r="K3" s="9"/>
    </row>
    <row r="4" spans="1:11">
      <c r="A4" s="9"/>
      <c r="B4" s="9"/>
      <c r="C4" s="5"/>
      <c r="D4" s="5"/>
      <c r="E4" s="56"/>
      <c r="F4" s="9"/>
      <c r="G4" s="5"/>
      <c r="H4" s="5"/>
      <c r="I4" s="5"/>
      <c r="J4" s="9"/>
      <c r="K4" s="9"/>
    </row>
    <row r="5" spans="1:11">
      <c r="A5" s="9"/>
      <c r="B5" s="9"/>
      <c r="C5" s="5"/>
      <c r="D5" s="5"/>
      <c r="E5" s="5"/>
      <c r="F5" s="9"/>
      <c r="G5" s="5"/>
      <c r="H5" s="5"/>
      <c r="I5" s="5"/>
      <c r="J5" s="9"/>
      <c r="K5" s="9"/>
    </row>
    <row r="6" spans="1:11" ht="13.15">
      <c r="A6" s="9"/>
      <c r="B6" s="9"/>
      <c r="C6" s="5"/>
      <c r="D6" s="19"/>
      <c r="E6" s="19"/>
      <c r="F6" s="9"/>
      <c r="G6" s="5"/>
      <c r="H6" s="5"/>
      <c r="I6" s="5"/>
      <c r="J6" s="9"/>
      <c r="K6" s="9"/>
    </row>
    <row r="7" spans="1:11" ht="13.15">
      <c r="A7" s="9"/>
      <c r="B7" s="9"/>
      <c r="C7" s="5"/>
      <c r="D7" s="19"/>
      <c r="E7" s="5"/>
      <c r="F7" s="9"/>
      <c r="G7" s="5"/>
      <c r="H7" s="5"/>
      <c r="I7" s="5"/>
      <c r="J7" s="9"/>
      <c r="K7" s="9"/>
    </row>
    <row r="8" spans="1:11">
      <c r="A8" s="9"/>
      <c r="B8" s="9"/>
      <c r="C8" s="5"/>
      <c r="D8" s="5"/>
      <c r="E8" s="5"/>
      <c r="F8" s="9"/>
      <c r="G8" s="5"/>
      <c r="H8" s="5"/>
      <c r="I8" s="5"/>
      <c r="J8" s="9"/>
      <c r="K8" s="9"/>
    </row>
    <row r="9" spans="1:11" ht="13.15">
      <c r="A9" s="9"/>
      <c r="B9" s="9"/>
      <c r="C9" s="262" t="s">
        <v>4305</v>
      </c>
      <c r="D9" s="21"/>
      <c r="E9" s="5"/>
      <c r="F9" s="9"/>
      <c r="G9" s="5"/>
      <c r="H9" s="5"/>
      <c r="I9" s="5"/>
      <c r="J9" s="9"/>
      <c r="K9" s="9"/>
    </row>
    <row r="10" spans="1:11" ht="6" customHeight="1" thickBot="1">
      <c r="A10" s="5"/>
      <c r="B10" s="5"/>
      <c r="C10" s="5"/>
      <c r="D10" s="5"/>
      <c r="E10" s="5"/>
      <c r="F10" s="9"/>
      <c r="G10" s="5"/>
      <c r="H10" s="5"/>
      <c r="I10" s="5"/>
      <c r="J10" s="9"/>
      <c r="K10" s="9"/>
    </row>
    <row r="11" spans="1:11" ht="13.15" thickBot="1">
      <c r="A11" s="5"/>
      <c r="B11" s="5"/>
      <c r="C11" s="424" t="s">
        <v>789</v>
      </c>
      <c r="D11" s="5"/>
      <c r="E11" s="424" t="s">
        <v>196</v>
      </c>
      <c r="F11" s="9"/>
      <c r="G11" s="736" t="s">
        <v>34</v>
      </c>
      <c r="H11" s="737"/>
      <c r="J11" s="736" t="s">
        <v>280</v>
      </c>
      <c r="K11" s="737"/>
    </row>
    <row r="12" spans="1:11" ht="13.15" thickBot="1">
      <c r="A12" s="5"/>
      <c r="B12" s="5"/>
      <c r="C12" s="274"/>
      <c r="D12" s="51"/>
      <c r="E12" s="52"/>
      <c r="F12" s="245"/>
      <c r="G12" s="738"/>
      <c r="H12" s="739"/>
      <c r="I12" s="304"/>
      <c r="J12" s="738"/>
      <c r="K12" s="739"/>
    </row>
    <row r="13" spans="1:11" ht="10.5" customHeight="1" thickBot="1">
      <c r="A13" s="5"/>
      <c r="B13" s="5"/>
      <c r="C13" s="27"/>
      <c r="D13" s="5"/>
      <c r="E13" s="5"/>
      <c r="F13" s="9"/>
      <c r="G13" s="5"/>
      <c r="H13" s="5"/>
      <c r="I13" s="5"/>
      <c r="J13" s="9"/>
      <c r="K13" s="9"/>
    </row>
    <row r="14" spans="1:11" ht="13.15" thickBot="1">
      <c r="A14" s="5"/>
      <c r="B14" s="55"/>
      <c r="C14" s="674" t="s">
        <v>197</v>
      </c>
      <c r="D14" s="675"/>
      <c r="E14" s="425" t="s">
        <v>3278</v>
      </c>
      <c r="F14" s="426" t="s">
        <v>35</v>
      </c>
      <c r="G14" s="424" t="s">
        <v>3279</v>
      </c>
      <c r="H14" s="424" t="s">
        <v>3098</v>
      </c>
      <c r="I14" s="424" t="s">
        <v>3280</v>
      </c>
      <c r="J14" s="426" t="s">
        <v>3097</v>
      </c>
      <c r="K14" s="426" t="s">
        <v>36</v>
      </c>
    </row>
    <row r="15" spans="1:11" ht="13.15" thickBot="1">
      <c r="A15" s="5"/>
      <c r="C15" s="113"/>
      <c r="D15" s="279"/>
      <c r="E15" s="109"/>
      <c r="F15" s="110"/>
      <c r="G15" s="108"/>
      <c r="H15" s="108"/>
      <c r="I15" s="110"/>
      <c r="J15" s="108"/>
      <c r="K15" s="110"/>
    </row>
    <row r="16" spans="1:11" ht="15" customHeight="1" thickBot="1">
      <c r="A16" s="5"/>
      <c r="B16" s="5"/>
      <c r="C16" s="5"/>
      <c r="D16" s="5"/>
      <c r="E16" s="5"/>
      <c r="F16" s="9"/>
      <c r="I16" s="5"/>
      <c r="J16" s="9"/>
      <c r="K16" s="9"/>
    </row>
    <row r="17" spans="1:12" ht="13.15" thickBot="1">
      <c r="A17" s="5"/>
      <c r="B17" s="5"/>
      <c r="C17" s="424" t="s">
        <v>281</v>
      </c>
      <c r="D17" s="5"/>
      <c r="E17" s="424" t="s">
        <v>198</v>
      </c>
      <c r="F17" s="9"/>
      <c r="G17" s="690" t="s">
        <v>2099</v>
      </c>
      <c r="H17" s="691"/>
      <c r="I17" s="5"/>
      <c r="J17" s="697" t="s">
        <v>2098</v>
      </c>
      <c r="K17" s="698"/>
    </row>
    <row r="18" spans="1:12" ht="13.15" thickBot="1">
      <c r="A18" s="5"/>
      <c r="B18" s="5"/>
      <c r="C18" s="261"/>
      <c r="D18" s="65"/>
      <c r="E18" s="402"/>
      <c r="F18" s="306"/>
      <c r="G18" s="692"/>
      <c r="H18" s="693"/>
      <c r="I18" s="65"/>
      <c r="J18" s="699"/>
      <c r="K18" s="700"/>
    </row>
    <row r="19" spans="1:12" ht="13.15" thickBot="1">
      <c r="A19" s="5"/>
      <c r="B19" s="5"/>
      <c r="C19" s="5"/>
      <c r="D19" s="5"/>
      <c r="E19" s="8"/>
      <c r="F19" s="9"/>
      <c r="G19" s="258"/>
      <c r="H19" s="258"/>
      <c r="I19" s="259"/>
    </row>
    <row r="20" spans="1:12" ht="13.15" thickBot="1">
      <c r="A20" s="5"/>
      <c r="B20" s="5"/>
      <c r="C20" s="5"/>
      <c r="D20" s="5"/>
      <c r="E20" s="424" t="s">
        <v>199</v>
      </c>
      <c r="F20" s="9"/>
      <c r="G20" s="697" t="s">
        <v>2100</v>
      </c>
      <c r="H20" s="701"/>
      <c r="I20" s="260"/>
      <c r="J20" s="694"/>
      <c r="K20" s="695"/>
    </row>
    <row r="21" spans="1:12" ht="13.15" thickBot="1">
      <c r="A21" s="5"/>
      <c r="B21" s="5"/>
      <c r="C21" s="5"/>
      <c r="D21" s="65"/>
      <c r="E21" s="305"/>
      <c r="F21" s="306"/>
      <c r="G21" s="699"/>
      <c r="H21" s="700"/>
      <c r="I21" s="65"/>
      <c r="J21" s="696"/>
      <c r="K21" s="696"/>
    </row>
    <row r="22" spans="1:12" ht="13.5" thickBot="1">
      <c r="A22" s="5"/>
      <c r="B22" s="8"/>
      <c r="C22" s="48" t="s">
        <v>669</v>
      </c>
      <c r="D22" s="8"/>
      <c r="E22" s="8"/>
      <c r="F22" s="23"/>
      <c r="G22" s="6"/>
      <c r="H22" s="6"/>
      <c r="I22" s="5"/>
    </row>
    <row r="23" spans="1:12" ht="7.5" customHeight="1">
      <c r="A23" s="5"/>
      <c r="B23" s="8"/>
      <c r="C23" s="22"/>
      <c r="D23" s="680" t="s">
        <v>3395</v>
      </c>
      <c r="E23" s="702"/>
      <c r="F23" s="702"/>
      <c r="G23" s="702"/>
      <c r="H23" s="702"/>
      <c r="I23" s="702"/>
      <c r="J23" s="702"/>
      <c r="K23" s="703"/>
    </row>
    <row r="24" spans="1:12" ht="13.15">
      <c r="A24" s="5"/>
      <c r="B24" s="8"/>
      <c r="C24" s="24"/>
      <c r="D24" s="681"/>
      <c r="E24" s="683" t="s">
        <v>200</v>
      </c>
      <c r="F24" s="683"/>
      <c r="G24" s="683"/>
      <c r="H24" s="683"/>
      <c r="I24" s="683"/>
      <c r="J24" s="683"/>
      <c r="K24" s="684"/>
    </row>
    <row r="25" spans="1:12" ht="13.5" thickBot="1">
      <c r="A25" s="5"/>
      <c r="B25" s="8"/>
      <c r="C25" s="24"/>
      <c r="D25" s="681"/>
      <c r="E25" s="704" t="s">
        <v>1863</v>
      </c>
      <c r="F25" s="704"/>
      <c r="G25" s="704"/>
      <c r="H25" s="704"/>
      <c r="I25" s="704"/>
      <c r="J25" s="705"/>
      <c r="K25" s="706"/>
      <c r="L25" s="39"/>
    </row>
    <row r="26" spans="1:12" ht="18.75" customHeight="1" thickBot="1">
      <c r="A26" s="5"/>
      <c r="B26" s="8"/>
      <c r="C26" s="24"/>
      <c r="D26" s="681"/>
      <c r="E26" s="709"/>
      <c r="F26" s="709"/>
      <c r="G26" s="709"/>
      <c r="H26" s="709"/>
      <c r="I26" s="710"/>
      <c r="J26" s="707" t="str">
        <f>TabUbica!$F$2&amp;TabUbica!$G$2&amp;TabUbica!I2</f>
        <v>000000</v>
      </c>
      <c r="K26" s="708"/>
      <c r="L26" s="39">
        <f>LEN(J26)</f>
        <v>6</v>
      </c>
    </row>
    <row r="27" spans="1:12" ht="13.5" thickBot="1">
      <c r="A27" s="5"/>
      <c r="B27" s="22"/>
      <c r="C27" s="22"/>
      <c r="D27" s="682"/>
      <c r="E27" s="711"/>
      <c r="F27" s="711"/>
      <c r="G27" s="711"/>
      <c r="H27" s="711"/>
      <c r="I27" s="711"/>
      <c r="J27" s="711"/>
      <c r="K27" s="712"/>
      <c r="L27" s="39"/>
    </row>
    <row r="28" spans="1:12" ht="5.25" customHeight="1">
      <c r="A28" s="5"/>
      <c r="B28" s="8"/>
      <c r="C28" s="8"/>
      <c r="D28" s="680" t="s">
        <v>671</v>
      </c>
      <c r="E28" s="713"/>
      <c r="F28" s="713"/>
      <c r="G28" s="713"/>
      <c r="H28" s="713"/>
      <c r="I28" s="713"/>
      <c r="J28" s="713"/>
      <c r="K28" s="714"/>
    </row>
    <row r="29" spans="1:12" ht="13.15">
      <c r="A29" s="5"/>
      <c r="B29" s="8"/>
      <c r="C29" s="24"/>
      <c r="D29" s="681"/>
      <c r="E29" s="683" t="s">
        <v>1521</v>
      </c>
      <c r="F29" s="683"/>
      <c r="G29" s="683"/>
      <c r="H29" s="683"/>
      <c r="I29" s="683"/>
      <c r="J29" s="683"/>
      <c r="K29" s="684"/>
    </row>
    <row r="30" spans="1:12" ht="20.25" customHeight="1">
      <c r="A30" s="5"/>
      <c r="B30" s="8"/>
      <c r="C30" s="8" t="str">
        <f>+TabCiiu!C2</f>
        <v>0000</v>
      </c>
      <c r="D30" s="681"/>
      <c r="E30" s="715"/>
      <c r="F30" s="715"/>
      <c r="G30" s="715"/>
      <c r="H30" s="715"/>
      <c r="I30" s="715"/>
      <c r="J30" s="715"/>
      <c r="K30" s="716"/>
    </row>
    <row r="31" spans="1:12" ht="24" customHeight="1">
      <c r="A31" s="5"/>
      <c r="B31" s="8"/>
      <c r="C31" s="24"/>
      <c r="D31" s="681"/>
      <c r="E31" s="717"/>
      <c r="F31" s="717"/>
      <c r="G31" s="717"/>
      <c r="H31" s="717"/>
      <c r="I31" s="717"/>
      <c r="J31" s="717"/>
      <c r="K31" s="718"/>
    </row>
    <row r="32" spans="1:12" ht="16.5" customHeight="1">
      <c r="A32" s="5"/>
      <c r="B32" s="8"/>
      <c r="C32" s="49"/>
      <c r="D32" s="681"/>
      <c r="E32" s="683" t="s">
        <v>2794</v>
      </c>
      <c r="F32" s="683"/>
      <c r="G32" s="683"/>
      <c r="H32" s="683"/>
      <c r="I32" s="683"/>
      <c r="J32" s="683"/>
      <c r="K32" s="684"/>
    </row>
    <row r="33" spans="1:11" ht="16.5" customHeight="1" thickBot="1">
      <c r="A33" s="5"/>
      <c r="B33" s="8"/>
      <c r="C33" s="8"/>
      <c r="D33" s="682"/>
      <c r="E33" s="719"/>
      <c r="F33" s="719"/>
      <c r="G33" s="719"/>
      <c r="H33" s="719"/>
      <c r="I33" s="719"/>
      <c r="J33" s="719"/>
      <c r="K33" s="720"/>
    </row>
    <row r="34" spans="1:11" ht="6.75" customHeight="1">
      <c r="A34" s="5"/>
      <c r="B34" s="8"/>
      <c r="C34" s="8"/>
      <c r="D34" s="680" t="s">
        <v>670</v>
      </c>
      <c r="E34" s="713"/>
      <c r="F34" s="713"/>
      <c r="G34" s="713"/>
      <c r="H34" s="713"/>
      <c r="I34" s="713"/>
      <c r="J34" s="713"/>
      <c r="K34" s="714"/>
    </row>
    <row r="35" spans="1:11" ht="13.15">
      <c r="A35" s="5"/>
      <c r="B35" s="8"/>
      <c r="C35" s="49"/>
      <c r="D35" s="681"/>
      <c r="E35" s="683" t="s">
        <v>1864</v>
      </c>
      <c r="F35" s="683"/>
      <c r="G35" s="683"/>
      <c r="H35" s="683"/>
      <c r="I35" s="683"/>
      <c r="J35" s="683"/>
      <c r="K35" s="684"/>
    </row>
    <row r="36" spans="1:11" ht="13.15">
      <c r="A36" s="5"/>
      <c r="B36" s="8"/>
      <c r="C36" s="24"/>
      <c r="D36" s="681"/>
      <c r="E36" s="717"/>
      <c r="F36" s="717"/>
      <c r="G36" s="717"/>
      <c r="H36" s="717"/>
      <c r="I36" s="717"/>
      <c r="J36" s="717"/>
      <c r="K36" s="718"/>
    </row>
    <row r="37" spans="1:11" ht="13.5" thickBot="1">
      <c r="A37" s="5"/>
      <c r="B37" s="8"/>
      <c r="C37" s="24"/>
      <c r="D37" s="682"/>
      <c r="E37" s="721"/>
      <c r="F37" s="721"/>
      <c r="G37" s="721"/>
      <c r="H37" s="721"/>
      <c r="I37" s="721"/>
      <c r="J37" s="721"/>
      <c r="K37" s="722"/>
    </row>
    <row r="38" spans="1:11">
      <c r="A38" s="5"/>
      <c r="B38" s="8"/>
      <c r="C38" s="8"/>
      <c r="D38" s="8"/>
      <c r="E38" s="8"/>
      <c r="F38" s="23"/>
      <c r="G38" s="8"/>
      <c r="H38" s="8"/>
      <c r="I38" s="8"/>
      <c r="J38" s="5"/>
      <c r="K38" s="5"/>
    </row>
    <row r="39" spans="1:11" ht="9.75" customHeight="1">
      <c r="A39" s="5"/>
      <c r="B39" s="8"/>
      <c r="C39" s="8"/>
      <c r="D39" s="8"/>
      <c r="E39" s="8"/>
      <c r="F39" s="23"/>
      <c r="G39" s="8"/>
      <c r="H39" s="8"/>
      <c r="I39" s="5"/>
      <c r="J39" s="5"/>
      <c r="K39" s="5"/>
    </row>
    <row r="40" spans="1:11" ht="8.25" customHeight="1" thickBot="1">
      <c r="A40" s="5"/>
      <c r="B40" s="8"/>
      <c r="C40" s="8"/>
      <c r="D40" s="8"/>
      <c r="E40" s="8"/>
      <c r="F40" s="23"/>
      <c r="G40" s="8"/>
      <c r="H40" s="8"/>
      <c r="I40" s="5"/>
      <c r="J40" s="5"/>
      <c r="K40" s="5"/>
    </row>
    <row r="41" spans="1:11" s="35" customFormat="1" ht="13.15">
      <c r="A41" s="7"/>
      <c r="B41" s="7"/>
      <c r="C41" s="727" t="s">
        <v>3476</v>
      </c>
      <c r="D41" s="728"/>
      <c r="E41" s="728"/>
      <c r="F41" s="728"/>
      <c r="G41" s="728"/>
      <c r="H41" s="728"/>
      <c r="I41" s="728"/>
      <c r="J41" s="728"/>
      <c r="K41" s="729"/>
    </row>
    <row r="42" spans="1:11" s="35" customFormat="1">
      <c r="A42" s="7"/>
      <c r="B42" s="7"/>
      <c r="C42" s="672" t="s">
        <v>279</v>
      </c>
      <c r="D42" s="673"/>
      <c r="E42" s="723" t="s">
        <v>3176</v>
      </c>
      <c r="F42" s="724"/>
      <c r="G42" s="673"/>
      <c r="H42" s="730" t="s">
        <v>3177</v>
      </c>
      <c r="I42" s="731"/>
      <c r="J42" s="731"/>
      <c r="K42" s="732"/>
    </row>
    <row r="43" spans="1:11" s="35" customFormat="1" ht="13.15" thickBot="1">
      <c r="A43" s="7"/>
      <c r="B43" s="7"/>
      <c r="C43" s="678"/>
      <c r="D43" s="679"/>
      <c r="E43" s="725"/>
      <c r="F43" s="670"/>
      <c r="G43" s="726"/>
      <c r="H43" s="733"/>
      <c r="I43" s="734"/>
      <c r="J43" s="734"/>
      <c r="K43" s="735"/>
    </row>
    <row r="44" spans="1:11" ht="6" customHeight="1">
      <c r="A44" s="5"/>
      <c r="B44" s="5"/>
      <c r="C44" s="5"/>
      <c r="D44" s="5"/>
      <c r="E44" s="5"/>
      <c r="F44" s="9"/>
      <c r="G44" s="5"/>
      <c r="H44" s="5"/>
      <c r="I44" s="5"/>
      <c r="J44" s="5"/>
      <c r="K44" s="5"/>
    </row>
    <row r="45" spans="1:11" ht="5.25" customHeight="1" thickBot="1">
      <c r="A45" s="5"/>
      <c r="B45" s="5"/>
      <c r="C45" s="5"/>
      <c r="D45" s="5"/>
      <c r="E45" s="5"/>
      <c r="F45" s="9"/>
      <c r="G45" s="5"/>
      <c r="H45" s="5"/>
      <c r="I45" s="5"/>
      <c r="J45" s="5"/>
      <c r="K45" s="5"/>
    </row>
    <row r="46" spans="1:11" ht="13.15">
      <c r="A46" s="5"/>
      <c r="B46" s="5"/>
      <c r="C46" s="687" t="s">
        <v>3475</v>
      </c>
      <c r="D46" s="688"/>
      <c r="E46" s="688"/>
      <c r="F46" s="688"/>
      <c r="G46" s="689"/>
    </row>
    <row r="47" spans="1:11">
      <c r="A47" s="5"/>
      <c r="B47" s="5"/>
      <c r="C47" s="672" t="s">
        <v>3176</v>
      </c>
      <c r="D47" s="685"/>
      <c r="E47" s="685"/>
      <c r="F47" s="685"/>
      <c r="G47" s="686"/>
    </row>
    <row r="48" spans="1:11" ht="13.15" thickBot="1">
      <c r="A48" s="5"/>
      <c r="B48" s="5"/>
      <c r="C48" s="669"/>
      <c r="D48" s="670"/>
      <c r="E48" s="670"/>
      <c r="F48" s="670"/>
      <c r="G48" s="671"/>
    </row>
    <row r="49" spans="1:12" ht="12.75" customHeight="1">
      <c r="A49" s="5"/>
      <c r="B49" s="5"/>
      <c r="F49" s="3"/>
    </row>
    <row r="50" spans="1:12" ht="12.75" customHeight="1">
      <c r="A50" s="5"/>
      <c r="B50" s="5"/>
      <c r="F50" s="3"/>
    </row>
    <row r="51" spans="1:12" ht="12.75" customHeight="1">
      <c r="A51" s="5"/>
      <c r="B51" s="5"/>
      <c r="C51" s="427"/>
      <c r="E51" s="58"/>
      <c r="F51" s="3"/>
    </row>
    <row r="52" spans="1:12" ht="12.75" customHeight="1">
      <c r="E52" s="58"/>
      <c r="F52" s="3"/>
    </row>
    <row r="53" spans="1:12" ht="12.75" customHeight="1">
      <c r="F53" s="3"/>
    </row>
    <row r="54" spans="1:12">
      <c r="F54" s="3"/>
    </row>
    <row r="55" spans="1:12">
      <c r="F55" s="3"/>
    </row>
    <row r="56" spans="1:12">
      <c r="F56" s="3"/>
    </row>
    <row r="57" spans="1:12">
      <c r="F57" s="3"/>
    </row>
    <row r="58" spans="1:12">
      <c r="F58" s="3"/>
    </row>
    <row r="59" spans="1:12">
      <c r="F59" s="3"/>
    </row>
    <row r="60" spans="1:12">
      <c r="F60" s="3"/>
    </row>
    <row r="61" spans="1:12" ht="24.75" customHeight="1">
      <c r="F61" s="3"/>
    </row>
    <row r="62" spans="1:12">
      <c r="B62" s="5"/>
      <c r="C62" s="5"/>
      <c r="D62" s="5"/>
      <c r="E62" s="5"/>
      <c r="F62" s="5"/>
      <c r="G62" s="9"/>
      <c r="H62" s="9"/>
      <c r="I62" s="5"/>
      <c r="J62" s="5"/>
      <c r="K62" s="5"/>
      <c r="L62" s="5"/>
    </row>
    <row r="63" spans="1:12" ht="13.15">
      <c r="B63" s="5"/>
      <c r="C63" s="5"/>
      <c r="D63" s="24"/>
      <c r="E63" s="5"/>
      <c r="F63" s="28"/>
      <c r="G63" s="9"/>
      <c r="H63" s="9"/>
      <c r="I63" s="5"/>
      <c r="J63" s="5"/>
      <c r="K63" s="5"/>
      <c r="L63" s="5"/>
    </row>
    <row r="64" spans="1:12">
      <c r="B64" s="5"/>
      <c r="C64" s="5"/>
      <c r="D64" s="8"/>
      <c r="E64" s="8"/>
      <c r="F64" s="8"/>
      <c r="G64" s="9"/>
      <c r="H64" s="9"/>
      <c r="I64" s="5"/>
      <c r="J64" s="5"/>
      <c r="K64" s="5"/>
      <c r="L64" s="5"/>
    </row>
    <row r="65" spans="2:12">
      <c r="B65" s="5"/>
      <c r="C65" s="5"/>
      <c r="D65" s="36"/>
      <c r="E65" s="8"/>
      <c r="F65" s="8"/>
      <c r="G65" s="9"/>
      <c r="H65" s="9"/>
      <c r="I65" s="5"/>
      <c r="J65" s="5"/>
      <c r="K65" s="5"/>
      <c r="L65" s="5"/>
    </row>
    <row r="66" spans="2:12">
      <c r="B66" s="5"/>
      <c r="C66" s="5"/>
      <c r="D66" s="8"/>
      <c r="E66" s="8"/>
      <c r="F66" s="29"/>
      <c r="G66" s="9"/>
      <c r="H66" s="9"/>
      <c r="I66" s="5"/>
      <c r="J66" s="5"/>
      <c r="K66" s="5"/>
      <c r="L66" s="5"/>
    </row>
    <row r="67" spans="2:12">
      <c r="B67" s="5"/>
      <c r="C67" s="5"/>
      <c r="D67" s="36"/>
      <c r="E67" s="8"/>
      <c r="F67" s="8"/>
      <c r="G67" s="9"/>
      <c r="H67" s="9"/>
      <c r="I67" s="5"/>
      <c r="J67" s="5"/>
      <c r="K67" s="5"/>
      <c r="L67" s="5"/>
    </row>
    <row r="68" spans="2:12">
      <c r="B68" s="5"/>
      <c r="C68" s="5"/>
      <c r="D68" s="5"/>
      <c r="E68" s="5"/>
      <c r="F68" s="5"/>
      <c r="G68" s="9"/>
      <c r="H68" s="9"/>
      <c r="I68" s="5"/>
      <c r="J68" s="5"/>
      <c r="K68" s="5"/>
      <c r="L68" s="5"/>
    </row>
    <row r="69" spans="2:12">
      <c r="B69" s="5"/>
      <c r="C69" s="5"/>
      <c r="D69" s="5"/>
      <c r="E69" s="5"/>
      <c r="F69" s="5"/>
      <c r="G69" s="9"/>
      <c r="H69" s="9"/>
      <c r="I69" s="5"/>
      <c r="J69" s="5"/>
      <c r="K69" s="5"/>
      <c r="L69" s="5"/>
    </row>
    <row r="70" spans="2:12">
      <c r="D70" s="5"/>
      <c r="E70" s="5"/>
      <c r="F70" s="5"/>
      <c r="G70" s="34"/>
      <c r="H70" s="34"/>
    </row>
    <row r="71" spans="2:12">
      <c r="F71" s="3"/>
      <c r="G71" s="34"/>
      <c r="H71" s="34"/>
    </row>
  </sheetData>
  <sheetProtection password="D3CE" sheet="1" objects="1" scenarios="1" selectLockedCells="1"/>
  <mergeCells count="43">
    <mergeCell ref="J11:K11"/>
    <mergeCell ref="J12:K12"/>
    <mergeCell ref="G11:H11"/>
    <mergeCell ref="G12:H12"/>
    <mergeCell ref="E36:K36"/>
    <mergeCell ref="E37:K37"/>
    <mergeCell ref="E42:G42"/>
    <mergeCell ref="E43:G43"/>
    <mergeCell ref="C41:K41"/>
    <mergeCell ref="H42:K42"/>
    <mergeCell ref="H43:K43"/>
    <mergeCell ref="E30:K30"/>
    <mergeCell ref="E31:K31"/>
    <mergeCell ref="E32:K32"/>
    <mergeCell ref="E33:K33"/>
    <mergeCell ref="E34:K34"/>
    <mergeCell ref="E35:K35"/>
    <mergeCell ref="E25:K25"/>
    <mergeCell ref="J26:K26"/>
    <mergeCell ref="E26:I26"/>
    <mergeCell ref="E27:K27"/>
    <mergeCell ref="E28:K28"/>
    <mergeCell ref="E29:K29"/>
    <mergeCell ref="G17:H17"/>
    <mergeCell ref="G18:H18"/>
    <mergeCell ref="J20:K20"/>
    <mergeCell ref="D23:D27"/>
    <mergeCell ref="J21:K21"/>
    <mergeCell ref="J17:K17"/>
    <mergeCell ref="J18:K18"/>
    <mergeCell ref="G20:H20"/>
    <mergeCell ref="G21:H21"/>
    <mergeCell ref="E23:K23"/>
    <mergeCell ref="C48:G48"/>
    <mergeCell ref="C42:D42"/>
    <mergeCell ref="C14:D14"/>
    <mergeCell ref="D3:F3"/>
    <mergeCell ref="C43:D43"/>
    <mergeCell ref="D28:D33"/>
    <mergeCell ref="D34:D37"/>
    <mergeCell ref="E24:K24"/>
    <mergeCell ref="C47:G47"/>
    <mergeCell ref="C46:G46"/>
  </mergeCells>
  <phoneticPr fontId="0" type="noConversion"/>
  <dataValidations count="8">
    <dataValidation type="whole" allowBlank="1" showInputMessage="1" showErrorMessage="1" error="El RUC debe tener 11 dígitos." sqref="C12">
      <formula1>10000000000</formula1>
      <formula2>99999999999</formula2>
    </dataValidation>
    <dataValidation type="whole" allowBlank="1" showInputMessage="1" showErrorMessage="1" error="El año de inicio debe tener 4 dígitos. _x000a_Debe ser menor o igual al periodo de ejecución de la Encuesta." sqref="C18">
      <formula1>1750</formula1>
      <formula2>VALUE(A1)</formula2>
    </dataValidation>
    <dataValidation type="textLength" operator="equal" allowBlank="1" showInputMessage="1" showErrorMessage="1" error="Registro Unificado consta de 10 carácteres" sqref="J18:K18">
      <formula1>10</formula1>
    </dataValidation>
    <dataValidation type="textLength" operator="equal" allowBlank="1" showInputMessage="1" showErrorMessage="1" error="Registro Unificado consta de 8 carácteres" sqref="G18">
      <formula1>8</formula1>
    </dataValidation>
    <dataValidation type="textLength" operator="equal" allowBlank="1" showInputMessage="1" showErrorMessage="1" error="Registro Unificado consta de 6 carácteres" sqref="G21:H21">
      <formula1>6</formula1>
    </dataValidation>
    <dataValidation type="whole" allowBlank="1" showInputMessage="1" showErrorMessage="1" errorTitle="ERROR EN NUMERO TELEFONICO/FAX" error="Ingrese el número telefónico o fax correctamente sin espacios o rayas._x000a_Acepta hasta 8 dígitos." sqref="C43:D43">
      <formula1>100000</formula1>
      <formula2>99999999</formula2>
    </dataValidation>
    <dataValidation type="whole" allowBlank="1" showInputMessage="1" showErrorMessage="1" errorTitle="ERROR EN NUMERO TELEFONICO/FAX" error="Ingrese el número telefónico o fax correctamente sin espacios o rayas. No ingrese el código de provincia o país." sqref="J12:K12">
      <formula1>100000</formula1>
      <formula2>9999999</formula2>
    </dataValidation>
    <dataValidation type="whole" allowBlank="1" showInputMessage="1" showErrorMessage="1" errorTitle="ERROR EN NUMERO TELEFONICO/FAX" error="Ingrese el número telefónico o fax correctamente sin espacios o rayas. No ingrese el código de provincia o país." sqref="G12:H12">
      <formula1>100000</formula1>
      <formula2>99999999</formula2>
    </dataValidation>
  </dataValidations>
  <pageMargins left="0.27" right="0.75" top="0.39370078740157499" bottom="0.33"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autoLine="0" autoPict="0" macro="[0]!Listadesplegable25_AlCambiar">
                <anchor moveWithCells="1">
                  <from>
                    <xdr:col>4</xdr:col>
                    <xdr:colOff>314325</xdr:colOff>
                    <xdr:row>35</xdr:row>
                    <xdr:rowOff>47625</xdr:rowOff>
                  </from>
                  <to>
                    <xdr:col>10</xdr:col>
                    <xdr:colOff>9525</xdr:colOff>
                    <xdr:row>36</xdr:row>
                    <xdr:rowOff>85725</xdr:rowOff>
                  </to>
                </anchor>
              </controlPr>
            </control>
          </mc:Choice>
        </mc:AlternateContent>
        <mc:AlternateContent xmlns:mc="http://schemas.openxmlformats.org/markup-compatibility/2006">
          <mc:Choice Requires="x14">
            <control shapeId="45058" r:id="rId5" name="Drop Down 2">
              <controlPr defaultSize="0" autoLine="0" autoPict="0" macro="[0]!Listadesplegable27_AlCambiar">
                <anchor moveWithCells="1">
                  <from>
                    <xdr:col>4</xdr:col>
                    <xdr:colOff>95250</xdr:colOff>
                    <xdr:row>25</xdr:row>
                    <xdr:rowOff>76200</xdr:rowOff>
                  </from>
                  <to>
                    <xdr:col>4</xdr:col>
                    <xdr:colOff>1562100</xdr:colOff>
                    <xdr:row>26</xdr:row>
                    <xdr:rowOff>47625</xdr:rowOff>
                  </to>
                </anchor>
              </controlPr>
            </control>
          </mc:Choice>
        </mc:AlternateContent>
        <mc:AlternateContent xmlns:mc="http://schemas.openxmlformats.org/markup-compatibility/2006">
          <mc:Choice Requires="x14">
            <control shapeId="45059" r:id="rId6" name="Drop Down 3">
              <controlPr defaultSize="0" autoLine="0" autoPict="0" macro="[0]!Listadesplegable28_AlCambiar">
                <anchor moveWithCells="1">
                  <from>
                    <xdr:col>4</xdr:col>
                    <xdr:colOff>1681163</xdr:colOff>
                    <xdr:row>25</xdr:row>
                    <xdr:rowOff>76200</xdr:rowOff>
                  </from>
                  <to>
                    <xdr:col>5</xdr:col>
                    <xdr:colOff>80963</xdr:colOff>
                    <xdr:row>26</xdr:row>
                    <xdr:rowOff>47625</xdr:rowOff>
                  </to>
                </anchor>
              </controlPr>
            </control>
          </mc:Choice>
        </mc:AlternateContent>
        <mc:AlternateContent xmlns:mc="http://schemas.openxmlformats.org/markup-compatibility/2006">
          <mc:Choice Requires="x14">
            <control shapeId="45060" r:id="rId7" name="Drop Down 4">
              <controlPr defaultSize="0" autoLine="0" autoPict="0">
                <anchor moveWithCells="1">
                  <from>
                    <xdr:col>5</xdr:col>
                    <xdr:colOff>185738</xdr:colOff>
                    <xdr:row>25</xdr:row>
                    <xdr:rowOff>76200</xdr:rowOff>
                  </from>
                  <to>
                    <xdr:col>8</xdr:col>
                    <xdr:colOff>357188</xdr:colOff>
                    <xdr:row>26</xdr:row>
                    <xdr:rowOff>47625</xdr:rowOff>
                  </to>
                </anchor>
              </controlPr>
            </control>
          </mc:Choice>
        </mc:AlternateContent>
        <mc:AlternateContent xmlns:mc="http://schemas.openxmlformats.org/markup-compatibility/2006">
          <mc:Choice Requires="x14">
            <control shapeId="45061" r:id="rId8" name="Drop Down 5">
              <controlPr defaultSize="0" autoLine="0" autoPict="0" macro="[0]!Listadesplegable35_AlCambiar">
                <anchor moveWithCells="1">
                  <from>
                    <xdr:col>4</xdr:col>
                    <xdr:colOff>95250</xdr:colOff>
                    <xdr:row>29</xdr:row>
                    <xdr:rowOff>38100</xdr:rowOff>
                  </from>
                  <to>
                    <xdr:col>10</xdr:col>
                    <xdr:colOff>304800</xdr:colOff>
                    <xdr:row>29</xdr:row>
                    <xdr:rowOff>247650</xdr:rowOff>
                  </to>
                </anchor>
              </controlPr>
            </control>
          </mc:Choice>
        </mc:AlternateContent>
        <mc:AlternateContent xmlns:mc="http://schemas.openxmlformats.org/markup-compatibility/2006">
          <mc:Choice Requires="x14">
            <control shapeId="45066" r:id="rId9" name="Drop Down 10">
              <controlPr defaultSize="0" autoLine="0" autoPict="0">
                <anchor moveWithCells="1">
                  <from>
                    <xdr:col>4</xdr:col>
                    <xdr:colOff>347663</xdr:colOff>
                    <xdr:row>30</xdr:row>
                    <xdr:rowOff>38100</xdr:rowOff>
                  </from>
                  <to>
                    <xdr:col>10</xdr:col>
                    <xdr:colOff>9525</xdr:colOff>
                    <xdr:row>30</xdr:row>
                    <xdr:rowOff>257175</xdr:rowOff>
                  </to>
                </anchor>
              </controlPr>
            </control>
          </mc:Choice>
        </mc:AlternateContent>
        <mc:AlternateContent xmlns:mc="http://schemas.openxmlformats.org/markup-compatibility/2006">
          <mc:Choice Requires="x14">
            <control shapeId="45072" r:id="rId10" name="Drop Down 16">
              <controlPr defaultSize="0" autoLine="0" autoPict="0">
                <anchor moveWithCells="1">
                  <from>
                    <xdr:col>1</xdr:col>
                    <xdr:colOff>261938</xdr:colOff>
                    <xdr:row>13</xdr:row>
                    <xdr:rowOff>157163</xdr:rowOff>
                  </from>
                  <to>
                    <xdr:col>4</xdr:col>
                    <xdr:colOff>19050</xdr:colOff>
                    <xdr:row>15</xdr:row>
                    <xdr:rowOff>19050</xdr:rowOff>
                  </to>
                </anchor>
              </controlPr>
            </control>
          </mc:Choice>
        </mc:AlternateContent>
        <mc:AlternateContent xmlns:mc="http://schemas.openxmlformats.org/markup-compatibility/2006">
          <mc:Choice Requires="x14">
            <control shapeId="45103" r:id="rId11" name="Button 47">
              <controlPr defaultSize="0" print="0" autoFill="0" autoPict="0" macro="[0]!Botón36_AlHacerClic">
                <anchor moveWithCells="1" sizeWithCells="1">
                  <from>
                    <xdr:col>9</xdr:col>
                    <xdr:colOff>9525</xdr:colOff>
                    <xdr:row>5</xdr:row>
                    <xdr:rowOff>128588</xdr:rowOff>
                  </from>
                  <to>
                    <xdr:col>10</xdr:col>
                    <xdr:colOff>328613</xdr:colOff>
                    <xdr:row>8</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autoPageBreaks="0" fitToPage="1"/>
  </sheetPr>
  <dimension ref="A1:AB71"/>
  <sheetViews>
    <sheetView showGridLines="0" showRowColHeaders="0" showZeros="0" showOutlineSymbols="0" zoomScaleNormal="100" zoomScaleSheetLayoutView="100" workbookViewId="0">
      <pane ySplit="4" topLeftCell="A38" activePane="bottomLeft" state="frozen"/>
      <selection activeCell="C48" sqref="C48:G48"/>
      <selection pane="bottomLeft" activeCell="B50" sqref="B50:C50"/>
    </sheetView>
  </sheetViews>
  <sheetFormatPr defaultColWidth="11.3984375" defaultRowHeight="13.15"/>
  <cols>
    <col min="1" max="1" width="0.86328125" style="3" customWidth="1"/>
    <col min="2" max="2" width="6.59765625" style="37" customWidth="1"/>
    <col min="3" max="3" width="30.73046875" style="3" customWidth="1"/>
    <col min="4" max="4" width="5.265625" style="38" customWidth="1"/>
    <col min="5" max="5" width="13.3984375" style="3" customWidth="1"/>
    <col min="6" max="6" width="11.86328125" style="3" customWidth="1"/>
    <col min="7" max="7" width="15.86328125" style="3" customWidth="1"/>
    <col min="8" max="8" width="14.1328125" style="3" customWidth="1"/>
    <col min="9" max="9" width="14.86328125" style="3" customWidth="1"/>
    <col min="10" max="10" width="5.3984375" style="38" customWidth="1"/>
    <col min="11" max="11" width="12.73046875" style="3" bestFit="1" customWidth="1"/>
    <col min="12" max="12" width="6.265625" style="3" customWidth="1"/>
    <col min="13" max="13" width="7.1328125" style="3" customWidth="1"/>
    <col min="14" max="14" width="2.59765625" style="3" customWidth="1"/>
    <col min="15" max="15" width="3.59765625" style="3" customWidth="1"/>
    <col min="16" max="16384" width="11.3984375" style="3"/>
  </cols>
  <sheetData>
    <row r="1" spans="1:28" ht="18" customHeight="1">
      <c r="A1" s="792"/>
      <c r="B1" s="792"/>
      <c r="C1" s="792"/>
      <c r="D1" s="792"/>
      <c r="E1" s="792" t="s">
        <v>4265</v>
      </c>
      <c r="F1" s="792"/>
      <c r="G1" s="94"/>
      <c r="I1" s="37"/>
      <c r="J1" s="3"/>
      <c r="K1" s="38"/>
      <c r="P1" s="39"/>
      <c r="Q1" s="39"/>
    </row>
    <row r="2" spans="1:28">
      <c r="A2" s="5"/>
      <c r="B2" s="5"/>
      <c r="C2" s="5"/>
      <c r="D2" s="5"/>
      <c r="E2" s="5"/>
      <c r="F2" s="5"/>
      <c r="G2" s="5"/>
      <c r="I2" s="37"/>
      <c r="J2" s="3"/>
      <c r="K2" s="38"/>
      <c r="P2" s="39"/>
      <c r="Q2" s="39"/>
    </row>
    <row r="3" spans="1:28">
      <c r="A3" s="5"/>
      <c r="B3" s="32"/>
      <c r="C3" s="5"/>
      <c r="D3" s="26"/>
      <c r="E3" s="5"/>
      <c r="F3" s="5"/>
      <c r="G3" s="5"/>
      <c r="I3" s="37"/>
      <c r="J3" s="793"/>
      <c r="K3" s="794"/>
      <c r="L3" s="794"/>
      <c r="M3" s="795"/>
      <c r="P3" s="39"/>
      <c r="Q3" s="39"/>
    </row>
    <row r="4" spans="1:28">
      <c r="A4" s="63" t="str">
        <f>"RUC : "&amp;'Cap01'!C12&amp;"   "&amp;'Cap01'!E12</f>
        <v xml:space="preserve">RUC :    </v>
      </c>
      <c r="B4" s="63"/>
      <c r="C4" s="63"/>
      <c r="D4" s="63"/>
      <c r="E4" s="63"/>
      <c r="F4" s="63"/>
      <c r="G4" s="63"/>
      <c r="H4" s="63"/>
      <c r="I4" s="37"/>
      <c r="J4" s="58"/>
      <c r="K4" s="38"/>
      <c r="L4" s="791"/>
      <c r="M4" s="791"/>
      <c r="P4" s="39"/>
      <c r="Q4" s="39"/>
    </row>
    <row r="5" spans="1:28" ht="5.25" customHeight="1">
      <c r="A5" s="5"/>
      <c r="B5" s="32"/>
      <c r="C5" s="5"/>
      <c r="D5" s="26"/>
      <c r="E5" s="5"/>
      <c r="F5" s="5"/>
      <c r="G5" s="5"/>
      <c r="I5" s="37"/>
      <c r="J5" s="58"/>
      <c r="K5" s="38"/>
      <c r="L5" s="50"/>
      <c r="M5" s="50"/>
      <c r="P5" s="39"/>
      <c r="Q5" s="39"/>
    </row>
    <row r="6" spans="1:28">
      <c r="A6" s="5"/>
      <c r="B6" s="262" t="str">
        <f>CONCATENATE("CAPITULO  2 :  TIEMPO TRABAJADO EN EL AÑO ",'Cap01'!A1)</f>
        <v>CAPITULO  2 :  TIEMPO TRABAJADO EN EL AÑO 2006</v>
      </c>
      <c r="C6" s="70"/>
      <c r="D6" s="70"/>
      <c r="E6" s="70"/>
      <c r="F6" s="70"/>
      <c r="G6" s="39">
        <f>+E10*20</f>
        <v>0</v>
      </c>
      <c r="H6" s="59"/>
      <c r="I6" s="37"/>
      <c r="J6" s="796"/>
      <c r="K6" s="797"/>
      <c r="L6" s="797"/>
      <c r="M6" s="798"/>
      <c r="P6" s="39"/>
      <c r="Q6" s="39"/>
    </row>
    <row r="7" spans="1:28" ht="10.5" customHeight="1">
      <c r="B7" s="32"/>
      <c r="C7" s="63"/>
      <c r="D7" s="73"/>
      <c r="E7" s="73"/>
      <c r="F7" s="72"/>
      <c r="G7" s="74"/>
      <c r="H7" s="59"/>
      <c r="I7" s="37"/>
      <c r="J7" s="71"/>
      <c r="K7" s="370"/>
      <c r="L7" s="435">
        <f>COUNTIF(L9:L11,"VERDADERO")</f>
        <v>0</v>
      </c>
      <c r="M7" s="55"/>
      <c r="P7" s="39"/>
      <c r="Q7" s="39"/>
    </row>
    <row r="8" spans="1:28">
      <c r="B8" s="799" t="s">
        <v>3445</v>
      </c>
      <c r="C8" s="800"/>
      <c r="D8" s="428" t="s">
        <v>1963</v>
      </c>
      <c r="E8" s="429" t="s">
        <v>1865</v>
      </c>
      <c r="F8" s="803"/>
      <c r="G8" s="804"/>
      <c r="H8" s="804"/>
      <c r="I8" s="805"/>
      <c r="K8" s="370"/>
      <c r="L8" s="370"/>
      <c r="P8" s="39"/>
      <c r="Q8" s="39"/>
    </row>
    <row r="9" spans="1:28" ht="12" customHeight="1">
      <c r="B9" s="801" t="s">
        <v>816</v>
      </c>
      <c r="C9" s="802"/>
      <c r="D9" s="40" t="s">
        <v>1964</v>
      </c>
      <c r="E9" s="276"/>
      <c r="F9" s="806" t="str">
        <f>IF(E9&lt;G6,"Error: Verifique el Nº de días por el Nº de meses trabajados","")</f>
        <v/>
      </c>
      <c r="G9" s="807"/>
      <c r="H9" s="807"/>
      <c r="I9" s="808"/>
      <c r="K9" s="370" t="e">
        <f>FIND("Error",F9,1)</f>
        <v>#VALUE!</v>
      </c>
      <c r="L9" s="435" t="b">
        <f>ISERR(K9)</f>
        <v>1</v>
      </c>
      <c r="P9" s="39"/>
      <c r="Q9" s="39"/>
    </row>
    <row r="10" spans="1:28" ht="12" customHeight="1">
      <c r="B10" s="754" t="s">
        <v>818</v>
      </c>
      <c r="C10" s="755"/>
      <c r="D10" s="40" t="s">
        <v>1965</v>
      </c>
      <c r="E10" s="268"/>
      <c r="F10" s="221" t="str">
        <f>IF(AND(E9&gt;0,E10=""),"Debe ingresar el número de meses, si la clave 01 presenta información",IF(AND(E9=0)," ",""))</f>
        <v xml:space="preserve"> </v>
      </c>
      <c r="G10" s="431"/>
      <c r="H10" s="431"/>
      <c r="I10" s="432"/>
      <c r="K10" s="370" t="e">
        <f>FIND("Debe",F10,1)</f>
        <v>#VALUE!</v>
      </c>
      <c r="L10" s="435" t="b">
        <f>ISERR(K10)</f>
        <v>1</v>
      </c>
      <c r="P10" s="39"/>
      <c r="Q10" s="39"/>
    </row>
    <row r="11" spans="1:28" ht="12" customHeight="1">
      <c r="B11" s="756" t="s">
        <v>817</v>
      </c>
      <c r="C11" s="757"/>
      <c r="D11" s="40" t="s">
        <v>1966</v>
      </c>
      <c r="E11" s="268"/>
      <c r="F11" s="277" t="str">
        <f>IF(AND(E9&gt;0,E11=""),"Debe ingresar el número de horas, si la clave 01 presenta información",IF(AND(E9=0)," ",""))</f>
        <v xml:space="preserve"> </v>
      </c>
      <c r="G11" s="433"/>
      <c r="H11" s="433"/>
      <c r="I11" s="434"/>
      <c r="K11" s="370" t="e">
        <f>FIND("Debe",F11,1)</f>
        <v>#VALUE!</v>
      </c>
      <c r="L11" s="435" t="b">
        <f>ISERR(K11)</f>
        <v>1</v>
      </c>
      <c r="P11" s="39"/>
      <c r="Q11" s="39"/>
    </row>
    <row r="12" spans="1:28" ht="9" customHeight="1">
      <c r="A12" s="5"/>
      <c r="B12" s="32"/>
      <c r="C12" s="5"/>
      <c r="D12" s="26"/>
      <c r="E12" s="5"/>
      <c r="F12" s="5"/>
      <c r="G12" s="5"/>
      <c r="I12" s="37"/>
      <c r="J12" s="58"/>
      <c r="K12" s="38"/>
      <c r="L12" s="50"/>
      <c r="M12" s="50"/>
      <c r="P12" s="39"/>
      <c r="Q12" s="39"/>
    </row>
    <row r="13" spans="1:28" ht="15.75" customHeight="1">
      <c r="A13" s="5"/>
      <c r="B13" s="262" t="str">
        <f>CONCATENATE("CAPITULO  3 :  PERSONAL OCUPADO Y REMUNERACIONES EN EL AÑO ",'Cap01'!A1)</f>
        <v>CAPITULO  3 :  PERSONAL OCUPADO Y REMUNERACIONES EN EL AÑO 2006</v>
      </c>
      <c r="C13" s="70"/>
      <c r="D13" s="70"/>
      <c r="E13" s="70"/>
      <c r="F13" s="70"/>
      <c r="H13" s="59"/>
      <c r="I13" s="37"/>
      <c r="J13" s="785"/>
      <c r="K13" s="786"/>
      <c r="L13" s="786"/>
      <c r="M13" s="786"/>
      <c r="N13" s="39"/>
      <c r="O13" s="39"/>
      <c r="P13" s="39"/>
      <c r="Q13" s="39"/>
      <c r="R13" s="384"/>
    </row>
    <row r="14" spans="1:28" ht="6" customHeight="1">
      <c r="B14" s="32"/>
      <c r="C14" s="63"/>
      <c r="D14" s="73"/>
      <c r="E14" s="73"/>
      <c r="F14" s="73"/>
      <c r="G14" s="74"/>
      <c r="H14" s="59"/>
      <c r="I14" s="37"/>
      <c r="J14" s="391"/>
      <c r="K14" s="392"/>
      <c r="L14" s="392"/>
      <c r="M14" s="392"/>
      <c r="N14" s="39"/>
      <c r="O14" s="39"/>
      <c r="P14" s="39"/>
      <c r="Q14" s="39"/>
      <c r="R14" s="384"/>
    </row>
    <row r="15" spans="1:28" ht="12.75">
      <c r="B15" s="764" t="s">
        <v>1868</v>
      </c>
      <c r="C15" s="765"/>
      <c r="D15" s="428" t="s">
        <v>1963</v>
      </c>
      <c r="E15" s="783" t="s">
        <v>1866</v>
      </c>
      <c r="F15" s="784"/>
      <c r="G15" s="789" t="s">
        <v>1867</v>
      </c>
      <c r="H15" s="779" t="s">
        <v>728</v>
      </c>
      <c r="I15" s="780"/>
      <c r="J15" s="393"/>
      <c r="K15" s="490"/>
      <c r="L15" s="490"/>
      <c r="M15" s="490" t="s">
        <v>3556</v>
      </c>
      <c r="N15" s="490"/>
      <c r="O15" s="490"/>
      <c r="P15" s="39"/>
      <c r="Q15" s="39"/>
      <c r="R15" s="39"/>
      <c r="S15" s="39"/>
      <c r="T15" s="39"/>
      <c r="U15" s="39"/>
      <c r="V15" s="39"/>
      <c r="W15" s="39"/>
      <c r="X15" s="39"/>
      <c r="Y15" s="35"/>
      <c r="Z15" s="35"/>
      <c r="AA15" s="35"/>
      <c r="AB15" s="35"/>
    </row>
    <row r="16" spans="1:28" ht="15.75" customHeight="1">
      <c r="B16" s="766"/>
      <c r="C16" s="767"/>
      <c r="D16" s="438"/>
      <c r="E16" s="439" t="s">
        <v>819</v>
      </c>
      <c r="F16" s="439" t="s">
        <v>820</v>
      </c>
      <c r="G16" s="790"/>
      <c r="H16" s="781"/>
      <c r="I16" s="782"/>
      <c r="J16" s="393"/>
      <c r="K16" s="490"/>
      <c r="L16" s="490"/>
      <c r="M16" s="490">
        <f>SUM(M17:M25)</f>
        <v>1</v>
      </c>
      <c r="N16" s="490"/>
      <c r="O16" s="490"/>
      <c r="P16" s="39">
        <f>COUNTIF(P17:P23,1)</f>
        <v>0</v>
      </c>
      <c r="Q16" s="39"/>
      <c r="R16" s="39"/>
      <c r="S16" s="39"/>
      <c r="T16" s="39"/>
      <c r="U16" s="39"/>
      <c r="V16" s="39"/>
      <c r="W16" s="39"/>
      <c r="X16" s="39"/>
      <c r="Y16" s="35"/>
      <c r="Z16" s="35"/>
      <c r="AA16" s="35"/>
      <c r="AB16" s="35"/>
    </row>
    <row r="17" spans="1:28" ht="11.25" customHeight="1">
      <c r="B17" s="750" t="s">
        <v>3289</v>
      </c>
      <c r="C17" s="751"/>
      <c r="D17" s="40" t="s">
        <v>1964</v>
      </c>
      <c r="E17" s="301"/>
      <c r="F17" s="301"/>
      <c r="G17" s="301"/>
      <c r="H17" s="486" t="str">
        <f t="shared" ref="H17:H23" si="0">IF(AND((SUM(E17+F17))&gt;0,G17&lt;=0),"Debe existir Remuneración",IF(AND((SUM(E17+F17))&lt;=0,G17&gt;0),"Debe existir Personal Ocupado",IF(AND(G17&gt;0,L17="Error"),"Error en Rango de Remuneraciones","")))</f>
        <v/>
      </c>
      <c r="I17" s="487"/>
      <c r="J17" s="394">
        <f>IF(E17&gt;0,IF(F17&gt;0,2,1),IF(F17&gt;0,1,0))</f>
        <v>0</v>
      </c>
      <c r="K17" s="490" t="str">
        <f>IF(AND(E17+F17&gt;0,G17&gt;0),G17/(ROUND((E17+F17)/J17,0))/12,"")</f>
        <v/>
      </c>
      <c r="L17" s="490" t="str">
        <f>IF(K17="","",IF(AND(K17&gt;=200,K17&lt;=30000),"","Error"))</f>
        <v/>
      </c>
      <c r="M17" s="490">
        <f>IF(H17&lt;&gt;"",1,0)</f>
        <v>0</v>
      </c>
      <c r="N17" s="490"/>
      <c r="O17" s="490"/>
      <c r="P17" s="39" t="e">
        <f>FIND("Debe",H17,1)</f>
        <v>#VALUE!</v>
      </c>
      <c r="Q17" s="39"/>
      <c r="R17" s="39"/>
      <c r="S17" s="39"/>
      <c r="T17" s="39"/>
      <c r="U17" s="39"/>
      <c r="V17" s="39"/>
      <c r="W17" s="39"/>
      <c r="X17" s="39"/>
      <c r="Y17" s="35"/>
      <c r="Z17" s="35"/>
      <c r="AA17" s="35"/>
      <c r="AB17" s="35"/>
    </row>
    <row r="18" spans="1:28" ht="11.1" customHeight="1">
      <c r="B18" s="777" t="s">
        <v>538</v>
      </c>
      <c r="C18" s="778"/>
      <c r="D18" s="40" t="s">
        <v>1965</v>
      </c>
      <c r="E18" s="300">
        <f>E19+E20</f>
        <v>0</v>
      </c>
      <c r="F18" s="300">
        <f>F19+F20</f>
        <v>0</v>
      </c>
      <c r="G18" s="300">
        <f>G19+G20</f>
        <v>0</v>
      </c>
      <c r="H18" s="486"/>
      <c r="I18" s="487"/>
      <c r="J18" s="394"/>
      <c r="K18" s="490"/>
      <c r="L18" s="490"/>
      <c r="M18" s="490"/>
      <c r="N18" s="490"/>
      <c r="O18" s="490"/>
      <c r="P18" s="39"/>
      <c r="Q18" s="39"/>
      <c r="R18" s="39"/>
      <c r="S18" s="39"/>
      <c r="T18" s="39"/>
      <c r="U18" s="39"/>
      <c r="V18" s="39"/>
      <c r="W18" s="39"/>
      <c r="X18" s="39"/>
      <c r="Y18" s="35"/>
      <c r="Z18" s="35"/>
      <c r="AA18" s="35"/>
      <c r="AB18" s="35"/>
    </row>
    <row r="19" spans="1:28" ht="11.25" customHeight="1">
      <c r="B19" s="758" t="s">
        <v>2453</v>
      </c>
      <c r="C19" s="759"/>
      <c r="D19" s="40" t="s">
        <v>1966</v>
      </c>
      <c r="E19" s="301"/>
      <c r="F19" s="301"/>
      <c r="G19" s="301"/>
      <c r="H19" s="486" t="str">
        <f t="shared" si="0"/>
        <v/>
      </c>
      <c r="I19" s="487"/>
      <c r="J19" s="394">
        <f>IF(E19&gt;0,IF(F19&gt;0,2,1),IF(F19&gt;0,1,0))</f>
        <v>0</v>
      </c>
      <c r="K19" s="490" t="str">
        <f>IF(AND(E19+F19&gt;0,G19&gt;0),G19/(ROUND((E19+F19)/J19,0))/12,"")</f>
        <v/>
      </c>
      <c r="L19" s="490" t="str">
        <f>IF(K19="","",IF(AND(K19&gt;=200,K19&lt;=10000),"","Error"))</f>
        <v/>
      </c>
      <c r="M19" s="490">
        <f>IF(H19&lt;&gt;"",1,0)</f>
        <v>0</v>
      </c>
      <c r="N19" s="490"/>
      <c r="O19" s="490"/>
      <c r="P19" s="39" t="e">
        <f>FIND("Debe",H19,1)</f>
        <v>#VALUE!</v>
      </c>
      <c r="Q19" s="39"/>
      <c r="R19" s="39"/>
      <c r="S19" s="39"/>
      <c r="T19" s="39"/>
      <c r="U19" s="39"/>
      <c r="V19" s="39"/>
      <c r="W19" s="39"/>
      <c r="X19" s="39"/>
      <c r="Y19" s="35"/>
      <c r="Z19" s="35"/>
      <c r="AA19" s="35"/>
      <c r="AB19" s="35"/>
    </row>
    <row r="20" spans="1:28" ht="11.25" customHeight="1">
      <c r="B20" s="758" t="s">
        <v>2454</v>
      </c>
      <c r="C20" s="759"/>
      <c r="D20" s="40" t="s">
        <v>1967</v>
      </c>
      <c r="E20" s="301"/>
      <c r="F20" s="301"/>
      <c r="G20" s="301"/>
      <c r="H20" s="486" t="str">
        <f t="shared" si="0"/>
        <v/>
      </c>
      <c r="I20" s="487"/>
      <c r="J20" s="394">
        <f>IF(E20&gt;0,IF(F20&gt;0,2,1),IF(F20&gt;0,1,0))</f>
        <v>0</v>
      </c>
      <c r="K20" s="490" t="str">
        <f>IF(AND(E20+F20&gt;0,G20&gt;0),G20/(ROUND((E20+F20)/J20,0))/12,"")</f>
        <v/>
      </c>
      <c r="L20" s="490" t="str">
        <f>IF(K20="","",IF(AND(K20&gt;=200,K20&lt;=10000),"","Error"))</f>
        <v/>
      </c>
      <c r="M20" s="490">
        <f>IF(H20&lt;&gt;"",1,0)</f>
        <v>0</v>
      </c>
      <c r="N20" s="490"/>
      <c r="O20" s="490"/>
      <c r="P20" s="39" t="e">
        <f>FIND("Debe",H20,1)</f>
        <v>#VALUE!</v>
      </c>
      <c r="Q20" s="39"/>
      <c r="R20" s="39"/>
      <c r="S20" s="39"/>
      <c r="T20" s="39"/>
      <c r="U20" s="39"/>
      <c r="V20" s="39"/>
      <c r="W20" s="39"/>
      <c r="X20" s="39"/>
      <c r="Y20" s="35"/>
      <c r="Z20" s="35"/>
      <c r="AA20" s="35"/>
      <c r="AB20" s="35"/>
    </row>
    <row r="21" spans="1:28" ht="11.1" customHeight="1">
      <c r="B21" s="750" t="s">
        <v>539</v>
      </c>
      <c r="C21" s="751"/>
      <c r="D21" s="40" t="s">
        <v>1968</v>
      </c>
      <c r="E21" s="300">
        <f>E22+E23</f>
        <v>0</v>
      </c>
      <c r="F21" s="300">
        <f>F22+F23</f>
        <v>0</v>
      </c>
      <c r="G21" s="300">
        <f>G22+G23</f>
        <v>0</v>
      </c>
      <c r="H21" s="486"/>
      <c r="I21" s="487"/>
      <c r="J21" s="394"/>
      <c r="K21" s="490"/>
      <c r="L21" s="490"/>
      <c r="M21" s="490"/>
      <c r="N21" s="490"/>
      <c r="O21" s="490"/>
      <c r="P21" s="39"/>
      <c r="Q21" s="39"/>
      <c r="R21" s="39"/>
      <c r="S21" s="39"/>
      <c r="T21" s="39"/>
      <c r="U21" s="39"/>
      <c r="V21" s="39"/>
      <c r="W21" s="39"/>
      <c r="X21" s="39"/>
      <c r="Y21" s="35"/>
      <c r="Z21" s="35"/>
      <c r="AA21" s="35"/>
      <c r="AB21" s="35"/>
    </row>
    <row r="22" spans="1:28" ht="11.25" customHeight="1">
      <c r="B22" s="758" t="s">
        <v>534</v>
      </c>
      <c r="C22" s="759"/>
      <c r="D22" s="40" t="s">
        <v>1969</v>
      </c>
      <c r="E22" s="301"/>
      <c r="F22" s="301"/>
      <c r="G22" s="301"/>
      <c r="H22" s="486" t="str">
        <f t="shared" si="0"/>
        <v/>
      </c>
      <c r="I22" s="487"/>
      <c r="J22" s="394">
        <f>IF(E22&gt;0,IF(F22&gt;0,2,1),IF(F22&gt;0,1,0))</f>
        <v>0</v>
      </c>
      <c r="K22" s="490" t="str">
        <f>IF(AND(E22+F22&gt;0,G22&gt;0),G22/(ROUND((E22+F22)/J22,0))/12,"")</f>
        <v/>
      </c>
      <c r="L22" s="490" t="str">
        <f>IF(K22="","",IF(AND(K22&gt;=200,K22&lt;=10000),"","Error"))</f>
        <v/>
      </c>
      <c r="M22" s="490">
        <f>IF(H22&lt;&gt;"",1,0)</f>
        <v>0</v>
      </c>
      <c r="N22" s="490"/>
      <c r="O22" s="490"/>
      <c r="P22" s="39" t="e">
        <f>FIND("Debe",H22,1)</f>
        <v>#VALUE!</v>
      </c>
      <c r="Q22" s="39"/>
      <c r="R22" s="39"/>
      <c r="S22" s="39"/>
      <c r="T22" s="39"/>
      <c r="U22" s="39"/>
      <c r="V22" s="39"/>
      <c r="W22" s="39"/>
      <c r="X22" s="39"/>
      <c r="Y22" s="35"/>
      <c r="Z22" s="35"/>
      <c r="AA22" s="35"/>
      <c r="AB22" s="35"/>
    </row>
    <row r="23" spans="1:28" ht="11.25" customHeight="1">
      <c r="B23" s="758" t="s">
        <v>535</v>
      </c>
      <c r="C23" s="759"/>
      <c r="D23" s="40" t="s">
        <v>1970</v>
      </c>
      <c r="E23" s="301"/>
      <c r="F23" s="301"/>
      <c r="G23" s="301"/>
      <c r="H23" s="488" t="str">
        <f t="shared" si="0"/>
        <v/>
      </c>
      <c r="I23" s="489"/>
      <c r="J23" s="394">
        <f>IF(E23&gt;0,IF(F23&gt;0,2,1),IF(F23&gt;0,1,0))</f>
        <v>0</v>
      </c>
      <c r="K23" s="490" t="str">
        <f>IF(AND(E23+F23&gt;0,G23&gt;0),G23/(ROUND((E23+F23)/J23,0))/12,"")</f>
        <v/>
      </c>
      <c r="L23" s="490" t="str">
        <f>IF(K23="","",IF(AND(K23&gt;=200,K23&lt;=10000),"","Error"))</f>
        <v/>
      </c>
      <c r="M23" s="490">
        <f>IF(H23&lt;&gt;"",1,0)</f>
        <v>0</v>
      </c>
      <c r="N23" s="490"/>
      <c r="O23" s="490"/>
      <c r="P23" s="39" t="e">
        <f>FIND("Debe",H23,1)</f>
        <v>#VALUE!</v>
      </c>
      <c r="Q23" s="39"/>
      <c r="R23" s="39"/>
      <c r="S23" s="39"/>
      <c r="T23" s="39"/>
      <c r="U23" s="39"/>
      <c r="V23" s="39"/>
      <c r="W23" s="39"/>
      <c r="X23" s="39"/>
      <c r="Y23" s="35"/>
      <c r="Z23" s="35"/>
      <c r="AA23" s="35"/>
      <c r="AB23" s="35"/>
    </row>
    <row r="24" spans="1:28" ht="11.25" customHeight="1">
      <c r="B24" s="750" t="s">
        <v>536</v>
      </c>
      <c r="C24" s="751"/>
      <c r="D24" s="40" t="s">
        <v>1971</v>
      </c>
      <c r="E24" s="301"/>
      <c r="F24" s="301"/>
      <c r="G24" s="302"/>
      <c r="H24" s="436"/>
      <c r="I24" s="437"/>
      <c r="J24" s="394"/>
      <c r="K24" s="490"/>
      <c r="L24" s="490"/>
      <c r="M24" s="490"/>
      <c r="N24" s="490"/>
      <c r="O24" s="490"/>
      <c r="P24" s="39"/>
      <c r="Q24" s="39"/>
      <c r="R24" s="39"/>
      <c r="S24" s="39"/>
      <c r="T24" s="39"/>
      <c r="U24" s="39"/>
      <c r="V24" s="39"/>
      <c r="W24" s="39"/>
      <c r="X24" s="39"/>
      <c r="Y24" s="35"/>
      <c r="Z24" s="35"/>
      <c r="AA24" s="35"/>
      <c r="AB24" s="35"/>
    </row>
    <row r="25" spans="1:28" ht="12" customHeight="1">
      <c r="B25" s="752" t="s">
        <v>540</v>
      </c>
      <c r="C25" s="753"/>
      <c r="D25" s="345" t="s">
        <v>1972</v>
      </c>
      <c r="E25" s="346">
        <f>E17+E18+E21+E24</f>
        <v>0</v>
      </c>
      <c r="F25" s="346">
        <f>F17+F18+F21+F24</f>
        <v>0</v>
      </c>
      <c r="G25" s="346">
        <f>G17+G18+G21+G24</f>
        <v>0</v>
      </c>
      <c r="H25" s="41"/>
      <c r="I25" s="88"/>
      <c r="J25" s="394"/>
      <c r="K25" s="490"/>
      <c r="L25" s="490"/>
      <c r="M25" s="490">
        <f>IF(AND(E25+F25=0,G25=0),1,0)</f>
        <v>1</v>
      </c>
      <c r="N25" s="490"/>
      <c r="O25" s="490"/>
      <c r="P25" s="39"/>
      <c r="Q25" s="39"/>
      <c r="R25" s="39"/>
      <c r="S25" s="39"/>
      <c r="T25" s="39"/>
      <c r="U25" s="39"/>
      <c r="V25" s="39"/>
      <c r="W25" s="39"/>
      <c r="X25" s="39"/>
      <c r="Y25" s="35"/>
      <c r="Z25" s="35"/>
      <c r="AA25" s="35"/>
      <c r="AB25" s="35"/>
    </row>
    <row r="26" spans="1:28" ht="11.25" customHeight="1">
      <c r="B26" s="756" t="s">
        <v>537</v>
      </c>
      <c r="C26" s="757"/>
      <c r="D26" s="40" t="s">
        <v>1973</v>
      </c>
      <c r="E26" s="301"/>
      <c r="F26" s="301"/>
      <c r="G26" s="302"/>
      <c r="H26" s="383"/>
      <c r="I26" s="41"/>
      <c r="J26" s="394"/>
      <c r="K26" s="490"/>
      <c r="L26" s="490"/>
      <c r="M26" s="490"/>
      <c r="N26" s="490"/>
      <c r="O26" s="490"/>
      <c r="P26" s="39"/>
      <c r="Q26" s="39"/>
      <c r="R26" s="39"/>
      <c r="S26" s="39"/>
      <c r="T26" s="39"/>
      <c r="U26" s="39"/>
      <c r="V26" s="39"/>
      <c r="W26" s="39"/>
      <c r="X26" s="39"/>
      <c r="Y26" s="35"/>
      <c r="Z26" s="35"/>
      <c r="AA26" s="35"/>
      <c r="AB26" s="35"/>
    </row>
    <row r="27" spans="1:28" ht="11.25" customHeight="1">
      <c r="B27" s="756" t="s">
        <v>3555</v>
      </c>
      <c r="C27" s="757"/>
      <c r="D27" s="40" t="s">
        <v>1974</v>
      </c>
      <c r="E27" s="301"/>
      <c r="F27" s="301"/>
      <c r="G27" s="302"/>
      <c r="H27" s="383"/>
      <c r="I27" s="41"/>
      <c r="J27" s="395"/>
      <c r="K27" s="39"/>
      <c r="L27" s="39"/>
      <c r="M27" s="39"/>
      <c r="N27" s="39"/>
      <c r="O27" s="39"/>
      <c r="P27" s="39"/>
      <c r="Q27" s="39"/>
      <c r="R27" s="39"/>
      <c r="S27" s="39"/>
      <c r="T27" s="39"/>
      <c r="U27" s="39"/>
      <c r="V27" s="39"/>
      <c r="W27" s="39"/>
      <c r="X27" s="39"/>
      <c r="Y27" s="35"/>
      <c r="Z27" s="35"/>
      <c r="AA27" s="35"/>
      <c r="AB27" s="35"/>
    </row>
    <row r="28" spans="1:28" ht="17.25" customHeight="1">
      <c r="A28" s="5"/>
      <c r="B28" s="387" t="str">
        <f>IF(M25=1,"Error : Debe existir información en Total de Personas Ocupadas y Remuneraciones (Clave 09)","")</f>
        <v>Error : Debe existir información en Total de Personas Ocupadas y Remuneraciones (Clave 09)</v>
      </c>
      <c r="C28" s="386"/>
      <c r="D28" s="385"/>
      <c r="E28" s="385"/>
      <c r="F28" s="385"/>
      <c r="G28" s="359"/>
      <c r="J28" s="396"/>
      <c r="K28" s="39"/>
      <c r="L28" s="39"/>
      <c r="M28" s="39"/>
      <c r="N28" s="39"/>
      <c r="O28" s="39"/>
      <c r="P28" s="39"/>
      <c r="Q28" s="39"/>
      <c r="R28" s="39"/>
      <c r="S28" s="39"/>
      <c r="T28" s="39"/>
      <c r="U28" s="39"/>
      <c r="V28" s="39"/>
      <c r="W28" s="39"/>
      <c r="X28" s="39"/>
    </row>
    <row r="29" spans="1:28" ht="25.5" customHeight="1">
      <c r="B29" s="262" t="str">
        <f>CONCATENATE("CAPITULO  4 : INGRESOS Y GASTOS EN EL AÑO ",'Cap01'!A1)</f>
        <v>CAPITULO  4 : INGRESOS Y GASTOS EN EL AÑO 2006</v>
      </c>
      <c r="F29" s="41"/>
      <c r="G29" s="41"/>
      <c r="H29" s="41"/>
      <c r="I29" s="41"/>
      <c r="J29" s="396"/>
      <c r="K29" s="39"/>
      <c r="L29" s="39"/>
      <c r="M29" s="39"/>
      <c r="N29" s="39"/>
      <c r="O29" s="39"/>
      <c r="P29" s="39"/>
      <c r="Q29" s="39"/>
      <c r="R29" s="39"/>
      <c r="S29" s="39"/>
      <c r="T29" s="39"/>
      <c r="U29" s="39"/>
      <c r="V29" s="39"/>
      <c r="W29" s="39"/>
      <c r="X29" s="39"/>
    </row>
    <row r="30" spans="1:28" ht="6.75" customHeight="1">
      <c r="B30" s="388"/>
      <c r="C30" s="388"/>
      <c r="D30" s="389"/>
      <c r="E30" s="390"/>
      <c r="F30" s="89"/>
      <c r="G30" s="89"/>
      <c r="H30" s="89"/>
      <c r="I30" s="41"/>
      <c r="J30" s="396"/>
      <c r="K30" s="39"/>
      <c r="L30" s="39"/>
      <c r="M30" s="39"/>
      <c r="N30" s="39"/>
      <c r="O30" s="39"/>
      <c r="P30" s="39"/>
      <c r="Q30" s="39"/>
      <c r="R30" s="39"/>
      <c r="S30" s="39"/>
      <c r="T30" s="39"/>
      <c r="U30" s="39"/>
      <c r="V30" s="39"/>
      <c r="W30" s="39"/>
      <c r="X30" s="39"/>
    </row>
    <row r="31" spans="1:28" ht="20.25">
      <c r="B31" s="810" t="s">
        <v>2455</v>
      </c>
      <c r="C31" s="811"/>
      <c r="D31" s="441" t="s">
        <v>1963</v>
      </c>
      <c r="E31" s="442" t="s">
        <v>541</v>
      </c>
      <c r="F31" s="89"/>
      <c r="G31" s="89"/>
      <c r="H31" s="89"/>
      <c r="I31" s="87"/>
      <c r="P31" s="39"/>
      <c r="Q31" s="39"/>
    </row>
    <row r="32" spans="1:28" ht="12" customHeight="1">
      <c r="B32" s="771" t="s">
        <v>1869</v>
      </c>
      <c r="C32" s="772"/>
      <c r="D32" s="95" t="s">
        <v>1964</v>
      </c>
      <c r="E32" s="303"/>
      <c r="F32" s="787" t="str">
        <f>IF(E32&gt;(E33+E34+E35),"Las ventas de mercaderías no deben ser mayores a las ventas de productos terminados, subproductos y servicios. Si es así aclare en Observaciones."," ")</f>
        <v xml:space="preserve"> </v>
      </c>
      <c r="G32" s="788"/>
      <c r="H32" s="788"/>
      <c r="I32" s="88"/>
      <c r="J32" s="75"/>
      <c r="P32" s="39"/>
      <c r="Q32" s="39"/>
    </row>
    <row r="33" spans="1:17" ht="12" customHeight="1">
      <c r="B33" s="756" t="s">
        <v>2371</v>
      </c>
      <c r="C33" s="770"/>
      <c r="D33" s="40" t="s">
        <v>1965</v>
      </c>
      <c r="E33" s="301"/>
      <c r="F33" s="787"/>
      <c r="G33" s="788"/>
      <c r="H33" s="788"/>
      <c r="I33" s="88"/>
      <c r="J33" s="75"/>
      <c r="P33" s="39"/>
      <c r="Q33" s="39"/>
    </row>
    <row r="34" spans="1:17" ht="12" customHeight="1">
      <c r="B34" s="754" t="s">
        <v>2372</v>
      </c>
      <c r="C34" s="755"/>
      <c r="D34" s="40" t="s">
        <v>1966</v>
      </c>
      <c r="E34" s="301"/>
      <c r="F34" s="787"/>
      <c r="G34" s="788"/>
      <c r="H34" s="788"/>
      <c r="I34" s="88"/>
      <c r="J34" s="75"/>
      <c r="P34" s="39"/>
      <c r="Q34" s="39"/>
    </row>
    <row r="35" spans="1:17" ht="12" customHeight="1">
      <c r="B35" s="771" t="s">
        <v>2373</v>
      </c>
      <c r="C35" s="772"/>
      <c r="D35" s="40" t="s">
        <v>1967</v>
      </c>
      <c r="E35" s="301"/>
      <c r="F35" s="86"/>
      <c r="G35" s="86"/>
      <c r="H35" s="86"/>
      <c r="I35" s="88"/>
      <c r="J35" s="75"/>
      <c r="P35" s="39"/>
      <c r="Q35" s="39"/>
    </row>
    <row r="36" spans="1:17" ht="12" customHeight="1">
      <c r="B36" s="756" t="s">
        <v>3222</v>
      </c>
      <c r="C36" s="770"/>
      <c r="D36" s="40" t="s">
        <v>1968</v>
      </c>
      <c r="E36" s="301"/>
      <c r="F36" s="86"/>
      <c r="G36" s="86"/>
      <c r="H36" s="86"/>
      <c r="I36" s="88"/>
      <c r="J36" s="75"/>
      <c r="P36" s="39"/>
      <c r="Q36" s="39"/>
    </row>
    <row r="37" spans="1:17">
      <c r="B37" s="775" t="s">
        <v>3557</v>
      </c>
      <c r="C37" s="809"/>
      <c r="D37" s="40" t="s">
        <v>1969</v>
      </c>
      <c r="E37" s="300">
        <f>SUM(E32:E36)</f>
        <v>0</v>
      </c>
      <c r="F37" s="86"/>
      <c r="G37" s="86"/>
      <c r="H37" s="86"/>
      <c r="I37" s="41"/>
      <c r="P37" s="39"/>
      <c r="Q37" s="39"/>
    </row>
    <row r="38" spans="1:17" ht="24" customHeight="1">
      <c r="B38" s="773" t="s">
        <v>821</v>
      </c>
      <c r="C38" s="774"/>
      <c r="D38" s="443"/>
      <c r="E38" s="444" t="s">
        <v>541</v>
      </c>
      <c r="F38" s="77"/>
      <c r="G38" s="77"/>
      <c r="H38" s="77"/>
      <c r="I38" s="41"/>
      <c r="P38" s="39"/>
      <c r="Q38" s="39"/>
    </row>
    <row r="39" spans="1:17" ht="11.1" customHeight="1">
      <c r="B39" s="771" t="s">
        <v>1259</v>
      </c>
      <c r="C39" s="772"/>
      <c r="D39" s="95" t="s">
        <v>1970</v>
      </c>
      <c r="E39" s="303"/>
      <c r="F39" s="86"/>
      <c r="G39" s="86"/>
      <c r="H39" s="86"/>
      <c r="I39" s="88"/>
      <c r="J39" s="75"/>
      <c r="P39" s="39"/>
      <c r="Q39" s="39"/>
    </row>
    <row r="40" spans="1:17" ht="11.1" customHeight="1">
      <c r="B40" s="756" t="s">
        <v>822</v>
      </c>
      <c r="C40" s="770"/>
      <c r="D40" s="40" t="s">
        <v>1971</v>
      </c>
      <c r="E40" s="303"/>
      <c r="F40" s="86"/>
      <c r="G40" s="86"/>
      <c r="H40" s="86"/>
      <c r="I40" s="88"/>
      <c r="J40" s="75"/>
      <c r="P40" s="39"/>
      <c r="Q40" s="39"/>
    </row>
    <row r="41" spans="1:17" ht="11.1" customHeight="1">
      <c r="B41" s="756" t="s">
        <v>823</v>
      </c>
      <c r="C41" s="770"/>
      <c r="D41" s="40" t="s">
        <v>1972</v>
      </c>
      <c r="E41" s="303"/>
      <c r="F41" s="86"/>
      <c r="G41" s="86"/>
      <c r="H41" s="86"/>
      <c r="I41" s="88"/>
      <c r="J41" s="75"/>
      <c r="P41" s="39"/>
      <c r="Q41" s="39"/>
    </row>
    <row r="42" spans="1:17" ht="11.1" customHeight="1">
      <c r="B42" s="756" t="s">
        <v>824</v>
      </c>
      <c r="C42" s="770"/>
      <c r="D42" s="40" t="s">
        <v>1973</v>
      </c>
      <c r="E42" s="303"/>
      <c r="F42" s="86"/>
      <c r="G42" s="86"/>
      <c r="H42" s="86"/>
      <c r="I42" s="88"/>
      <c r="J42" s="75"/>
      <c r="P42" s="39"/>
      <c r="Q42" s="39"/>
    </row>
    <row r="43" spans="1:17" ht="11.1" customHeight="1">
      <c r="B43" s="754" t="s">
        <v>1870</v>
      </c>
      <c r="C43" s="755"/>
      <c r="D43" s="40" t="s">
        <v>1974</v>
      </c>
      <c r="E43" s="303"/>
      <c r="F43" s="86"/>
      <c r="G43" s="86"/>
      <c r="H43" s="86"/>
      <c r="I43" s="88"/>
      <c r="J43" s="75"/>
      <c r="P43" s="39"/>
      <c r="Q43" s="39"/>
    </row>
    <row r="44" spans="1:17">
      <c r="B44" s="775" t="s">
        <v>3558</v>
      </c>
      <c r="C44" s="776"/>
      <c r="D44" s="40" t="s">
        <v>1975</v>
      </c>
      <c r="E44" s="300">
        <f>SUM(E39:E43)</f>
        <v>0</v>
      </c>
      <c r="F44" s="86"/>
      <c r="G44" s="86"/>
      <c r="H44" s="86"/>
      <c r="I44" s="88"/>
      <c r="J44" s="75"/>
      <c r="P44" s="39"/>
      <c r="Q44" s="39"/>
    </row>
    <row r="45" spans="1:17">
      <c r="B45" s="76"/>
      <c r="C45" s="41"/>
      <c r="D45" s="78"/>
      <c r="E45" s="77"/>
      <c r="F45" s="77"/>
      <c r="P45" s="39"/>
      <c r="Q45" s="39"/>
    </row>
    <row r="46" spans="1:17">
      <c r="A46" s="5"/>
      <c r="B46" s="262" t="str">
        <f>CONCATENATE("CAPITULO 5 :  CONSUMO DE MATERIAS PRIMAS EN EL AÑO ",'Cap01'!A1)</f>
        <v>CAPITULO 5 :  CONSUMO DE MATERIAS PRIMAS EN EL AÑO 2006</v>
      </c>
      <c r="D46" s="81"/>
      <c r="E46" s="81"/>
      <c r="F46" s="81"/>
      <c r="G46" s="81"/>
      <c r="H46" s="5"/>
      <c r="I46" s="370"/>
      <c r="J46" s="371"/>
      <c r="P46" s="39"/>
      <c r="Q46" s="39"/>
    </row>
    <row r="47" spans="1:17" ht="4.5" customHeight="1">
      <c r="B47" s="32"/>
      <c r="C47" s="5"/>
      <c r="D47" s="26"/>
      <c r="E47" s="5"/>
      <c r="F47" s="5"/>
      <c r="G47" s="5"/>
      <c r="H47" s="5"/>
      <c r="I47" s="370"/>
      <c r="J47" s="371"/>
      <c r="P47" s="39"/>
      <c r="Q47" s="39"/>
    </row>
    <row r="48" spans="1:17" ht="12.75">
      <c r="B48" s="760" t="s">
        <v>512</v>
      </c>
      <c r="C48" s="761"/>
      <c r="D48" s="428" t="s">
        <v>1963</v>
      </c>
      <c r="E48" s="446" t="s">
        <v>231</v>
      </c>
      <c r="F48" s="749" t="s">
        <v>728</v>
      </c>
      <c r="G48" s="749"/>
      <c r="H48" s="749"/>
      <c r="I48" s="372" t="s">
        <v>544</v>
      </c>
      <c r="J48" s="373"/>
      <c r="K48" s="445"/>
      <c r="L48" s="445"/>
      <c r="M48" s="445"/>
      <c r="N48" s="445"/>
      <c r="O48" s="445"/>
      <c r="P48" s="39"/>
      <c r="Q48" s="39"/>
    </row>
    <row r="49" spans="1:17" ht="12.75">
      <c r="B49" s="762"/>
      <c r="C49" s="763"/>
      <c r="D49" s="438"/>
      <c r="E49" s="447" t="s">
        <v>2456</v>
      </c>
      <c r="F49" s="749"/>
      <c r="G49" s="749"/>
      <c r="H49" s="749"/>
      <c r="I49" s="372">
        <f>SUM(I50:I55)</f>
        <v>0</v>
      </c>
      <c r="J49" s="373"/>
      <c r="K49" s="445"/>
      <c r="L49" s="445"/>
      <c r="M49" s="445"/>
      <c r="N49" s="445"/>
      <c r="O49" s="445"/>
      <c r="P49" s="39"/>
      <c r="Q49" s="39"/>
    </row>
    <row r="50" spans="1:17" ht="11.25" customHeight="1">
      <c r="B50" s="768"/>
      <c r="C50" s="769"/>
      <c r="D50" s="40" t="s">
        <v>1964</v>
      </c>
      <c r="E50" s="301"/>
      <c r="F50" s="743" t="str">
        <f t="shared" ref="F50:F55" si="1">IF(AND(B50="",E50&lt;&gt;0),"Debe ingresar Nombre de Materia Prima",IF(AND(B50&lt;&gt;"",E50=0),"Debe ingresar Monto consumido",""))</f>
        <v/>
      </c>
      <c r="G50" s="744"/>
      <c r="H50" s="745"/>
      <c r="I50" s="372">
        <f t="shared" ref="I50:I55" si="2">IF(F50&lt;&gt;"",1,0)</f>
        <v>0</v>
      </c>
      <c r="J50" s="373"/>
      <c r="K50" s="445"/>
      <c r="L50" s="445"/>
      <c r="M50" s="445"/>
      <c r="N50" s="445"/>
      <c r="O50" s="445"/>
      <c r="P50" s="39"/>
      <c r="Q50" s="39"/>
    </row>
    <row r="51" spans="1:17" ht="11.25" customHeight="1">
      <c r="B51" s="768"/>
      <c r="C51" s="769"/>
      <c r="D51" s="40" t="s">
        <v>1965</v>
      </c>
      <c r="E51" s="301"/>
      <c r="F51" s="746" t="str">
        <f t="shared" si="1"/>
        <v/>
      </c>
      <c r="G51" s="747"/>
      <c r="H51" s="748"/>
      <c r="I51" s="372">
        <f t="shared" si="2"/>
        <v>0</v>
      </c>
      <c r="J51" s="373"/>
      <c r="K51" s="445"/>
      <c r="L51" s="445"/>
      <c r="M51" s="445"/>
      <c r="N51" s="445"/>
      <c r="O51" s="445"/>
      <c r="P51" s="39"/>
      <c r="Q51" s="39"/>
    </row>
    <row r="52" spans="1:17" ht="11.25" customHeight="1">
      <c r="B52" s="768"/>
      <c r="C52" s="769"/>
      <c r="D52" s="40" t="s">
        <v>1966</v>
      </c>
      <c r="E52" s="301"/>
      <c r="F52" s="746" t="str">
        <f t="shared" si="1"/>
        <v/>
      </c>
      <c r="G52" s="747"/>
      <c r="H52" s="748"/>
      <c r="I52" s="372">
        <f t="shared" si="2"/>
        <v>0</v>
      </c>
      <c r="J52" s="373"/>
      <c r="K52" s="445"/>
      <c r="L52" s="445"/>
      <c r="M52" s="445"/>
      <c r="N52" s="445"/>
      <c r="O52" s="445"/>
      <c r="P52" s="39"/>
      <c r="Q52" s="39"/>
    </row>
    <row r="53" spans="1:17" ht="11.25" customHeight="1">
      <c r="B53" s="768"/>
      <c r="C53" s="769"/>
      <c r="D53" s="40" t="s">
        <v>1967</v>
      </c>
      <c r="E53" s="301"/>
      <c r="F53" s="746" t="str">
        <f t="shared" si="1"/>
        <v/>
      </c>
      <c r="G53" s="747"/>
      <c r="H53" s="748"/>
      <c r="I53" s="372">
        <f t="shared" si="2"/>
        <v>0</v>
      </c>
      <c r="J53" s="373"/>
      <c r="K53" s="445"/>
      <c r="L53" s="445"/>
      <c r="M53" s="445"/>
      <c r="N53" s="445"/>
      <c r="O53" s="445"/>
      <c r="P53" s="39"/>
      <c r="Q53" s="39"/>
    </row>
    <row r="54" spans="1:17" ht="11.25" customHeight="1">
      <c r="B54" s="768"/>
      <c r="C54" s="769"/>
      <c r="D54" s="40" t="s">
        <v>1968</v>
      </c>
      <c r="E54" s="301"/>
      <c r="F54" s="746" t="str">
        <f t="shared" si="1"/>
        <v/>
      </c>
      <c r="G54" s="747"/>
      <c r="H54" s="748"/>
      <c r="I54" s="372">
        <f t="shared" si="2"/>
        <v>0</v>
      </c>
      <c r="J54" s="373"/>
      <c r="K54" s="445"/>
      <c r="L54" s="445"/>
      <c r="M54" s="445"/>
      <c r="N54" s="445"/>
      <c r="O54" s="445"/>
      <c r="P54" s="39"/>
      <c r="Q54" s="39"/>
    </row>
    <row r="55" spans="1:17" ht="11.25" customHeight="1">
      <c r="B55" s="768"/>
      <c r="C55" s="769"/>
      <c r="D55" s="40" t="s">
        <v>1969</v>
      </c>
      <c r="E55" s="301"/>
      <c r="F55" s="746" t="str">
        <f t="shared" si="1"/>
        <v/>
      </c>
      <c r="G55" s="747"/>
      <c r="H55" s="748"/>
      <c r="I55" s="372">
        <f t="shared" si="2"/>
        <v>0</v>
      </c>
      <c r="J55" s="373"/>
      <c r="K55" s="445"/>
      <c r="L55" s="445"/>
      <c r="M55" s="445"/>
      <c r="N55" s="445"/>
      <c r="O55" s="445"/>
      <c r="P55" s="39"/>
      <c r="Q55" s="39"/>
    </row>
    <row r="56" spans="1:17" ht="11.25" customHeight="1">
      <c r="B56" s="777" t="s">
        <v>3173</v>
      </c>
      <c r="C56" s="778"/>
      <c r="D56" s="40" t="s">
        <v>1970</v>
      </c>
      <c r="E56" s="300">
        <f>+Anexo!E53</f>
        <v>0</v>
      </c>
      <c r="F56" s="746"/>
      <c r="G56" s="747"/>
      <c r="H56" s="748"/>
      <c r="I56" s="374"/>
      <c r="J56" s="371"/>
      <c r="P56" s="39"/>
      <c r="Q56" s="39"/>
    </row>
    <row r="57" spans="1:17" ht="11.25" customHeight="1">
      <c r="B57" s="775" t="s">
        <v>1064</v>
      </c>
      <c r="C57" s="809"/>
      <c r="D57" s="40" t="s">
        <v>1971</v>
      </c>
      <c r="E57" s="300">
        <f>SUM(E50:E56)</f>
        <v>0</v>
      </c>
      <c r="F57" s="740"/>
      <c r="G57" s="741"/>
      <c r="H57" s="742"/>
      <c r="I57" s="41"/>
      <c r="P57" s="39"/>
      <c r="Q57" s="39"/>
    </row>
    <row r="58" spans="1:17" ht="4.5" customHeight="1">
      <c r="B58" s="44"/>
      <c r="C58" s="45"/>
      <c r="D58" s="46"/>
      <c r="E58" s="47"/>
      <c r="F58" s="77"/>
      <c r="P58" s="39"/>
      <c r="Q58" s="39"/>
    </row>
    <row r="59" spans="1:17" ht="9" customHeight="1">
      <c r="B59" s="76"/>
      <c r="C59" s="41"/>
      <c r="D59" s="78"/>
      <c r="E59" s="77"/>
      <c r="F59" s="77"/>
      <c r="P59" s="39"/>
      <c r="Q59" s="39"/>
    </row>
    <row r="60" spans="1:17">
      <c r="A60" s="5"/>
      <c r="B60" s="262" t="str">
        <f>CONCATENATE("CAPITULO 6 :  IMPUESTO A LAS VENTAS (ANUAL) EN EL AÑO ",'Cap01'!A1)</f>
        <v>CAPITULO 6 :  IMPUESTO A LAS VENTAS (ANUAL) EN EL AÑO 2006</v>
      </c>
      <c r="D60" s="81"/>
      <c r="E60" s="81"/>
      <c r="F60" s="81"/>
      <c r="G60" s="81"/>
      <c r="P60" s="39"/>
      <c r="Q60" s="39"/>
    </row>
    <row r="61" spans="1:17" ht="7.5" customHeight="1">
      <c r="B61" s="32"/>
      <c r="C61" s="5"/>
      <c r="D61" s="26"/>
      <c r="E61" s="5"/>
      <c r="F61" s="5"/>
      <c r="G61" s="5"/>
      <c r="P61" s="39"/>
      <c r="Q61" s="39"/>
    </row>
    <row r="62" spans="1:17">
      <c r="B62" s="799" t="s">
        <v>4342</v>
      </c>
      <c r="C62" s="800"/>
      <c r="D62" s="428" t="s">
        <v>1963</v>
      </c>
      <c r="E62" s="446" t="s">
        <v>4343</v>
      </c>
      <c r="F62" s="446" t="s">
        <v>3985</v>
      </c>
      <c r="G62" s="446" t="s">
        <v>4343</v>
      </c>
      <c r="P62" s="39"/>
      <c r="Q62" s="39"/>
    </row>
    <row r="63" spans="1:17">
      <c r="B63" s="448"/>
      <c r="C63" s="449"/>
      <c r="D63" s="438"/>
      <c r="E63" s="447" t="s">
        <v>3986</v>
      </c>
      <c r="F63" s="447" t="s">
        <v>3987</v>
      </c>
      <c r="G63" s="447" t="s">
        <v>3988</v>
      </c>
      <c r="P63" s="39"/>
      <c r="Q63" s="39"/>
    </row>
    <row r="64" spans="1:17" ht="11.1" customHeight="1">
      <c r="B64" s="756" t="s">
        <v>232</v>
      </c>
      <c r="C64" s="770"/>
      <c r="D64" s="40" t="s">
        <v>1964</v>
      </c>
      <c r="E64" s="301"/>
      <c r="F64" s="301"/>
      <c r="G64" s="300">
        <f>E64-F64</f>
        <v>0</v>
      </c>
      <c r="P64" s="39"/>
      <c r="Q64" s="39"/>
    </row>
    <row r="65" spans="2:17" ht="11.1" customHeight="1">
      <c r="B65" s="754" t="s">
        <v>233</v>
      </c>
      <c r="C65" s="755"/>
      <c r="D65" s="40" t="s">
        <v>1965</v>
      </c>
      <c r="E65" s="301"/>
      <c r="F65" s="301"/>
      <c r="G65" s="300">
        <f>E65-F65</f>
        <v>0</v>
      </c>
      <c r="P65" s="39"/>
      <c r="Q65" s="39"/>
    </row>
    <row r="66" spans="2:17" ht="11.1" customHeight="1">
      <c r="B66" s="754" t="s">
        <v>1898</v>
      </c>
      <c r="C66" s="755"/>
      <c r="D66" s="40" t="s">
        <v>1966</v>
      </c>
      <c r="E66" s="301"/>
      <c r="F66" s="301"/>
      <c r="G66" s="300">
        <f>E66-F66</f>
        <v>0</v>
      </c>
      <c r="P66" s="39"/>
      <c r="Q66" s="39"/>
    </row>
    <row r="67" spans="2:17" ht="11.1" customHeight="1">
      <c r="B67" s="79" t="s">
        <v>825</v>
      </c>
      <c r="C67" s="80"/>
      <c r="D67" s="40" t="s">
        <v>1967</v>
      </c>
      <c r="E67" s="301"/>
      <c r="F67" s="301"/>
      <c r="G67" s="300">
        <f>E67-F67</f>
        <v>0</v>
      </c>
      <c r="P67" s="39"/>
      <c r="Q67" s="39"/>
    </row>
    <row r="68" spans="2:17">
      <c r="B68" s="775" t="s">
        <v>4341</v>
      </c>
      <c r="C68" s="809"/>
      <c r="D68" s="40" t="s">
        <v>1968</v>
      </c>
      <c r="E68" s="300">
        <f>+E67+E66+E65+E64</f>
        <v>0</v>
      </c>
      <c r="F68" s="300">
        <f>+F67+F66+F65+F64</f>
        <v>0</v>
      </c>
      <c r="G68" s="300">
        <f>+G67+G66+G65+G64</f>
        <v>0</v>
      </c>
      <c r="P68" s="39"/>
      <c r="Q68" s="39"/>
    </row>
    <row r="69" spans="2:17" ht="4.5" customHeight="1">
      <c r="B69" s="44"/>
      <c r="C69" s="45"/>
      <c r="D69" s="46"/>
      <c r="E69" s="47"/>
      <c r="F69" s="47"/>
      <c r="G69" s="359"/>
      <c r="P69" s="39"/>
      <c r="Q69" s="39"/>
    </row>
    <row r="70" spans="2:17" ht="30.75" customHeight="1">
      <c r="E70" s="812" t="str">
        <f>IF(F68&gt;E68,"Indique en observaciones porque el monto del impuesto a deducir es mayor al impuesto bruto","")</f>
        <v/>
      </c>
      <c r="F70" s="812"/>
      <c r="P70" s="39"/>
      <c r="Q70" s="39"/>
    </row>
    <row r="71" spans="2:17">
      <c r="E71" s="464"/>
      <c r="F71" s="464"/>
    </row>
  </sheetData>
  <sheetProtection password="D3CE" sheet="1" objects="1" scenarios="1" selectLockedCells="1"/>
  <dataConsolidate/>
  <mergeCells count="66">
    <mergeCell ref="B55:C55"/>
    <mergeCell ref="B56:C56"/>
    <mergeCell ref="F54:H54"/>
    <mergeCell ref="F55:H55"/>
    <mergeCell ref="F56:H56"/>
    <mergeCell ref="B22:C22"/>
    <mergeCell ref="B24:C24"/>
    <mergeCell ref="B33:C33"/>
    <mergeCell ref="B27:C27"/>
    <mergeCell ref="B31:C31"/>
    <mergeCell ref="E70:F70"/>
    <mergeCell ref="B57:C57"/>
    <mergeCell ref="B52:C52"/>
    <mergeCell ref="B53:C53"/>
    <mergeCell ref="B54:C54"/>
    <mergeCell ref="B11:C11"/>
    <mergeCell ref="B37:C37"/>
    <mergeCell ref="B68:C68"/>
    <mergeCell ref="B62:C62"/>
    <mergeCell ref="B64:C64"/>
    <mergeCell ref="B66:C66"/>
    <mergeCell ref="B65:C65"/>
    <mergeCell ref="B51:C51"/>
    <mergeCell ref="B39:C39"/>
    <mergeCell ref="B40:C40"/>
    <mergeCell ref="A1:D1"/>
    <mergeCell ref="J3:M3"/>
    <mergeCell ref="J6:M6"/>
    <mergeCell ref="B8:C8"/>
    <mergeCell ref="B9:C9"/>
    <mergeCell ref="B10:C10"/>
    <mergeCell ref="E1:F1"/>
    <mergeCell ref="F8:I8"/>
    <mergeCell ref="F9:I9"/>
    <mergeCell ref="H15:I16"/>
    <mergeCell ref="E15:F15"/>
    <mergeCell ref="J13:M13"/>
    <mergeCell ref="F32:H34"/>
    <mergeCell ref="G15:G16"/>
    <mergeCell ref="L4:M4"/>
    <mergeCell ref="B48:C49"/>
    <mergeCell ref="B19:C19"/>
    <mergeCell ref="B15:C16"/>
    <mergeCell ref="B50:C50"/>
    <mergeCell ref="B41:C41"/>
    <mergeCell ref="B36:C36"/>
    <mergeCell ref="B32:C32"/>
    <mergeCell ref="B38:C38"/>
    <mergeCell ref="B44:C44"/>
    <mergeCell ref="B42:C42"/>
    <mergeCell ref="B17:C17"/>
    <mergeCell ref="B25:C25"/>
    <mergeCell ref="B43:C43"/>
    <mergeCell ref="B34:C34"/>
    <mergeCell ref="B26:C26"/>
    <mergeCell ref="B20:C20"/>
    <mergeCell ref="B23:C23"/>
    <mergeCell ref="B35:C35"/>
    <mergeCell ref="B18:C18"/>
    <mergeCell ref="B21:C21"/>
    <mergeCell ref="F57:H57"/>
    <mergeCell ref="F50:H50"/>
    <mergeCell ref="F51:H51"/>
    <mergeCell ref="F52:H52"/>
    <mergeCell ref="F53:H53"/>
    <mergeCell ref="F48:H49"/>
  </mergeCells>
  <phoneticPr fontId="0" type="noConversion"/>
  <conditionalFormatting sqref="F8:I11">
    <cfRule type="expression" dxfId="5" priority="1" stopIfTrue="1">
      <formula>$L$7=3</formula>
    </cfRule>
  </conditionalFormatting>
  <conditionalFormatting sqref="F50:H57">
    <cfRule type="expression" dxfId="4" priority="2" stopIfTrue="1">
      <formula>$I$49=0</formula>
    </cfRule>
  </conditionalFormatting>
  <conditionalFormatting sqref="F48:H49">
    <cfRule type="expression" dxfId="3" priority="3" stopIfTrue="1">
      <formula>$I$49&lt;&gt;0</formula>
    </cfRule>
  </conditionalFormatting>
  <conditionalFormatting sqref="H15:I23">
    <cfRule type="expression" dxfId="2" priority="4" stopIfTrue="1">
      <formula>$M$25=1</formula>
    </cfRule>
  </conditionalFormatting>
  <dataValidations count="6">
    <dataValidation type="whole" operator="greaterThan" allowBlank="1" showInputMessage="1" showErrorMessage="1" error="Debe ingresar números positivos." sqref="E19:G20 G22:G23 E22:F24 E32:E36 E64:F67 E39:E43 E17:G17 E26:F27">
      <formula1>0</formula1>
    </dataValidation>
    <dataValidation type="whole" operator="lessThanOrEqual" showInputMessage="1" showErrorMessage="1" error="Debe ingresar datos numéricos. Rango de 1 a 365." sqref="E9">
      <formula1>365</formula1>
    </dataValidation>
    <dataValidation type="whole" allowBlank="1" showInputMessage="1" showErrorMessage="1" error="Debe ingresar un número, del 1 al 12." sqref="E10">
      <formula1>1</formula1>
      <formula2>12</formula2>
    </dataValidation>
    <dataValidation type="whole" allowBlank="1" showInputMessage="1" showErrorMessage="1" error="Debe de ingresar un número, entre 1 y 24." sqref="E11">
      <formula1>1</formula1>
      <formula2>24</formula2>
    </dataValidation>
    <dataValidation type="whole" operator="greaterThan" allowBlank="1" showInputMessage="1" showErrorMessage="1" error="Debe ingresar un número positivo." sqref="E50:E55">
      <formula1>0</formula1>
    </dataValidation>
    <dataValidation operator="greaterThan" allowBlank="1" showInputMessage="1" showErrorMessage="1" error="Debe ingresar un número positivo." sqref="E56"/>
  </dataValidations>
  <pageMargins left="0.36" right="0.75" top="0.39370078740157499" bottom="1" header="0" footer="0"/>
  <pageSetup paperSize="9" scale="93" orientation="portrait" r:id="rId1"/>
  <headerFooter alignWithMargins="0"/>
  <ignoredErrors>
    <ignoredError sqref="K9:K11 P17 P19:P20 P22:P2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9985" r:id="rId4" name="Button 49">
              <controlPr defaultSize="0" print="0" autoFill="0" autoPict="0" macro="[0]!Botón36_AlHacerClic">
                <anchor moveWithCells="1" sizeWithCells="1">
                  <from>
                    <xdr:col>6</xdr:col>
                    <xdr:colOff>409575</xdr:colOff>
                    <xdr:row>1</xdr:row>
                    <xdr:rowOff>66675</xdr:rowOff>
                  </from>
                  <to>
                    <xdr:col>6</xdr:col>
                    <xdr:colOff>1071563</xdr:colOff>
                    <xdr:row>3</xdr:row>
                    <xdr:rowOff>76200</xdr:rowOff>
                  </to>
                </anchor>
              </controlPr>
            </control>
          </mc:Choice>
        </mc:AlternateContent>
        <mc:AlternateContent xmlns:mc="http://schemas.openxmlformats.org/markup-compatibility/2006">
          <mc:Choice Requires="x14">
            <control shapeId="39997" r:id="rId5" name="Button 61">
              <controlPr defaultSize="0" print="0" autoFill="0" autoPict="0" macro="[0]!Otros_Botón1_AlHacerClic">
                <anchor moveWithCells="1" sizeWithCells="1">
                  <from>
                    <xdr:col>1</xdr:col>
                    <xdr:colOff>9525</xdr:colOff>
                    <xdr:row>55</xdr:row>
                    <xdr:rowOff>0</xdr:rowOff>
                  </from>
                  <to>
                    <xdr:col>2</xdr:col>
                    <xdr:colOff>533400</xdr:colOff>
                    <xdr:row>56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C4"/>
  <sheetViews>
    <sheetView workbookViewId="0"/>
  </sheetViews>
  <sheetFormatPr defaultRowHeight="12.75"/>
  <cols>
    <col min="1" max="256" width="10.6640625" customWidth="1"/>
  </cols>
  <sheetData>
    <row r="1" spans="1:3">
      <c r="A1">
        <v>12345654321</v>
      </c>
      <c r="B1" t="s">
        <v>2561</v>
      </c>
      <c r="C1" t="s">
        <v>1304</v>
      </c>
    </row>
    <row r="2" spans="1:3">
      <c r="A2">
        <v>12345654321</v>
      </c>
      <c r="B2" t="s">
        <v>2562</v>
      </c>
      <c r="C2" t="s">
        <v>3032</v>
      </c>
    </row>
    <row r="3" spans="1:3">
      <c r="A3">
        <v>12345654321</v>
      </c>
      <c r="B3" t="s">
        <v>2563</v>
      </c>
      <c r="C3" t="s">
        <v>1304</v>
      </c>
    </row>
    <row r="4" spans="1:3">
      <c r="A4">
        <v>12345654321</v>
      </c>
      <c r="B4" t="s">
        <v>2564</v>
      </c>
      <c r="C4" t="s">
        <v>3033</v>
      </c>
    </row>
  </sheetData>
  <customSheetViews>
    <customSheetView guid="{BADF0D91-0196-11D5-91C8-00485485D900}" state="hidden" showRuler="0">
      <pageMargins left="0.75" right="0.75" top="1" bottom="1" header="0" footer="0"/>
      <headerFooter alignWithMargins="0"/>
    </customSheetView>
  </customSheetViews>
  <phoneticPr fontId="0"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S1"/>
  <sheetViews>
    <sheetView workbookViewId="0">
      <selection activeCell="B20" sqref="B20"/>
    </sheetView>
  </sheetViews>
  <sheetFormatPr defaultRowHeight="12.75"/>
  <cols>
    <col min="1" max="256" width="10.6640625" customWidth="1"/>
  </cols>
  <sheetData>
    <row r="1" spans="1:45">
      <c r="A1">
        <v>12345654321</v>
      </c>
      <c r="B1">
        <v>1</v>
      </c>
      <c r="C1">
        <v>1</v>
      </c>
      <c r="D1">
        <v>1</v>
      </c>
      <c r="E1">
        <v>1</v>
      </c>
      <c r="F1">
        <v>0</v>
      </c>
      <c r="G1">
        <v>0</v>
      </c>
      <c r="H1">
        <v>0</v>
      </c>
      <c r="I1">
        <v>0</v>
      </c>
      <c r="J1">
        <v>0</v>
      </c>
      <c r="K1">
        <v>0</v>
      </c>
      <c r="L1">
        <v>1</v>
      </c>
      <c r="M1">
        <v>0</v>
      </c>
      <c r="N1">
        <v>1</v>
      </c>
      <c r="O1">
        <v>0</v>
      </c>
      <c r="P1">
        <v>0</v>
      </c>
      <c r="Q1">
        <v>0</v>
      </c>
      <c r="R1">
        <v>0</v>
      </c>
      <c r="S1">
        <v>0</v>
      </c>
      <c r="T1">
        <v>0</v>
      </c>
      <c r="U1">
        <v>0</v>
      </c>
      <c r="V1">
        <v>0</v>
      </c>
      <c r="W1">
        <v>1</v>
      </c>
      <c r="X1">
        <v>1</v>
      </c>
      <c r="Y1">
        <v>1</v>
      </c>
      <c r="Z1">
        <v>0</v>
      </c>
      <c r="AA1">
        <v>0</v>
      </c>
      <c r="AB1">
        <v>0</v>
      </c>
      <c r="AC1">
        <v>0</v>
      </c>
      <c r="AD1">
        <v>0</v>
      </c>
      <c r="AE1">
        <v>0</v>
      </c>
      <c r="AF1">
        <v>0</v>
      </c>
      <c r="AG1">
        <v>1</v>
      </c>
      <c r="AH1">
        <v>0</v>
      </c>
      <c r="AI1">
        <v>1</v>
      </c>
      <c r="AJ1">
        <v>1</v>
      </c>
      <c r="AK1">
        <v>1</v>
      </c>
      <c r="AL1">
        <v>0</v>
      </c>
      <c r="AM1">
        <v>0</v>
      </c>
      <c r="AN1">
        <v>0</v>
      </c>
      <c r="AO1">
        <v>0</v>
      </c>
      <c r="AP1">
        <v>0</v>
      </c>
      <c r="AQ1">
        <v>4</v>
      </c>
      <c r="AR1">
        <v>0</v>
      </c>
      <c r="AS1">
        <v>0</v>
      </c>
    </row>
  </sheetData>
  <customSheetViews>
    <customSheetView guid="{BADF0D91-0196-11D5-91C8-00485485D900}" state="hidden" showRuler="0">
      <selection activeCell="B20" sqref="B20"/>
      <pageMargins left="0.75" right="0.75" top="1" bottom="1" header="0" footer="0"/>
      <headerFooter alignWithMargins="0"/>
    </customSheetView>
  </customSheetViews>
  <phoneticPr fontId="0" type="noConversion"/>
  <pageMargins left="0.75" right="0.75" top="1" bottom="1" header="0" footer="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E1"/>
  <sheetViews>
    <sheetView workbookViewId="0"/>
  </sheetViews>
  <sheetFormatPr defaultRowHeight="12.75"/>
  <cols>
    <col min="1" max="256" width="10.6640625" customWidth="1"/>
  </cols>
  <sheetData>
    <row r="1" spans="1:5">
      <c r="A1">
        <v>12345654321</v>
      </c>
      <c r="B1" t="s">
        <v>2929</v>
      </c>
      <c r="C1" t="s">
        <v>4093</v>
      </c>
      <c r="D1">
        <v>5520</v>
      </c>
      <c r="E1" t="s">
        <v>1585</v>
      </c>
    </row>
  </sheetData>
  <customSheetViews>
    <customSheetView guid="{BADF0D91-0196-11D5-91C8-00485485D900}" state="hidden" showRuler="0">
      <pageMargins left="0.75" right="0.75" top="1" bottom="1" header="0" footer="0"/>
      <headerFooter alignWithMargins="0"/>
    </customSheetView>
  </customSheetViews>
  <phoneticPr fontId="0"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autoPageBreaks="0" fitToPage="1"/>
  </sheetPr>
  <dimension ref="A1:N48"/>
  <sheetViews>
    <sheetView showGridLines="0" showZeros="0" showOutlineSymbols="0" workbookViewId="0">
      <pane ySplit="5" topLeftCell="A6" activePane="bottomLeft" state="frozen"/>
      <selection activeCell="C48" sqref="C48:G48"/>
      <selection pane="bottomLeft" activeCell="B10" sqref="B10"/>
    </sheetView>
  </sheetViews>
  <sheetFormatPr defaultColWidth="11.3984375" defaultRowHeight="12.75"/>
  <cols>
    <col min="1" max="1" width="3.86328125" style="2" customWidth="1"/>
    <col min="2" max="2" width="25.3984375" style="2" customWidth="1"/>
    <col min="3" max="3" width="5" style="2" customWidth="1"/>
    <col min="4" max="4" width="9.86328125" style="2" customWidth="1"/>
    <col min="5" max="5" width="8" style="2" customWidth="1"/>
    <col min="6" max="6" width="11.265625" style="2" customWidth="1"/>
    <col min="7" max="7" width="13" style="2" customWidth="1"/>
    <col min="8" max="8" width="12.3984375" style="2" customWidth="1"/>
    <col min="9" max="9" width="9.265625" style="2" customWidth="1"/>
    <col min="10" max="10" width="48.59765625" style="2" customWidth="1"/>
    <col min="11" max="11" width="0.1328125" style="2" customWidth="1"/>
    <col min="12" max="12" width="2.1328125" style="2" customWidth="1"/>
    <col min="13" max="13" width="7.59765625" style="2" customWidth="1"/>
    <col min="14" max="16384" width="11.3984375" style="2"/>
  </cols>
  <sheetData>
    <row r="1" spans="1:14" ht="18.75" customHeight="1">
      <c r="A1" s="220"/>
      <c r="B1" s="220"/>
      <c r="C1" s="220"/>
      <c r="D1" s="220"/>
      <c r="E1" s="220"/>
      <c r="F1" s="220" t="s">
        <v>1899</v>
      </c>
      <c r="G1" s="220"/>
      <c r="H1" s="5"/>
      <c r="I1" s="5"/>
    </row>
    <row r="2" spans="1:14" ht="13.15">
      <c r="A2" s="5"/>
      <c r="B2" s="32"/>
      <c r="C2" s="26"/>
      <c r="D2" s="5"/>
      <c r="E2" s="5"/>
      <c r="F2" s="5"/>
      <c r="G2" s="5"/>
      <c r="H2" s="5"/>
      <c r="I2" s="5"/>
    </row>
    <row r="3" spans="1:14" ht="10.5" customHeight="1">
      <c r="A3" s="5"/>
      <c r="B3" s="5"/>
      <c r="C3" s="8"/>
      <c r="D3" s="8"/>
      <c r="E3" s="8"/>
      <c r="F3" s="5"/>
      <c r="G3" s="5"/>
      <c r="H3" s="5"/>
      <c r="I3" s="5"/>
    </row>
    <row r="4" spans="1:14" ht="18.75" customHeight="1">
      <c r="B4" s="63" t="str">
        <f>"RUC : "&amp;'Cap01'!C12&amp;"   "&amp;'Cap01'!E12</f>
        <v xml:space="preserve">RUC :    </v>
      </c>
      <c r="C4" s="63"/>
      <c r="D4" s="63"/>
      <c r="E4" s="63"/>
      <c r="F4" s="63"/>
      <c r="G4" s="63"/>
      <c r="H4" s="5"/>
      <c r="I4" s="5"/>
    </row>
    <row r="5" spans="1:14" ht="8.25" customHeight="1">
      <c r="A5" s="5"/>
      <c r="B5" s="32"/>
      <c r="C5" s="82"/>
      <c r="D5" s="24"/>
      <c r="E5" s="24"/>
      <c r="F5" s="5"/>
      <c r="G5" s="5"/>
      <c r="H5" s="5"/>
      <c r="I5" s="5"/>
    </row>
    <row r="6" spans="1:14" ht="13.15">
      <c r="A6" s="5"/>
      <c r="B6" s="262" t="str">
        <f>CONCATENATE("CAPITULO  7: PRODUCCION ANUAL EN EL AÑO ",'Cap01'!A1)</f>
        <v>CAPITULO  7: PRODUCCION ANUAL EN EL AÑO 2006</v>
      </c>
      <c r="C6" s="70"/>
      <c r="D6" s="70"/>
      <c r="E6" s="83"/>
      <c r="G6" s="5"/>
      <c r="H6" s="5"/>
      <c r="I6" s="5"/>
    </row>
    <row r="7" spans="1:14" ht="12" customHeight="1">
      <c r="A7" s="3"/>
      <c r="B7" s="66" t="s">
        <v>4026</v>
      </c>
      <c r="C7" s="73"/>
      <c r="D7" s="73"/>
      <c r="E7" s="74"/>
      <c r="F7" s="5"/>
      <c r="G7" s="5"/>
      <c r="H7" s="5"/>
      <c r="I7" s="5"/>
    </row>
    <row r="8" spans="1:14" ht="18" customHeight="1">
      <c r="A8" s="3"/>
      <c r="B8" s="760" t="s">
        <v>1101</v>
      </c>
      <c r="C8" s="821" t="s">
        <v>1963</v>
      </c>
      <c r="D8" s="819" t="s">
        <v>1746</v>
      </c>
      <c r="E8" s="813" t="s">
        <v>1747</v>
      </c>
      <c r="F8" s="815" t="s">
        <v>1748</v>
      </c>
      <c r="G8" s="816"/>
      <c r="H8" s="817"/>
      <c r="I8" s="813" t="s">
        <v>1874</v>
      </c>
      <c r="J8" s="779" t="s">
        <v>728</v>
      </c>
      <c r="K8" s="780"/>
      <c r="L8" s="363"/>
      <c r="M8" s="364" t="s">
        <v>543</v>
      </c>
      <c r="N8" s="363"/>
    </row>
    <row r="9" spans="1:14" ht="26.25" customHeight="1">
      <c r="A9" s="3"/>
      <c r="B9" s="762"/>
      <c r="C9" s="822"/>
      <c r="D9" s="820"/>
      <c r="E9" s="814"/>
      <c r="F9" s="440" t="s">
        <v>1871</v>
      </c>
      <c r="G9" s="450" t="s">
        <v>1872</v>
      </c>
      <c r="H9" s="450" t="s">
        <v>1873</v>
      </c>
      <c r="I9" s="814"/>
      <c r="J9" s="781"/>
      <c r="K9" s="782"/>
      <c r="L9" s="363"/>
      <c r="M9" s="364">
        <f>SUM(M10:M19)</f>
        <v>0</v>
      </c>
      <c r="N9" s="363"/>
    </row>
    <row r="10" spans="1:14" ht="13.5" customHeight="1">
      <c r="A10" s="3"/>
      <c r="B10" s="101"/>
      <c r="C10" s="40" t="s">
        <v>1964</v>
      </c>
      <c r="D10" s="99"/>
      <c r="E10" s="103"/>
      <c r="F10" s="256">
        <f>IF(G10&gt;0,+ROUND(H10/G10,2),0)</f>
        <v>0</v>
      </c>
      <c r="G10" s="404"/>
      <c r="H10" s="222"/>
      <c r="I10" s="309"/>
      <c r="J10" s="347" t="str">
        <f t="shared" ref="J10:J19" si="0">IF(OR(AND(B10="",G10&gt;0),AND(B10="",H10&gt;0),AND(B10="",I10&gt;0)),"Ingrese Nombre de Productos",IF(AND(B10&lt;&gt;"",I10=0,G10=0,H10=0),"Ingrese Cantidad y Valor Total ó Cantidad Prod. Por Terceros",IF(AND(B10&lt;&gt;"",G10&gt;0,H10=0,I10=0),"Ingrese Valor Total",IF(AND(B10&lt;&gt;"",G10=0,H10&gt;0,I10=0),"Ingrese Cantidad Total",""))))</f>
        <v/>
      </c>
      <c r="K10" s="348"/>
      <c r="L10" s="363"/>
      <c r="M10" s="364">
        <f>IF(J10&lt;&gt;"",1,0)</f>
        <v>0</v>
      </c>
      <c r="N10" s="363"/>
    </row>
    <row r="11" spans="1:14" ht="13.5" customHeight="1">
      <c r="A11" s="3"/>
      <c r="B11" s="101"/>
      <c r="C11" s="40" t="s">
        <v>1965</v>
      </c>
      <c r="D11" s="99"/>
      <c r="E11" s="103"/>
      <c r="F11" s="256">
        <f t="shared" ref="F11:F19" si="1">IF(G11&gt;0,+ROUND(H11/G11,2),0)</f>
        <v>0</v>
      </c>
      <c r="G11" s="404"/>
      <c r="H11" s="222"/>
      <c r="I11" s="309"/>
      <c r="J11" s="347" t="str">
        <f t="shared" si="0"/>
        <v/>
      </c>
      <c r="K11" s="348"/>
      <c r="L11" s="363"/>
      <c r="M11" s="364">
        <f t="shared" ref="M11:M19" si="2">IF(J11&lt;&gt;"",1,0)</f>
        <v>0</v>
      </c>
      <c r="N11" s="363"/>
    </row>
    <row r="12" spans="1:14" ht="13.5" customHeight="1">
      <c r="A12" s="3"/>
      <c r="B12" s="101"/>
      <c r="C12" s="40" t="s">
        <v>1966</v>
      </c>
      <c r="D12" s="99"/>
      <c r="E12" s="103"/>
      <c r="F12" s="256">
        <f t="shared" si="1"/>
        <v>0</v>
      </c>
      <c r="G12" s="404"/>
      <c r="H12" s="222"/>
      <c r="I12" s="309"/>
      <c r="J12" s="347" t="str">
        <f t="shared" si="0"/>
        <v/>
      </c>
      <c r="K12" s="348"/>
      <c r="L12" s="363"/>
      <c r="M12" s="364">
        <f t="shared" si="2"/>
        <v>0</v>
      </c>
      <c r="N12" s="363"/>
    </row>
    <row r="13" spans="1:14" ht="13.5" customHeight="1">
      <c r="A13" s="3"/>
      <c r="B13" s="101"/>
      <c r="C13" s="40" t="s">
        <v>1967</v>
      </c>
      <c r="D13" s="99"/>
      <c r="E13" s="103"/>
      <c r="F13" s="256">
        <f t="shared" si="1"/>
        <v>0</v>
      </c>
      <c r="G13" s="404"/>
      <c r="H13" s="222"/>
      <c r="I13" s="309"/>
      <c r="J13" s="347" t="str">
        <f t="shared" si="0"/>
        <v/>
      </c>
      <c r="K13" s="348"/>
      <c r="L13" s="363"/>
      <c r="M13" s="364">
        <f t="shared" si="2"/>
        <v>0</v>
      </c>
      <c r="N13" s="363"/>
    </row>
    <row r="14" spans="1:14" ht="13.5" customHeight="1">
      <c r="A14" s="3"/>
      <c r="B14" s="101"/>
      <c r="C14" s="40" t="s">
        <v>1968</v>
      </c>
      <c r="D14" s="99"/>
      <c r="E14" s="103"/>
      <c r="F14" s="256">
        <f t="shared" si="1"/>
        <v>0</v>
      </c>
      <c r="G14" s="404"/>
      <c r="H14" s="222"/>
      <c r="I14" s="309"/>
      <c r="J14" s="347" t="str">
        <f t="shared" si="0"/>
        <v/>
      </c>
      <c r="K14" s="348"/>
      <c r="L14" s="363"/>
      <c r="M14" s="364">
        <f t="shared" si="2"/>
        <v>0</v>
      </c>
      <c r="N14" s="363"/>
    </row>
    <row r="15" spans="1:14" ht="13.5" customHeight="1">
      <c r="A15" s="3"/>
      <c r="B15" s="101"/>
      <c r="C15" s="40" t="s">
        <v>1969</v>
      </c>
      <c r="D15" s="99"/>
      <c r="E15" s="103"/>
      <c r="F15" s="256">
        <f t="shared" si="1"/>
        <v>0</v>
      </c>
      <c r="G15" s="404"/>
      <c r="H15" s="222"/>
      <c r="I15" s="309"/>
      <c r="J15" s="347" t="str">
        <f t="shared" si="0"/>
        <v/>
      </c>
      <c r="K15" s="348"/>
      <c r="L15" s="363"/>
      <c r="M15" s="364">
        <f t="shared" si="2"/>
        <v>0</v>
      </c>
      <c r="N15" s="363"/>
    </row>
    <row r="16" spans="1:14" ht="13.5" customHeight="1">
      <c r="A16" s="3"/>
      <c r="B16" s="403"/>
      <c r="C16" s="40" t="s">
        <v>1970</v>
      </c>
      <c r="D16" s="99"/>
      <c r="E16" s="103"/>
      <c r="F16" s="256">
        <f t="shared" si="1"/>
        <v>0</v>
      </c>
      <c r="G16" s="404"/>
      <c r="H16" s="222"/>
      <c r="I16" s="309"/>
      <c r="J16" s="347" t="str">
        <f t="shared" si="0"/>
        <v/>
      </c>
      <c r="K16" s="348"/>
      <c r="L16" s="363"/>
      <c r="M16" s="364">
        <f t="shared" si="2"/>
        <v>0</v>
      </c>
      <c r="N16" s="363"/>
    </row>
    <row r="17" spans="1:14" ht="13.5" customHeight="1">
      <c r="A17" s="3"/>
      <c r="B17" s="102"/>
      <c r="C17" s="40" t="s">
        <v>1971</v>
      </c>
      <c r="D17" s="99"/>
      <c r="E17" s="103"/>
      <c r="F17" s="256">
        <f t="shared" si="1"/>
        <v>0</v>
      </c>
      <c r="G17" s="404"/>
      <c r="H17" s="222"/>
      <c r="I17" s="309"/>
      <c r="J17" s="347" t="str">
        <f t="shared" si="0"/>
        <v/>
      </c>
      <c r="K17" s="348"/>
      <c r="L17" s="363"/>
      <c r="M17" s="364">
        <f t="shared" si="2"/>
        <v>0</v>
      </c>
      <c r="N17" s="363"/>
    </row>
    <row r="18" spans="1:14" ht="13.5" customHeight="1">
      <c r="A18" s="3"/>
      <c r="B18" s="102"/>
      <c r="C18" s="40" t="s">
        <v>1972</v>
      </c>
      <c r="D18" s="99"/>
      <c r="E18" s="103"/>
      <c r="F18" s="256">
        <f t="shared" si="1"/>
        <v>0</v>
      </c>
      <c r="G18" s="404"/>
      <c r="H18" s="222"/>
      <c r="I18" s="309"/>
      <c r="J18" s="347" t="str">
        <f t="shared" si="0"/>
        <v/>
      </c>
      <c r="K18" s="348"/>
      <c r="L18" s="363"/>
      <c r="M18" s="364">
        <f t="shared" si="2"/>
        <v>0</v>
      </c>
      <c r="N18" s="363"/>
    </row>
    <row r="19" spans="1:14" ht="13.5" customHeight="1">
      <c r="A19" s="3"/>
      <c r="B19" s="102"/>
      <c r="C19" s="40" t="s">
        <v>1973</v>
      </c>
      <c r="D19" s="99"/>
      <c r="E19" s="103"/>
      <c r="F19" s="256">
        <f t="shared" si="1"/>
        <v>0</v>
      </c>
      <c r="G19" s="404"/>
      <c r="H19" s="222"/>
      <c r="I19" s="309"/>
      <c r="J19" s="349" t="str">
        <f t="shared" si="0"/>
        <v/>
      </c>
      <c r="K19" s="350"/>
      <c r="L19" s="363"/>
      <c r="M19" s="364">
        <f t="shared" si="2"/>
        <v>0</v>
      </c>
      <c r="N19" s="363"/>
    </row>
    <row r="20" spans="1:14" ht="12.75" customHeight="1">
      <c r="A20" s="3"/>
      <c r="B20" s="275" t="s">
        <v>3173</v>
      </c>
      <c r="C20" s="40" t="s">
        <v>1974</v>
      </c>
      <c r="D20" s="263"/>
      <c r="E20" s="264"/>
      <c r="F20" s="265"/>
      <c r="G20" s="265"/>
      <c r="H20" s="297">
        <f>+Anexo2!H51</f>
        <v>0</v>
      </c>
      <c r="I20" s="293"/>
      <c r="L20" s="363"/>
      <c r="M20" s="363"/>
      <c r="N20" s="363"/>
    </row>
    <row r="21" spans="1:14" ht="13.5" customHeight="1">
      <c r="A21" s="3"/>
      <c r="B21" s="98" t="s">
        <v>1064</v>
      </c>
      <c r="C21" s="40" t="s">
        <v>1975</v>
      </c>
      <c r="D21" s="263"/>
      <c r="E21" s="266"/>
      <c r="F21" s="267"/>
      <c r="G21" s="294"/>
      <c r="H21" s="297">
        <f>SUM(H10:H20)</f>
        <v>0</v>
      </c>
      <c r="I21" s="295"/>
    </row>
    <row r="22" spans="1:14">
      <c r="A22" s="5"/>
      <c r="B22" s="42"/>
      <c r="C22" s="43"/>
      <c r="D22" s="6"/>
      <c r="E22" s="8"/>
      <c r="F22" s="5"/>
      <c r="G22" s="5"/>
      <c r="H22" s="269"/>
      <c r="I22" s="493">
        <f>SUM(I10:I19)</f>
        <v>0</v>
      </c>
    </row>
    <row r="23" spans="1:14" ht="24" customHeight="1">
      <c r="A23" s="5"/>
      <c r="B23" s="5"/>
      <c r="C23" s="5"/>
      <c r="D23" s="5"/>
      <c r="E23" s="5"/>
      <c r="F23" s="5"/>
      <c r="G23" s="5"/>
      <c r="H23" s="5"/>
      <c r="I23" s="493">
        <f>+Anexo2!I52</f>
        <v>0</v>
      </c>
    </row>
    <row r="24" spans="1:14" ht="13.15">
      <c r="A24" s="5"/>
      <c r="B24" s="262" t="str">
        <f>CONCATENATE("CAPITULO  8: TOTAL DE ACTIVO FIJO E INVERSIÓN EN EL AÑO ",'Cap01'!A1)</f>
        <v>CAPITULO  8: TOTAL DE ACTIVO FIJO E INVERSIÓN EN EL AÑO 2006</v>
      </c>
      <c r="C24" s="81"/>
      <c r="D24" s="81"/>
      <c r="E24" s="5"/>
      <c r="F24" s="5"/>
      <c r="H24" s="818"/>
      <c r="I24" s="493">
        <f>SUM(I22:I23)</f>
        <v>0</v>
      </c>
    </row>
    <row r="25" spans="1:14">
      <c r="A25" s="3"/>
      <c r="B25" s="66" t="s">
        <v>4026</v>
      </c>
      <c r="C25" s="5"/>
      <c r="D25" s="5"/>
      <c r="E25" s="5"/>
      <c r="F25" s="5"/>
      <c r="G25" s="5"/>
      <c r="H25" s="818"/>
      <c r="I25" s="5"/>
    </row>
    <row r="26" spans="1:14" ht="20.25" customHeight="1">
      <c r="A26" s="3"/>
      <c r="B26" s="760" t="str">
        <f>CONCATENATE("SALDOS INICIALES DE ACTIVO FIJO AL 01.01.", 'Cap01'!A1)</f>
        <v>SALDOS INICIALES DE ACTIVO FIJO AL 01.01.2006</v>
      </c>
      <c r="C26" s="821" t="s">
        <v>1963</v>
      </c>
      <c r="D26" s="823" t="str">
        <f>CONCATENATE("COMPRAS EN EL", 'Cap01'!A1)</f>
        <v>COMPRAS EN EL2006</v>
      </c>
      <c r="E26" s="824"/>
      <c r="F26" s="813" t="s">
        <v>4023</v>
      </c>
      <c r="G26" s="789" t="str">
        <f>CONCATENATE("SALDOS FINALES DE ACTIVOS FIJOS AL 31.12.",'Cap01'!A1)</f>
        <v>SALDOS FINALES DE ACTIVOS FIJOS AL 31.12.2006</v>
      </c>
      <c r="H26" s="789" t="str">
        <f>CONCATENATE("SALDOS FINALES DE DEPRECIAC. AL 31.12.",'Cap01'!A1)</f>
        <v>SALDOS FINALES DE DEPRECIAC. AL 31.12.2006</v>
      </c>
      <c r="I26" s="5"/>
    </row>
    <row r="27" spans="1:14" ht="24" customHeight="1">
      <c r="A27" s="3"/>
      <c r="B27" s="762"/>
      <c r="C27" s="822"/>
      <c r="D27" s="451" t="s">
        <v>4024</v>
      </c>
      <c r="E27" s="450" t="s">
        <v>4025</v>
      </c>
      <c r="F27" s="814"/>
      <c r="G27" s="790"/>
      <c r="H27" s="790"/>
      <c r="I27" s="5"/>
    </row>
    <row r="28" spans="1:14" ht="20.25" customHeight="1">
      <c r="A28" s="3"/>
      <c r="B28" s="307"/>
      <c r="C28" s="111" t="s">
        <v>1964</v>
      </c>
      <c r="D28" s="308"/>
      <c r="E28" s="222"/>
      <c r="F28" s="222"/>
      <c r="G28" s="297">
        <f>+B28+D28+E28-F28</f>
        <v>0</v>
      </c>
      <c r="H28" s="222"/>
      <c r="I28" s="313" t="str">
        <f>IF(AND(G28&lt;H28),"Error:  El saldo de Act. Fijo debe ser &gt;= saldo de la Depreciación",IF(AND(G28=H28),""," "))</f>
        <v/>
      </c>
      <c r="J28" s="96"/>
    </row>
    <row r="29" spans="1:14" ht="6" customHeight="1">
      <c r="A29" s="3"/>
      <c r="B29" s="42"/>
      <c r="C29" s="43"/>
      <c r="D29" s="6"/>
      <c r="E29" s="5"/>
      <c r="F29" s="5"/>
      <c r="G29" s="5"/>
      <c r="H29" s="5"/>
      <c r="I29" s="5"/>
    </row>
    <row r="30" spans="1:14" ht="30" customHeight="1">
      <c r="A30" s="5"/>
      <c r="B30" s="42"/>
      <c r="C30" s="43"/>
      <c r="D30" s="6"/>
      <c r="E30" s="5"/>
      <c r="F30" s="5"/>
      <c r="G30" s="5"/>
      <c r="H30" s="5"/>
      <c r="I30" s="5"/>
    </row>
    <row r="31" spans="1:14" ht="13.15">
      <c r="A31" s="5"/>
      <c r="B31" s="262" t="str">
        <f>CONCATENATE("CAPITULO  9: FACTORES QUE AFECTARON EL DESARROLLO DE LA EMPRESA EN EL AÑO ",'Cap01'!A1)</f>
        <v>CAPITULO  9: FACTORES QUE AFECTARON EL DESARROLLO DE LA EMPRESA EN EL AÑO 2006</v>
      </c>
      <c r="C31" s="43"/>
      <c r="D31" s="6"/>
      <c r="E31" s="5"/>
      <c r="F31" s="5"/>
      <c r="G31" s="5"/>
      <c r="H31" s="5"/>
      <c r="I31" s="5"/>
    </row>
    <row r="32" spans="1:14" ht="18.75" customHeight="1">
      <c r="A32" s="5"/>
      <c r="B32" s="91" t="s">
        <v>3276</v>
      </c>
      <c r="C32" s="43"/>
      <c r="D32" s="6"/>
      <c r="E32" s="5"/>
      <c r="F32" s="5"/>
      <c r="G32" s="5"/>
      <c r="H32" s="5"/>
      <c r="I32" s="5"/>
    </row>
    <row r="33" spans="1:9">
      <c r="A33" s="105"/>
      <c r="B33" s="825" t="s">
        <v>3277</v>
      </c>
      <c r="C33" s="826"/>
      <c r="D33" s="826"/>
      <c r="E33" s="826"/>
      <c r="F33" s="826"/>
      <c r="G33" s="827"/>
      <c r="H33" s="5"/>
      <c r="I33" s="5"/>
    </row>
    <row r="34" spans="1:9" ht="3.75" customHeight="1">
      <c r="A34" s="105">
        <f>IF(TabOrgJ!F1=FALSE,0,1)</f>
        <v>0</v>
      </c>
      <c r="B34" s="367"/>
      <c r="C34" s="368"/>
      <c r="D34" s="368"/>
      <c r="E34" s="368"/>
      <c r="F34" s="368"/>
      <c r="G34" s="369"/>
      <c r="H34" s="5"/>
      <c r="I34" s="5"/>
    </row>
    <row r="35" spans="1:9" ht="5.25" customHeight="1">
      <c r="A35" s="105">
        <f>IF(TabOrgJ!F2=FALSE,0,1)</f>
        <v>0</v>
      </c>
      <c r="B35" s="106"/>
      <c r="C35" s="8"/>
      <c r="D35" s="8"/>
      <c r="E35" s="8"/>
      <c r="F35" s="8"/>
      <c r="G35" s="10"/>
      <c r="H35" s="5"/>
      <c r="I35" s="5"/>
    </row>
    <row r="36" spans="1:9">
      <c r="A36" s="105">
        <f>IF(TabOrgJ!F3=FALSE,0,1)</f>
        <v>0</v>
      </c>
      <c r="B36" s="106"/>
      <c r="C36" s="8"/>
      <c r="D36" s="74"/>
      <c r="E36" s="74"/>
      <c r="F36" s="8"/>
      <c r="G36" s="10"/>
      <c r="H36" s="5"/>
      <c r="I36" s="5"/>
    </row>
    <row r="37" spans="1:9">
      <c r="A37" s="105">
        <f>IF(TabOrgJ!F4=FALSE,0,1)</f>
        <v>0</v>
      </c>
      <c r="B37" s="106"/>
      <c r="C37" s="8"/>
      <c r="D37" s="74"/>
      <c r="E37" s="74"/>
      <c r="F37" s="8"/>
      <c r="G37" s="10"/>
      <c r="H37" s="5"/>
      <c r="I37" s="5"/>
    </row>
    <row r="38" spans="1:9">
      <c r="A38" s="105">
        <f>IF(TabOrgJ!F5=FALSE,0,1)</f>
        <v>0</v>
      </c>
      <c r="B38" s="106"/>
      <c r="C38" s="8"/>
      <c r="D38" s="74"/>
      <c r="E38" s="74"/>
      <c r="F38" s="8"/>
      <c r="G38" s="10"/>
      <c r="H38" s="5"/>
      <c r="I38" s="5"/>
    </row>
    <row r="39" spans="1:9">
      <c r="A39" s="105">
        <f>IF(TabOrgJ!F6=FALSE,0,1)</f>
        <v>0</v>
      </c>
      <c r="B39" s="106"/>
      <c r="C39" s="8"/>
      <c r="D39" s="74"/>
      <c r="E39" s="74"/>
      <c r="F39" s="8"/>
      <c r="G39" s="10"/>
      <c r="H39" s="5"/>
      <c r="I39" s="5"/>
    </row>
    <row r="40" spans="1:9">
      <c r="A40" s="105">
        <f>IF(TabOrgJ!F7=FALSE,0,1)</f>
        <v>0</v>
      </c>
      <c r="B40" s="106"/>
      <c r="C40" s="8"/>
      <c r="D40" s="74"/>
      <c r="E40" s="74"/>
      <c r="F40" s="8"/>
      <c r="G40" s="10"/>
      <c r="H40" s="5"/>
      <c r="I40" s="5"/>
    </row>
    <row r="41" spans="1:9">
      <c r="A41" s="105">
        <f>IF(TabOrgJ!F8=FALSE,0,1)</f>
        <v>0</v>
      </c>
      <c r="B41" s="106"/>
      <c r="C41" s="8"/>
      <c r="D41" s="74"/>
      <c r="E41" s="74"/>
      <c r="F41" s="8"/>
      <c r="G41" s="10"/>
      <c r="H41" s="5"/>
      <c r="I41" s="5"/>
    </row>
    <row r="42" spans="1:9">
      <c r="A42" s="105">
        <f>IF(TabOrgJ!F9=FALSE,0,1)</f>
        <v>0</v>
      </c>
      <c r="B42" s="106"/>
      <c r="C42" s="8"/>
      <c r="D42" s="74"/>
      <c r="E42" s="74"/>
      <c r="F42" s="8"/>
      <c r="G42" s="10"/>
      <c r="H42" s="5"/>
      <c r="I42" s="5"/>
    </row>
    <row r="43" spans="1:9">
      <c r="A43" s="105">
        <f>IF(TabOrgJ!F10=FALSE,0,1)</f>
        <v>0</v>
      </c>
      <c r="B43" s="106"/>
      <c r="C43" s="8"/>
      <c r="D43" s="74"/>
      <c r="E43" s="74"/>
      <c r="F43" s="8"/>
      <c r="G43" s="10"/>
      <c r="H43" s="5"/>
      <c r="I43" s="5"/>
    </row>
    <row r="44" spans="1:9">
      <c r="A44" s="105">
        <f>IF(TabOrgJ!F11=FALSE,0,1)</f>
        <v>0</v>
      </c>
      <c r="B44" s="106"/>
      <c r="C44" s="8"/>
      <c r="D44" s="74"/>
      <c r="E44" s="74"/>
      <c r="F44" s="8"/>
      <c r="G44" s="10"/>
      <c r="H44" s="5"/>
      <c r="I44" s="5"/>
    </row>
    <row r="45" spans="1:9">
      <c r="A45" s="105">
        <f>IF(TabOrgJ!F12=FALSE,0,1)</f>
        <v>0</v>
      </c>
      <c r="B45" s="107"/>
      <c r="C45" s="31"/>
      <c r="D45" s="31"/>
      <c r="E45" s="31"/>
      <c r="F45" s="31"/>
      <c r="G45" s="11"/>
      <c r="H45" s="5"/>
      <c r="I45" s="5"/>
    </row>
    <row r="46" spans="1:9" ht="13.15">
      <c r="A46" s="114"/>
      <c r="B46" s="20"/>
      <c r="C46" s="43"/>
      <c r="D46" s="6"/>
      <c r="E46" s="5"/>
      <c r="F46" s="5"/>
      <c r="G46" s="5"/>
      <c r="H46" s="5"/>
      <c r="I46" s="5"/>
    </row>
    <row r="47" spans="1:9">
      <c r="A47" s="3"/>
      <c r="B47" s="54"/>
      <c r="C47" s="92"/>
      <c r="D47" s="54"/>
      <c r="E47" s="104"/>
      <c r="F47" s="104"/>
      <c r="G47" s="5"/>
      <c r="H47" s="5"/>
      <c r="I47" s="5"/>
    </row>
    <row r="48" spans="1:9">
      <c r="A48" s="5"/>
      <c r="B48" s="5"/>
      <c r="C48" s="5"/>
      <c r="D48" s="5"/>
      <c r="E48" s="5"/>
      <c r="F48" s="5"/>
      <c r="G48" s="5"/>
      <c r="H48" s="5"/>
      <c r="I48" s="5"/>
    </row>
  </sheetData>
  <sheetProtection password="D3CE" sheet="1" objects="1" scenarios="1" selectLockedCells="1"/>
  <mergeCells count="15">
    <mergeCell ref="B33:G33"/>
    <mergeCell ref="B8:B9"/>
    <mergeCell ref="D8:D9"/>
    <mergeCell ref="C8:C9"/>
    <mergeCell ref="E8:E9"/>
    <mergeCell ref="B26:B27"/>
    <mergeCell ref="C26:C27"/>
    <mergeCell ref="D26:E26"/>
    <mergeCell ref="H26:H27"/>
    <mergeCell ref="J8:K9"/>
    <mergeCell ref="F26:F27"/>
    <mergeCell ref="G26:G27"/>
    <mergeCell ref="I8:I9"/>
    <mergeCell ref="F8:H8"/>
    <mergeCell ref="H24:H25"/>
  </mergeCells>
  <phoneticPr fontId="0" type="noConversion"/>
  <dataValidations count="7">
    <dataValidation type="decimal" operator="greaterThan" allowBlank="1" showInputMessage="1" showErrorMessage="1" error="Debe ingresar números positivos." sqref="F20:G20">
      <formula1>0</formula1>
    </dataValidation>
    <dataValidation type="whole" operator="greaterThan" allowBlank="1" showInputMessage="1" showErrorMessage="1" error="Debe ingresar números positivos." sqref="D28:F28 B28 H28">
      <formula1>0</formula1>
    </dataValidation>
    <dataValidation type="textLength" operator="equal" allowBlank="1" showInputMessage="1" showErrorMessage="1" error="Debe de ingresar el código NANDINA a 10 dígitos." sqref="D10:D19">
      <formula1>10</formula1>
    </dataValidation>
    <dataValidation type="decimal" operator="greaterThanOrEqual" allowBlank="1" showInputMessage="1" showErrorMessage="1" sqref="G10:G19">
      <formula1>0</formula1>
    </dataValidation>
    <dataValidation operator="greaterThanOrEqual" allowBlank="1" showInputMessage="1" showErrorMessage="1" error="Debe ingresar números positivos." sqref="F10:F19"/>
    <dataValidation type="whole" operator="greaterThanOrEqual" allowBlank="1" showInputMessage="1" showErrorMessage="1" error="Debe ingresar números enteros sin decimales." sqref="H10:H19">
      <formula1>0</formula1>
    </dataValidation>
    <dataValidation type="whole" operator="greaterThanOrEqual" allowBlank="1" showInputMessage="1" showErrorMessage="1" errorTitle="ERROR" error="Ingresar solo datos numericos" sqref="I10:I19">
      <formula1>0</formula1>
    </dataValidation>
  </dataValidations>
  <pageMargins left="0.39370078740157499" right="0.75" top="0.39370078740157499" bottom="1" header="0" footer="0"/>
  <pageSetup paperSize="9" scale="94" orientation="portrait" horizontalDpi="300" verticalDpi="300" r:id="rId1"/>
  <headerFooter alignWithMargins="0"/>
  <cellWatches>
    <cellWatch r="G12"/>
  </cellWatches>
  <ignoredErrors>
    <ignoredError sqref="C17 C13:C1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40990" r:id="rId4" name="Button 30">
              <controlPr defaultSize="0" print="0" autoFill="0" autoPict="0" macro="[0]!Botón36_AlHacerClic">
                <anchor moveWithCells="1" sizeWithCells="1">
                  <from>
                    <xdr:col>7</xdr:col>
                    <xdr:colOff>528638</xdr:colOff>
                    <xdr:row>1</xdr:row>
                    <xdr:rowOff>157163</xdr:rowOff>
                  </from>
                  <to>
                    <xdr:col>8</xdr:col>
                    <xdr:colOff>528638</xdr:colOff>
                    <xdr:row>3</xdr:row>
                    <xdr:rowOff>171450</xdr:rowOff>
                  </to>
                </anchor>
              </controlPr>
            </control>
          </mc:Choice>
        </mc:AlternateContent>
        <mc:AlternateContent xmlns:mc="http://schemas.openxmlformats.org/markup-compatibility/2006">
          <mc:Choice Requires="x14">
            <control shapeId="41008" r:id="rId5" name="Check Box 48">
              <controlPr defaultSize="0" autoFill="0" autoLine="0" autoPict="0">
                <anchor moveWithCells="1">
                  <from>
                    <xdr:col>1</xdr:col>
                    <xdr:colOff>80963</xdr:colOff>
                    <xdr:row>35</xdr:row>
                    <xdr:rowOff>0</xdr:rowOff>
                  </from>
                  <to>
                    <xdr:col>3</xdr:col>
                    <xdr:colOff>223838</xdr:colOff>
                    <xdr:row>36</xdr:row>
                    <xdr:rowOff>57150</xdr:rowOff>
                  </to>
                </anchor>
              </controlPr>
            </control>
          </mc:Choice>
        </mc:AlternateContent>
        <mc:AlternateContent xmlns:mc="http://schemas.openxmlformats.org/markup-compatibility/2006">
          <mc:Choice Requires="x14">
            <control shapeId="41009" r:id="rId6" name="Check Box 49">
              <controlPr defaultSize="0" autoFill="0" autoLine="0" autoPict="0">
                <anchor moveWithCells="1">
                  <from>
                    <xdr:col>1</xdr:col>
                    <xdr:colOff>80963</xdr:colOff>
                    <xdr:row>36</xdr:row>
                    <xdr:rowOff>85725</xdr:rowOff>
                  </from>
                  <to>
                    <xdr:col>3</xdr:col>
                    <xdr:colOff>223838</xdr:colOff>
                    <xdr:row>37</xdr:row>
                    <xdr:rowOff>142875</xdr:rowOff>
                  </to>
                </anchor>
              </controlPr>
            </control>
          </mc:Choice>
        </mc:AlternateContent>
        <mc:AlternateContent xmlns:mc="http://schemas.openxmlformats.org/markup-compatibility/2006">
          <mc:Choice Requires="x14">
            <control shapeId="41010" r:id="rId7" name="Check Box 50">
              <controlPr defaultSize="0" autoFill="0" autoLine="0" autoPict="0">
                <anchor moveWithCells="1">
                  <from>
                    <xdr:col>1</xdr:col>
                    <xdr:colOff>71438</xdr:colOff>
                    <xdr:row>38</xdr:row>
                    <xdr:rowOff>9525</xdr:rowOff>
                  </from>
                  <to>
                    <xdr:col>3</xdr:col>
                    <xdr:colOff>214313</xdr:colOff>
                    <xdr:row>39</xdr:row>
                    <xdr:rowOff>66675</xdr:rowOff>
                  </to>
                </anchor>
              </controlPr>
            </control>
          </mc:Choice>
        </mc:AlternateContent>
        <mc:AlternateContent xmlns:mc="http://schemas.openxmlformats.org/markup-compatibility/2006">
          <mc:Choice Requires="x14">
            <control shapeId="41011" r:id="rId8" name="Check Box 51">
              <controlPr defaultSize="0" autoFill="0" autoLine="0" autoPict="0">
                <anchor moveWithCells="1">
                  <from>
                    <xdr:col>1</xdr:col>
                    <xdr:colOff>71438</xdr:colOff>
                    <xdr:row>39</xdr:row>
                    <xdr:rowOff>95250</xdr:rowOff>
                  </from>
                  <to>
                    <xdr:col>3</xdr:col>
                    <xdr:colOff>214313</xdr:colOff>
                    <xdr:row>40</xdr:row>
                    <xdr:rowOff>152400</xdr:rowOff>
                  </to>
                </anchor>
              </controlPr>
            </control>
          </mc:Choice>
        </mc:AlternateContent>
        <mc:AlternateContent xmlns:mc="http://schemas.openxmlformats.org/markup-compatibility/2006">
          <mc:Choice Requires="x14">
            <control shapeId="41012" r:id="rId9" name="Check Box 52">
              <controlPr defaultSize="0" autoFill="0" autoLine="0" autoPict="0">
                <anchor moveWithCells="1">
                  <from>
                    <xdr:col>1</xdr:col>
                    <xdr:colOff>71438</xdr:colOff>
                    <xdr:row>41</xdr:row>
                    <xdr:rowOff>19050</xdr:rowOff>
                  </from>
                  <to>
                    <xdr:col>3</xdr:col>
                    <xdr:colOff>214313</xdr:colOff>
                    <xdr:row>42</xdr:row>
                    <xdr:rowOff>76200</xdr:rowOff>
                  </to>
                </anchor>
              </controlPr>
            </control>
          </mc:Choice>
        </mc:AlternateContent>
        <mc:AlternateContent xmlns:mc="http://schemas.openxmlformats.org/markup-compatibility/2006">
          <mc:Choice Requires="x14">
            <control shapeId="41013" r:id="rId10" name="Check Box 53">
              <controlPr defaultSize="0" autoFill="0" autoLine="0" autoPict="0">
                <anchor moveWithCells="1">
                  <from>
                    <xdr:col>1</xdr:col>
                    <xdr:colOff>71438</xdr:colOff>
                    <xdr:row>42</xdr:row>
                    <xdr:rowOff>104775</xdr:rowOff>
                  </from>
                  <to>
                    <xdr:col>3</xdr:col>
                    <xdr:colOff>214313</xdr:colOff>
                    <xdr:row>44</xdr:row>
                    <xdr:rowOff>0</xdr:rowOff>
                  </to>
                </anchor>
              </controlPr>
            </control>
          </mc:Choice>
        </mc:AlternateContent>
        <mc:AlternateContent xmlns:mc="http://schemas.openxmlformats.org/markup-compatibility/2006">
          <mc:Choice Requires="x14">
            <control shapeId="41014" r:id="rId11" name="Check Box 54">
              <controlPr defaultSize="0" autoFill="0" autoLine="0" autoPict="0">
                <anchor moveWithCells="1">
                  <from>
                    <xdr:col>3</xdr:col>
                    <xdr:colOff>533400</xdr:colOff>
                    <xdr:row>35</xdr:row>
                    <xdr:rowOff>0</xdr:rowOff>
                  </from>
                  <to>
                    <xdr:col>6</xdr:col>
                    <xdr:colOff>766763</xdr:colOff>
                    <xdr:row>36</xdr:row>
                    <xdr:rowOff>57150</xdr:rowOff>
                  </to>
                </anchor>
              </controlPr>
            </control>
          </mc:Choice>
        </mc:AlternateContent>
        <mc:AlternateContent xmlns:mc="http://schemas.openxmlformats.org/markup-compatibility/2006">
          <mc:Choice Requires="x14">
            <control shapeId="41015" r:id="rId12" name="Check Box 55">
              <controlPr defaultSize="0" autoFill="0" autoLine="0" autoPict="0">
                <anchor moveWithCells="1">
                  <from>
                    <xdr:col>3</xdr:col>
                    <xdr:colOff>533400</xdr:colOff>
                    <xdr:row>36</xdr:row>
                    <xdr:rowOff>85725</xdr:rowOff>
                  </from>
                  <to>
                    <xdr:col>6</xdr:col>
                    <xdr:colOff>766763</xdr:colOff>
                    <xdr:row>37</xdr:row>
                    <xdr:rowOff>142875</xdr:rowOff>
                  </to>
                </anchor>
              </controlPr>
            </control>
          </mc:Choice>
        </mc:AlternateContent>
        <mc:AlternateContent xmlns:mc="http://schemas.openxmlformats.org/markup-compatibility/2006">
          <mc:Choice Requires="x14">
            <control shapeId="41016" r:id="rId13" name="Check Box 56">
              <controlPr defaultSize="0" autoFill="0" autoLine="0" autoPict="0">
                <anchor moveWithCells="1">
                  <from>
                    <xdr:col>3</xdr:col>
                    <xdr:colOff>533400</xdr:colOff>
                    <xdr:row>38</xdr:row>
                    <xdr:rowOff>9525</xdr:rowOff>
                  </from>
                  <to>
                    <xdr:col>6</xdr:col>
                    <xdr:colOff>766763</xdr:colOff>
                    <xdr:row>39</xdr:row>
                    <xdr:rowOff>66675</xdr:rowOff>
                  </to>
                </anchor>
              </controlPr>
            </control>
          </mc:Choice>
        </mc:AlternateContent>
        <mc:AlternateContent xmlns:mc="http://schemas.openxmlformats.org/markup-compatibility/2006">
          <mc:Choice Requires="x14">
            <control shapeId="41017" r:id="rId14" name="Check Box 57">
              <controlPr defaultSize="0" autoFill="0" autoLine="0" autoPict="0">
                <anchor moveWithCells="1">
                  <from>
                    <xdr:col>3</xdr:col>
                    <xdr:colOff>533400</xdr:colOff>
                    <xdr:row>39</xdr:row>
                    <xdr:rowOff>95250</xdr:rowOff>
                  </from>
                  <to>
                    <xdr:col>6</xdr:col>
                    <xdr:colOff>766763</xdr:colOff>
                    <xdr:row>40</xdr:row>
                    <xdr:rowOff>152400</xdr:rowOff>
                  </to>
                </anchor>
              </controlPr>
            </control>
          </mc:Choice>
        </mc:AlternateContent>
        <mc:AlternateContent xmlns:mc="http://schemas.openxmlformats.org/markup-compatibility/2006">
          <mc:Choice Requires="x14">
            <control shapeId="41018" r:id="rId15" name="Check Box 58">
              <controlPr defaultSize="0" autoFill="0" autoLine="0" autoPict="0">
                <anchor moveWithCells="1">
                  <from>
                    <xdr:col>3</xdr:col>
                    <xdr:colOff>533400</xdr:colOff>
                    <xdr:row>41</xdr:row>
                    <xdr:rowOff>19050</xdr:rowOff>
                  </from>
                  <to>
                    <xdr:col>6</xdr:col>
                    <xdr:colOff>766763</xdr:colOff>
                    <xdr:row>42</xdr:row>
                    <xdr:rowOff>76200</xdr:rowOff>
                  </to>
                </anchor>
              </controlPr>
            </control>
          </mc:Choice>
        </mc:AlternateContent>
        <mc:AlternateContent xmlns:mc="http://schemas.openxmlformats.org/markup-compatibility/2006">
          <mc:Choice Requires="x14">
            <control shapeId="41019" r:id="rId16" name="Check Box 59">
              <controlPr defaultSize="0" autoFill="0" autoLine="0" autoPict="0">
                <anchor moveWithCells="1">
                  <from>
                    <xdr:col>3</xdr:col>
                    <xdr:colOff>533400</xdr:colOff>
                    <xdr:row>42</xdr:row>
                    <xdr:rowOff>104775</xdr:rowOff>
                  </from>
                  <to>
                    <xdr:col>6</xdr:col>
                    <xdr:colOff>766763</xdr:colOff>
                    <xdr:row>44</xdr:row>
                    <xdr:rowOff>0</xdr:rowOff>
                  </to>
                </anchor>
              </controlPr>
            </control>
          </mc:Choice>
        </mc:AlternateContent>
        <mc:AlternateContent xmlns:mc="http://schemas.openxmlformats.org/markup-compatibility/2006">
          <mc:Choice Requires="x14">
            <control shapeId="41022" r:id="rId17" name="Button 62">
              <controlPr defaultSize="0" autoFill="0" autoPict="0" macro="[0]!Otros_Botón2_AlHacerClic">
                <anchor moveWithCells="1" sizeWithCells="1">
                  <from>
                    <xdr:col>1</xdr:col>
                    <xdr:colOff>9525</xdr:colOff>
                    <xdr:row>19</xdr:row>
                    <xdr:rowOff>9525</xdr:rowOff>
                  </from>
                  <to>
                    <xdr:col>1</xdr:col>
                    <xdr:colOff>1009650</xdr:colOff>
                    <xdr:row>20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111"/>
  <dimension ref="A1:H26"/>
  <sheetViews>
    <sheetView showGridLines="0" showRowColHeaders="0" showZeros="0" showOutlineSymbols="0" topLeftCell="B1" workbookViewId="0">
      <pane ySplit="6" topLeftCell="A7" activePane="bottomLeft" state="frozen"/>
      <selection activeCell="C48" sqref="C48:G48"/>
      <selection pane="bottomLeft" activeCell="D8" sqref="D8:H8"/>
    </sheetView>
  </sheetViews>
  <sheetFormatPr defaultRowHeight="12.75"/>
  <cols>
    <col min="1" max="1" width="3.3984375" style="1" customWidth="1"/>
    <col min="2" max="3" width="10.59765625" customWidth="1"/>
    <col min="4" max="4" width="20" customWidth="1"/>
    <col min="5" max="256" width="10.6640625" customWidth="1"/>
  </cols>
  <sheetData>
    <row r="1" spans="1:8" s="3" customFormat="1" ht="18.75" customHeight="1">
      <c r="A1" s="831"/>
      <c r="B1" s="831"/>
      <c r="C1" s="831"/>
      <c r="D1" s="831"/>
      <c r="F1" s="220" t="s">
        <v>1784</v>
      </c>
    </row>
    <row r="2" spans="1:8" s="3" customFormat="1" ht="12.75" customHeight="1">
      <c r="A2" s="832"/>
      <c r="B2" s="832"/>
      <c r="C2" s="832"/>
      <c r="D2" s="832"/>
    </row>
    <row r="3" spans="1:8" s="3" customFormat="1" ht="31.5" customHeight="1">
      <c r="A3" s="9"/>
      <c r="B3" s="840" t="s">
        <v>3887</v>
      </c>
      <c r="C3" s="840"/>
      <c r="D3" s="840"/>
      <c r="E3" s="840"/>
      <c r="F3" s="840"/>
      <c r="G3" s="841"/>
      <c r="H3" s="841"/>
    </row>
    <row r="4" spans="1:8" s="3" customFormat="1" ht="21" customHeight="1" thickBot="1">
      <c r="A4" s="34"/>
      <c r="B4" s="839" t="str">
        <f>"RUC:"&amp;"  "&amp;'Cap01'!C12&amp;"  "&amp;'Cap01'!E12</f>
        <v xml:space="preserve">RUC:    </v>
      </c>
      <c r="C4" s="839"/>
      <c r="D4" s="839"/>
      <c r="E4" s="839"/>
      <c r="F4" s="839"/>
      <c r="G4" s="839"/>
      <c r="H4" s="839"/>
    </row>
    <row r="5" spans="1:8" s="3" customFormat="1" ht="30.75" customHeight="1" thickBot="1">
      <c r="A5" s="9"/>
      <c r="B5" s="836" t="s">
        <v>2328</v>
      </c>
      <c r="C5" s="837"/>
      <c r="D5" s="837"/>
      <c r="E5" s="837"/>
      <c r="F5" s="837"/>
      <c r="G5" s="837"/>
      <c r="H5" s="838"/>
    </row>
    <row r="6" spans="1:8" s="3" customFormat="1" ht="13.15">
      <c r="A6" s="257" t="s">
        <v>2329</v>
      </c>
      <c r="B6" s="452" t="s">
        <v>2330</v>
      </c>
      <c r="C6" s="452" t="s">
        <v>1963</v>
      </c>
      <c r="D6" s="833" t="s">
        <v>2331</v>
      </c>
      <c r="E6" s="834"/>
      <c r="F6" s="834"/>
      <c r="G6" s="834"/>
      <c r="H6" s="835"/>
    </row>
    <row r="7" spans="1:8" ht="21" customHeight="1">
      <c r="A7" s="278" t="s">
        <v>1964</v>
      </c>
      <c r="B7" s="299"/>
      <c r="C7" s="299"/>
      <c r="D7" s="828"/>
      <c r="E7" s="829"/>
      <c r="F7" s="829"/>
      <c r="G7" s="829"/>
      <c r="H7" s="830"/>
    </row>
    <row r="8" spans="1:8" ht="21" customHeight="1">
      <c r="A8" s="278" t="s">
        <v>1965</v>
      </c>
      <c r="B8" s="299"/>
      <c r="C8" s="299"/>
      <c r="D8" s="828"/>
      <c r="E8" s="829"/>
      <c r="F8" s="829"/>
      <c r="G8" s="829"/>
      <c r="H8" s="830"/>
    </row>
    <row r="9" spans="1:8" ht="21" customHeight="1">
      <c r="A9" s="278" t="s">
        <v>1966</v>
      </c>
      <c r="B9" s="299"/>
      <c r="C9" s="299"/>
      <c r="D9" s="828"/>
      <c r="E9" s="829"/>
      <c r="F9" s="829"/>
      <c r="G9" s="829"/>
      <c r="H9" s="830"/>
    </row>
    <row r="10" spans="1:8" ht="21" customHeight="1">
      <c r="A10" s="278" t="s">
        <v>1967</v>
      </c>
      <c r="B10" s="299"/>
      <c r="C10" s="299"/>
      <c r="D10" s="828"/>
      <c r="E10" s="829"/>
      <c r="F10" s="829"/>
      <c r="G10" s="829"/>
      <c r="H10" s="830"/>
    </row>
    <row r="11" spans="1:8" ht="21" customHeight="1">
      <c r="A11" s="278" t="s">
        <v>1968</v>
      </c>
      <c r="B11" s="299"/>
      <c r="C11" s="299"/>
      <c r="D11" s="828"/>
      <c r="E11" s="829"/>
      <c r="F11" s="829"/>
      <c r="G11" s="829"/>
      <c r="H11" s="830"/>
    </row>
    <row r="12" spans="1:8" ht="21" customHeight="1">
      <c r="A12" s="278" t="s">
        <v>1969</v>
      </c>
      <c r="B12" s="299"/>
      <c r="C12" s="299"/>
      <c r="D12" s="828"/>
      <c r="E12" s="829"/>
      <c r="F12" s="829"/>
      <c r="G12" s="829"/>
      <c r="H12" s="830"/>
    </row>
    <row r="13" spans="1:8" ht="21" customHeight="1">
      <c r="A13" s="278" t="s">
        <v>1970</v>
      </c>
      <c r="B13" s="299"/>
      <c r="C13" s="299"/>
      <c r="D13" s="828"/>
      <c r="E13" s="829"/>
      <c r="F13" s="829"/>
      <c r="G13" s="829"/>
      <c r="H13" s="830"/>
    </row>
    <row r="14" spans="1:8" ht="21" customHeight="1">
      <c r="A14" s="278" t="s">
        <v>1971</v>
      </c>
      <c r="B14" s="299"/>
      <c r="C14" s="299"/>
      <c r="D14" s="828"/>
      <c r="E14" s="829"/>
      <c r="F14" s="829"/>
      <c r="G14" s="829"/>
      <c r="H14" s="830"/>
    </row>
    <row r="15" spans="1:8" ht="21" customHeight="1">
      <c r="A15" s="278" t="s">
        <v>1972</v>
      </c>
      <c r="B15" s="299"/>
      <c r="C15" s="299"/>
      <c r="D15" s="828"/>
      <c r="E15" s="829"/>
      <c r="F15" s="829"/>
      <c r="G15" s="829"/>
      <c r="H15" s="830"/>
    </row>
    <row r="16" spans="1:8" ht="21" customHeight="1">
      <c r="A16" s="278" t="s">
        <v>1973</v>
      </c>
      <c r="B16" s="299"/>
      <c r="C16" s="299"/>
      <c r="D16" s="828"/>
      <c r="E16" s="829"/>
      <c r="F16" s="829"/>
      <c r="G16" s="829"/>
      <c r="H16" s="830"/>
    </row>
    <row r="17" spans="1:8" ht="21" customHeight="1">
      <c r="A17" s="278" t="s">
        <v>1974</v>
      </c>
      <c r="B17" s="299"/>
      <c r="C17" s="299"/>
      <c r="D17" s="828"/>
      <c r="E17" s="829"/>
      <c r="F17" s="829"/>
      <c r="G17" s="829"/>
      <c r="H17" s="830"/>
    </row>
    <row r="18" spans="1:8" ht="21" customHeight="1">
      <c r="A18" s="278" t="s">
        <v>1975</v>
      </c>
      <c r="B18" s="299"/>
      <c r="C18" s="299"/>
      <c r="D18" s="828"/>
      <c r="E18" s="829"/>
      <c r="F18" s="829"/>
      <c r="G18" s="829"/>
      <c r="H18" s="830"/>
    </row>
    <row r="19" spans="1:8" ht="21" customHeight="1">
      <c r="A19" s="278" t="s">
        <v>1976</v>
      </c>
      <c r="B19" s="299"/>
      <c r="C19" s="299"/>
      <c r="D19" s="828"/>
      <c r="E19" s="829"/>
      <c r="F19" s="829"/>
      <c r="G19" s="829"/>
      <c r="H19" s="830"/>
    </row>
    <row r="20" spans="1:8" ht="21" customHeight="1">
      <c r="A20" s="278" t="s">
        <v>1977</v>
      </c>
      <c r="B20" s="299"/>
      <c r="C20" s="299"/>
      <c r="D20" s="828"/>
      <c r="E20" s="829"/>
      <c r="F20" s="829"/>
      <c r="G20" s="829"/>
      <c r="H20" s="830"/>
    </row>
    <row r="21" spans="1:8" ht="21" customHeight="1">
      <c r="A21" s="278" t="s">
        <v>1978</v>
      </c>
      <c r="B21" s="299"/>
      <c r="C21" s="299"/>
      <c r="D21" s="828"/>
      <c r="E21" s="829"/>
      <c r="F21" s="829"/>
      <c r="G21" s="829"/>
      <c r="H21" s="830"/>
    </row>
    <row r="22" spans="1:8" ht="21" customHeight="1">
      <c r="A22" s="278" t="s">
        <v>1979</v>
      </c>
      <c r="B22" s="299"/>
      <c r="C22" s="299"/>
      <c r="D22" s="828"/>
      <c r="E22" s="829"/>
      <c r="F22" s="829"/>
      <c r="G22" s="829"/>
      <c r="H22" s="830"/>
    </row>
    <row r="23" spans="1:8" ht="21" customHeight="1">
      <c r="A23" s="278" t="s">
        <v>1980</v>
      </c>
      <c r="B23" s="299"/>
      <c r="C23" s="299"/>
      <c r="D23" s="828"/>
      <c r="E23" s="829"/>
      <c r="F23" s="829"/>
      <c r="G23" s="829"/>
      <c r="H23" s="830"/>
    </row>
    <row r="24" spans="1:8" ht="21" customHeight="1">
      <c r="A24" s="278" t="s">
        <v>1981</v>
      </c>
      <c r="B24" s="299"/>
      <c r="C24" s="299"/>
      <c r="D24" s="828"/>
      <c r="E24" s="829"/>
      <c r="F24" s="829"/>
      <c r="G24" s="829"/>
      <c r="H24" s="830"/>
    </row>
    <row r="25" spans="1:8" ht="21" customHeight="1">
      <c r="A25" s="278" t="s">
        <v>1982</v>
      </c>
      <c r="B25" s="299"/>
      <c r="C25" s="299"/>
      <c r="D25" s="828"/>
      <c r="E25" s="829"/>
      <c r="F25" s="829"/>
      <c r="G25" s="829"/>
      <c r="H25" s="830"/>
    </row>
    <row r="26" spans="1:8" ht="21" customHeight="1">
      <c r="A26" s="278" t="s">
        <v>4150</v>
      </c>
      <c r="B26" s="299"/>
      <c r="C26" s="299"/>
      <c r="D26" s="828"/>
      <c r="E26" s="829"/>
      <c r="F26" s="829"/>
      <c r="G26" s="829"/>
      <c r="H26" s="830"/>
    </row>
  </sheetData>
  <sheetProtection password="D3CE" sheet="1" objects="1" scenarios="1" selectLockedCells="1"/>
  <mergeCells count="26">
    <mergeCell ref="B3:H3"/>
    <mergeCell ref="D8:H8"/>
    <mergeCell ref="D9:H9"/>
    <mergeCell ref="D10:H10"/>
    <mergeCell ref="D11:H11"/>
    <mergeCell ref="A1:D1"/>
    <mergeCell ref="A2:D2"/>
    <mergeCell ref="D6:H6"/>
    <mergeCell ref="D7:H7"/>
    <mergeCell ref="B5:H5"/>
    <mergeCell ref="B4:H4"/>
    <mergeCell ref="D16:H16"/>
    <mergeCell ref="D17:H17"/>
    <mergeCell ref="D18:H18"/>
    <mergeCell ref="D19:H19"/>
    <mergeCell ref="D12:H12"/>
    <mergeCell ref="D13:H13"/>
    <mergeCell ref="D14:H14"/>
    <mergeCell ref="D15:H15"/>
    <mergeCell ref="D24:H24"/>
    <mergeCell ref="D25:H25"/>
    <mergeCell ref="D26:H26"/>
    <mergeCell ref="D20:H20"/>
    <mergeCell ref="D21:H21"/>
    <mergeCell ref="D22:H22"/>
    <mergeCell ref="D23:H23"/>
  </mergeCells>
  <phoneticPr fontId="0" type="noConversion"/>
  <pageMargins left="0.44" right="0.75" top="0.52" bottom="1" header="0" footer="0"/>
  <pageSetup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locked="0" defaultSize="0" print="0" autoFill="0" autoPict="0" macro="[0]!Botón4_AlHacerClic">
                <anchor moveWithCells="1" sizeWithCells="1">
                  <from>
                    <xdr:col>6</xdr:col>
                    <xdr:colOff>647700</xdr:colOff>
                    <xdr:row>2</xdr:row>
                    <xdr:rowOff>190500</xdr:rowOff>
                  </from>
                  <to>
                    <xdr:col>7</xdr:col>
                    <xdr:colOff>742950</xdr:colOff>
                    <xdr:row>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1">
    <pageSetUpPr fitToPage="1"/>
  </sheetPr>
  <dimension ref="A1:J44"/>
  <sheetViews>
    <sheetView showGridLines="0" showRowColHeaders="0" showZeros="0" showOutlineSymbols="0" workbookViewId="0">
      <selection activeCell="D44" sqref="D44:F44"/>
    </sheetView>
  </sheetViews>
  <sheetFormatPr defaultColWidth="11.3984375" defaultRowHeight="12.75"/>
  <cols>
    <col min="1" max="1" width="1.3984375" style="12" customWidth="1"/>
    <col min="2" max="2" width="9.3984375" style="12" customWidth="1"/>
    <col min="3" max="3" width="25" style="12" customWidth="1"/>
    <col min="4" max="5" width="18.265625" style="12" customWidth="1"/>
    <col min="6" max="6" width="10.73046875" style="477" customWidth="1"/>
    <col min="7" max="7" width="14.86328125" style="12" customWidth="1"/>
    <col min="8" max="8" width="13.265625" style="12" customWidth="1"/>
    <col min="9" max="9" width="12.3984375" style="12" customWidth="1"/>
    <col min="10" max="10" width="7.265625" style="12" customWidth="1"/>
    <col min="11" max="16384" width="11.3984375" style="12"/>
  </cols>
  <sheetData>
    <row r="1" spans="1:10" ht="24" customHeight="1">
      <c r="A1" s="792"/>
      <c r="B1" s="792"/>
      <c r="C1" s="792"/>
      <c r="D1" s="792"/>
    </row>
    <row r="2" spans="1:10">
      <c r="A2" s="18"/>
      <c r="B2" s="18"/>
      <c r="C2" s="18"/>
      <c r="D2" s="18"/>
    </row>
    <row r="3" spans="1:10" ht="33.75" customHeight="1">
      <c r="A3" s="844" t="s">
        <v>1878</v>
      </c>
      <c r="B3" s="844"/>
      <c r="C3" s="844"/>
      <c r="D3" s="844"/>
      <c r="E3" s="844"/>
      <c r="F3" s="844"/>
      <c r="G3" s="463"/>
      <c r="H3" s="84"/>
    </row>
    <row r="4" spans="1:10" ht="12" customHeight="1">
      <c r="D4" s="25"/>
      <c r="E4" s="25"/>
      <c r="H4" s="18"/>
      <c r="I4" s="18"/>
      <c r="J4" s="18"/>
    </row>
    <row r="5" spans="1:10" s="13" customFormat="1" ht="12" customHeight="1">
      <c r="A5" s="93" t="str">
        <f>"RUC : "&amp;'Cap01'!C12&amp;"   "&amp;'Cap01'!E12</f>
        <v xml:space="preserve">RUC :    </v>
      </c>
      <c r="C5" s="90"/>
      <c r="D5" s="856"/>
      <c r="E5" s="856"/>
      <c r="F5" s="856"/>
      <c r="H5" s="856"/>
      <c r="I5" s="856"/>
      <c r="J5" s="856"/>
    </row>
    <row r="6" spans="1:10" s="13" customFormat="1" ht="12" customHeight="1">
      <c r="A6" s="15"/>
      <c r="B6" s="85"/>
      <c r="C6" s="15"/>
      <c r="D6" s="14"/>
      <c r="E6" s="14"/>
      <c r="F6" s="478"/>
      <c r="H6" s="14"/>
      <c r="I6" s="14"/>
      <c r="J6" s="15"/>
    </row>
    <row r="7" spans="1:10" s="13" customFormat="1" ht="6" customHeight="1">
      <c r="A7" s="15"/>
      <c r="B7" s="853"/>
      <c r="C7" s="853"/>
      <c r="D7" s="16"/>
      <c r="E7" s="16"/>
      <c r="F7" s="17"/>
      <c r="H7" s="16"/>
      <c r="I7" s="16"/>
      <c r="J7" s="17"/>
    </row>
    <row r="8" spans="1:10" s="13" customFormat="1" ht="12" customHeight="1" thickBot="1">
      <c r="A8" s="15"/>
      <c r="B8" s="853"/>
      <c r="C8" s="853"/>
      <c r="D8" s="16"/>
      <c r="E8" s="16"/>
      <c r="F8" s="17"/>
      <c r="H8" s="16"/>
      <c r="I8" s="16"/>
      <c r="J8" s="17"/>
    </row>
    <row r="9" spans="1:10" s="13" customFormat="1" ht="12" customHeight="1" thickBot="1">
      <c r="B9" s="859" t="s">
        <v>3812</v>
      </c>
      <c r="C9" s="860"/>
      <c r="D9" s="861" t="str">
        <f>CONCATENATE("AÑO ",'Cap01'!A1)</f>
        <v>AÑO 2006</v>
      </c>
      <c r="E9" s="862"/>
      <c r="F9" s="863"/>
      <c r="H9" s="16"/>
      <c r="I9" s="16"/>
      <c r="J9" s="17"/>
    </row>
    <row r="10" spans="1:10" s="13" customFormat="1" ht="12" customHeight="1" thickBot="1">
      <c r="B10" s="453" t="s">
        <v>1271</v>
      </c>
      <c r="C10" s="454"/>
      <c r="D10" s="455" t="s">
        <v>1947</v>
      </c>
      <c r="E10" s="456" t="s">
        <v>511</v>
      </c>
      <c r="F10" s="479" t="s">
        <v>4344</v>
      </c>
      <c r="H10" s="16"/>
      <c r="I10" s="16"/>
      <c r="J10" s="17"/>
    </row>
    <row r="11" spans="1:10" s="13" customFormat="1" ht="21" customHeight="1" thickBot="1">
      <c r="B11" s="851" t="s">
        <v>1875</v>
      </c>
      <c r="C11" s="852"/>
      <c r="D11" s="379">
        <f>+'Cap02'!E41</f>
        <v>0</v>
      </c>
      <c r="E11" s="380" t="str">
        <f>IF(D43&gt;0,'Cap02'!G25,"")</f>
        <v/>
      </c>
      <c r="F11" s="381" t="str">
        <f>IF(D43&gt;0,IF(D11&lt;E11,"Error",""),"")</f>
        <v/>
      </c>
      <c r="H11" s="16"/>
      <c r="I11" s="16"/>
      <c r="J11" s="17"/>
    </row>
    <row r="12" spans="1:10" s="13" customFormat="1" ht="19.5" customHeight="1" thickBot="1">
      <c r="A12" s="15"/>
      <c r="B12" s="15"/>
      <c r="C12" s="15"/>
      <c r="D12" s="15"/>
      <c r="E12" s="15"/>
      <c r="F12" s="478"/>
      <c r="H12" s="15"/>
      <c r="I12" s="15"/>
      <c r="J12" s="15"/>
    </row>
    <row r="13" spans="1:10" s="13" customFormat="1" ht="12" customHeight="1" thickBot="1">
      <c r="A13" s="15"/>
      <c r="B13" s="859" t="s">
        <v>3813</v>
      </c>
      <c r="C13" s="860"/>
      <c r="D13" s="861" t="str">
        <f>CONCATENATE("AÑO ",'Cap01'!A1)</f>
        <v>AÑO 2006</v>
      </c>
      <c r="E13" s="862"/>
      <c r="F13" s="863"/>
      <c r="H13" s="15"/>
      <c r="I13" s="15"/>
      <c r="J13" s="15"/>
    </row>
    <row r="14" spans="1:10" s="13" customFormat="1" ht="12" customHeight="1" thickBot="1">
      <c r="A14" s="15"/>
      <c r="B14" s="453" t="s">
        <v>1271</v>
      </c>
      <c r="C14" s="454"/>
      <c r="D14" s="455" t="s">
        <v>1947</v>
      </c>
      <c r="E14" s="456" t="s">
        <v>1502</v>
      </c>
      <c r="F14" s="479" t="s">
        <v>4344</v>
      </c>
      <c r="H14" s="15"/>
      <c r="I14" s="15"/>
      <c r="J14" s="15"/>
    </row>
    <row r="15" spans="1:10" s="13" customFormat="1" ht="21.75" customHeight="1" thickBot="1">
      <c r="A15" s="15"/>
      <c r="B15" s="851" t="s">
        <v>1876</v>
      </c>
      <c r="C15" s="852"/>
      <c r="D15" s="379">
        <f>+'Cap02'!E44</f>
        <v>0</v>
      </c>
      <c r="E15" s="380">
        <f>+'Cap02'!E57</f>
        <v>0</v>
      </c>
      <c r="F15" s="381" t="str">
        <f>IF(D15&lt;E15,"Error","")</f>
        <v/>
      </c>
      <c r="H15" s="15"/>
      <c r="I15" s="15"/>
      <c r="J15" s="15"/>
    </row>
    <row r="16" spans="1:10" s="13" customFormat="1" ht="24.75" customHeight="1" thickBot="1">
      <c r="A16" s="15"/>
      <c r="B16" s="851" t="s">
        <v>1115</v>
      </c>
      <c r="C16" s="852"/>
      <c r="D16" s="379">
        <f>+'Cap02'!E40</f>
        <v>0</v>
      </c>
      <c r="E16" s="380">
        <f>+'Cap02'!E57</f>
        <v>0</v>
      </c>
      <c r="F16" s="381" t="str">
        <f>IF(D16&lt;E16,"Error","")</f>
        <v/>
      </c>
      <c r="H16" s="15"/>
      <c r="I16" s="15"/>
      <c r="J16" s="15"/>
    </row>
    <row r="17" spans="1:10" s="13" customFormat="1" ht="12.75" customHeight="1" thickBot="1">
      <c r="A17" s="15"/>
      <c r="B17" s="465"/>
      <c r="C17" s="465"/>
      <c r="D17" s="466"/>
      <c r="E17" s="466"/>
      <c r="F17" s="17"/>
      <c r="H17" s="15"/>
      <c r="I17" s="15"/>
      <c r="J17" s="15"/>
    </row>
    <row r="18" spans="1:10" s="13" customFormat="1" ht="10.5" thickBot="1">
      <c r="A18" s="15"/>
      <c r="B18" s="859" t="s">
        <v>2895</v>
      </c>
      <c r="C18" s="860"/>
      <c r="D18" s="861" t="str">
        <f>CONCATENATE("AÑO ",'Cap01'!A1)</f>
        <v>AÑO 2006</v>
      </c>
      <c r="E18" s="862"/>
      <c r="F18" s="863"/>
      <c r="H18" s="15"/>
      <c r="I18" s="15"/>
      <c r="J18" s="15"/>
    </row>
    <row r="19" spans="1:10" s="13" customFormat="1" ht="10.5" thickBot="1">
      <c r="A19" s="15"/>
      <c r="B19" s="453" t="s">
        <v>1271</v>
      </c>
      <c r="C19" s="454"/>
      <c r="D19" s="455" t="s">
        <v>1947</v>
      </c>
      <c r="E19" s="456" t="s">
        <v>2896</v>
      </c>
      <c r="F19" s="479" t="s">
        <v>4344</v>
      </c>
      <c r="H19" s="15"/>
      <c r="I19" s="15"/>
      <c r="J19" s="15"/>
    </row>
    <row r="20" spans="1:10" s="13" customFormat="1" ht="24.75" customHeight="1" thickBot="1">
      <c r="A20" s="15"/>
      <c r="B20" s="851" t="s">
        <v>2897</v>
      </c>
      <c r="C20" s="852"/>
      <c r="D20" s="379">
        <f>+'Cap02'!E32+'Cap02'!E33+'Cap02'!E34+'Cap02'!E35</f>
        <v>0</v>
      </c>
      <c r="E20" s="380">
        <f>+'Cap02'!E64</f>
        <v>0</v>
      </c>
      <c r="F20" s="381" t="str">
        <f>IF(D20&lt;E20,"Error","")</f>
        <v/>
      </c>
      <c r="H20" s="15"/>
      <c r="I20" s="15"/>
      <c r="J20" s="15"/>
    </row>
    <row r="21" spans="1:10" s="13" customFormat="1" ht="24.75" customHeight="1" thickBot="1">
      <c r="A21" s="15"/>
      <c r="B21" s="851" t="s">
        <v>4084</v>
      </c>
      <c r="C21" s="852"/>
      <c r="D21" s="379">
        <f>+'Cap02'!E32+'Cap02'!E33+'Cap02'!E34+'Cap02'!E35</f>
        <v>0</v>
      </c>
      <c r="E21" s="380">
        <f>+'Cap02'!E68</f>
        <v>0</v>
      </c>
      <c r="F21" s="381" t="str">
        <f>IF(AND(D21&lt;&gt;0,E21=0),"Error","")</f>
        <v/>
      </c>
      <c r="H21" s="15"/>
      <c r="I21" s="15"/>
      <c r="J21" s="15"/>
    </row>
    <row r="22" spans="1:10" s="13" customFormat="1" ht="17.25" customHeight="1" thickBot="1">
      <c r="A22" s="15"/>
      <c r="B22" s="465"/>
      <c r="C22" s="465"/>
      <c r="D22" s="466"/>
      <c r="E22" s="466"/>
      <c r="F22" s="17"/>
      <c r="H22" s="15"/>
      <c r="I22" s="15"/>
      <c r="J22" s="15"/>
    </row>
    <row r="23" spans="1:10" s="13" customFormat="1" ht="10.5" thickBot="1">
      <c r="A23" s="15"/>
      <c r="B23" s="859" t="s">
        <v>2898</v>
      </c>
      <c r="C23" s="860"/>
      <c r="D23" s="861" t="str">
        <f>CONCATENATE("AÑO ",'Cap01'!A1)</f>
        <v>AÑO 2006</v>
      </c>
      <c r="E23" s="862"/>
      <c r="F23" s="863"/>
      <c r="H23" s="15"/>
      <c r="I23" s="15"/>
      <c r="J23" s="15"/>
    </row>
    <row r="24" spans="1:10" s="13" customFormat="1" ht="10.5" thickBot="1">
      <c r="A24" s="15"/>
      <c r="B24" s="453" t="s">
        <v>1271</v>
      </c>
      <c r="C24" s="454"/>
      <c r="D24" s="455" t="s">
        <v>1947</v>
      </c>
      <c r="E24" s="456" t="s">
        <v>2903</v>
      </c>
      <c r="F24" s="479" t="s">
        <v>4344</v>
      </c>
      <c r="H24" s="15"/>
      <c r="I24" s="15"/>
      <c r="J24" s="15"/>
    </row>
    <row r="25" spans="1:10" s="13" customFormat="1" ht="35.25" customHeight="1">
      <c r="A25" s="15"/>
      <c r="B25" s="873" t="s">
        <v>2899</v>
      </c>
      <c r="C25" s="874"/>
      <c r="D25" s="466">
        <f>+'Cap02'!E33+'Cap02'!E34</f>
        <v>0</v>
      </c>
      <c r="E25" s="467">
        <f>+'Cap03'!H21</f>
        <v>0</v>
      </c>
      <c r="F25" s="481" t="str">
        <f>IF(D25&lt;E25,"Error","")</f>
        <v/>
      </c>
      <c r="H25" s="15"/>
      <c r="I25" s="15"/>
      <c r="J25" s="15"/>
    </row>
    <row r="26" spans="1:10" s="13" customFormat="1" ht="35.25" customHeight="1" thickBot="1">
      <c r="A26" s="15"/>
      <c r="B26" s="869" t="s">
        <v>4339</v>
      </c>
      <c r="C26" s="870"/>
      <c r="D26" s="468">
        <f>+'Cap02'!E33</f>
        <v>0</v>
      </c>
      <c r="E26" s="468">
        <f>+'Cap03'!H21</f>
        <v>0</v>
      </c>
      <c r="F26" s="381" t="str">
        <f>IF(D26&lt;E26,"Error","")</f>
        <v/>
      </c>
      <c r="H26" s="15"/>
      <c r="I26" s="15"/>
      <c r="J26" s="15"/>
    </row>
    <row r="27" spans="1:10" s="13" customFormat="1" ht="35.25" customHeight="1" thickBot="1">
      <c r="A27" s="15"/>
      <c r="B27" s="871" t="s">
        <v>4340</v>
      </c>
      <c r="C27" s="872"/>
      <c r="D27" s="491">
        <f>+'Cap02'!E35</f>
        <v>0</v>
      </c>
      <c r="E27" s="491">
        <f>+'Cap03'!I24</f>
        <v>0</v>
      </c>
      <c r="F27" s="381" t="str">
        <f>IF(D27&lt;E27,"Error","")</f>
        <v/>
      </c>
      <c r="H27" s="15"/>
      <c r="I27" s="15"/>
      <c r="J27" s="15"/>
    </row>
    <row r="28" spans="1:10" s="13" customFormat="1" ht="19.5" customHeight="1" thickBot="1">
      <c r="A28" s="15"/>
      <c r="B28" s="857"/>
      <c r="C28" s="857"/>
      <c r="D28" s="858"/>
      <c r="E28" s="858"/>
      <c r="F28" s="858"/>
      <c r="H28" s="856"/>
      <c r="I28" s="856"/>
      <c r="J28" s="856"/>
    </row>
    <row r="29" spans="1:10" s="13" customFormat="1" ht="12" customHeight="1">
      <c r="A29" s="15"/>
      <c r="B29" s="854" t="s">
        <v>3814</v>
      </c>
      <c r="C29" s="855"/>
      <c r="D29" s="861" t="str">
        <f>CONCATENATE("AÑO ",'Cap01'!A1)</f>
        <v>AÑO 2006</v>
      </c>
      <c r="E29" s="862"/>
      <c r="F29" s="863"/>
      <c r="H29" s="14"/>
      <c r="I29" s="14"/>
      <c r="J29" s="15"/>
    </row>
    <row r="30" spans="1:10" s="13" customFormat="1" ht="12" customHeight="1" thickBot="1">
      <c r="A30" s="15"/>
      <c r="B30" s="457" t="s">
        <v>1271</v>
      </c>
      <c r="C30" s="458"/>
      <c r="D30" s="455" t="s">
        <v>513</v>
      </c>
      <c r="E30" s="456" t="s">
        <v>3178</v>
      </c>
      <c r="F30" s="479" t="s">
        <v>4344</v>
      </c>
      <c r="H30" s="16"/>
      <c r="I30" s="16"/>
      <c r="J30" s="17"/>
    </row>
    <row r="31" spans="1:10" s="13" customFormat="1" ht="25.5" customHeight="1" thickBot="1">
      <c r="A31" s="15"/>
      <c r="B31" s="851" t="s">
        <v>1877</v>
      </c>
      <c r="C31" s="852"/>
      <c r="D31" s="382">
        <f>+'Cap03'!G28</f>
        <v>0</v>
      </c>
      <c r="E31" s="382">
        <f>+'Cap03'!H28</f>
        <v>0</v>
      </c>
      <c r="F31" s="381" t="str">
        <f>IF(AND(D31&lt;E31),"Error",IF(AND(D31=E31),"",""))</f>
        <v/>
      </c>
      <c r="G31" s="12"/>
      <c r="H31" s="12"/>
    </row>
    <row r="32" spans="1:10" s="13" customFormat="1" ht="12" customHeight="1" thickBot="1">
      <c r="A32" s="15"/>
      <c r="B32" s="853"/>
      <c r="C32" s="853"/>
      <c r="D32" s="12"/>
      <c r="E32" s="12"/>
      <c r="F32" s="477"/>
      <c r="H32" s="12"/>
    </row>
    <row r="33" spans="1:8" s="13" customFormat="1" ht="12" customHeight="1" thickBot="1">
      <c r="A33" s="15"/>
      <c r="B33" s="859" t="s">
        <v>2900</v>
      </c>
      <c r="C33" s="860"/>
      <c r="D33" s="861" t="str">
        <f>CONCATENATE("AÑO ",'Cap01'!A1)</f>
        <v>AÑO 2006</v>
      </c>
      <c r="E33" s="862"/>
      <c r="F33" s="863"/>
      <c r="H33" s="12"/>
    </row>
    <row r="34" spans="1:8" s="13" customFormat="1" ht="15.75" customHeight="1" thickBot="1">
      <c r="A34" s="15"/>
      <c r="B34" s="453" t="s">
        <v>1271</v>
      </c>
      <c r="C34" s="454"/>
      <c r="D34" s="455" t="s">
        <v>2902</v>
      </c>
      <c r="E34" s="456" t="s">
        <v>2903</v>
      </c>
      <c r="F34" s="479" t="s">
        <v>4344</v>
      </c>
      <c r="G34" s="15"/>
      <c r="H34" s="12"/>
    </row>
    <row r="35" spans="1:8" s="13" customFormat="1" ht="28.5" customHeight="1" thickBot="1">
      <c r="A35" s="15"/>
      <c r="B35" s="851" t="s">
        <v>2901</v>
      </c>
      <c r="C35" s="852"/>
      <c r="D35" s="379">
        <f>+'Cap02'!E57</f>
        <v>0</v>
      </c>
      <c r="E35" s="380">
        <f>+'Cap03'!H21</f>
        <v>0</v>
      </c>
      <c r="F35" s="381" t="str">
        <f>IF(AND(E35&gt;0,D35=0),"Error","")</f>
        <v/>
      </c>
      <c r="H35" s="97"/>
    </row>
    <row r="36" spans="1:8" s="13" customFormat="1" ht="12" customHeight="1" thickBot="1">
      <c r="A36" s="15"/>
      <c r="B36" s="853"/>
      <c r="C36" s="853"/>
      <c r="D36" s="867"/>
      <c r="E36" s="867"/>
      <c r="F36" s="868"/>
      <c r="H36" s="12"/>
    </row>
    <row r="37" spans="1:8" ht="13.15" thickBot="1">
      <c r="B37" s="845" t="s">
        <v>1107</v>
      </c>
      <c r="C37" s="846"/>
      <c r="D37" s="476" t="s">
        <v>1108</v>
      </c>
      <c r="E37" s="476" t="s">
        <v>1109</v>
      </c>
      <c r="F37" s="480" t="s">
        <v>4344</v>
      </c>
    </row>
    <row r="38" spans="1:8" ht="23.25" customHeight="1">
      <c r="B38" s="847" t="s">
        <v>1110</v>
      </c>
      <c r="C38" s="848"/>
      <c r="D38" s="482" t="str">
        <f>IF(D43&gt;0,'Cap02'!K17,"")</f>
        <v/>
      </c>
      <c r="E38" s="469" t="str">
        <f>IF(F38="Error","Error en el rango de remuneraciones","")</f>
        <v/>
      </c>
      <c r="F38" s="470" t="str">
        <f>IF(D43&gt;0,'Cap02'!L17,"")</f>
        <v/>
      </c>
    </row>
    <row r="39" spans="1:8" ht="23.25" customHeight="1">
      <c r="B39" s="849" t="s">
        <v>1111</v>
      </c>
      <c r="C39" s="850"/>
      <c r="D39" s="483" t="str">
        <f>IF(D43&gt;0,'Cap02'!K19,"")</f>
        <v/>
      </c>
      <c r="E39" s="471" t="str">
        <f>IF(F39="Error","Error en el rango de remuneraciones","")</f>
        <v/>
      </c>
      <c r="F39" s="472" t="str">
        <f>IF(D43&gt;0,'Cap02'!L19,"")</f>
        <v/>
      </c>
    </row>
    <row r="40" spans="1:8" ht="23.25" customHeight="1">
      <c r="B40" s="849" t="s">
        <v>1112</v>
      </c>
      <c r="C40" s="850"/>
      <c r="D40" s="484" t="str">
        <f>IF(D43&gt;0,'Cap02'!K20,"")</f>
        <v/>
      </c>
      <c r="E40" s="471" t="str">
        <f>IF(F40="Error","Error en el rango de remuneraciones","")</f>
        <v/>
      </c>
      <c r="F40" s="472" t="str">
        <f>IF(D43&gt;0,'Cap02'!L20,"")</f>
        <v/>
      </c>
    </row>
    <row r="41" spans="1:8" ht="23.25" customHeight="1">
      <c r="B41" s="849" t="s">
        <v>1113</v>
      </c>
      <c r="C41" s="850"/>
      <c r="D41" s="484" t="str">
        <f>IF(D43&gt;0,'Cap02'!K22,"")</f>
        <v/>
      </c>
      <c r="E41" s="471" t="str">
        <f>IF(F41="Error","Error en el rango de remuneraciones","")</f>
        <v/>
      </c>
      <c r="F41" s="472" t="str">
        <f>IF(D43&gt;0,'Cap02'!L22,"")</f>
        <v/>
      </c>
    </row>
    <row r="42" spans="1:8" ht="23.25" customHeight="1" thickBot="1">
      <c r="B42" s="842" t="s">
        <v>1114</v>
      </c>
      <c r="C42" s="843"/>
      <c r="D42" s="485" t="str">
        <f>IF(D43&gt;0,'Cap02'!K23,"")</f>
        <v/>
      </c>
      <c r="E42" s="473" t="str">
        <f>IF(F42="Error","Error en el rango de remuneraciones","")</f>
        <v/>
      </c>
      <c r="F42" s="474" t="str">
        <f>IF(D43&gt;0,'Cap02'!L23,"")</f>
        <v/>
      </c>
    </row>
    <row r="43" spans="1:8" ht="13.15" thickBot="1">
      <c r="D43" s="475">
        <f>+'Cap01'!C12</f>
        <v>0</v>
      </c>
    </row>
    <row r="44" spans="1:8" ht="18.75" customHeight="1" thickBot="1">
      <c r="D44" s="864" t="s">
        <v>691</v>
      </c>
      <c r="E44" s="865"/>
      <c r="F44" s="866"/>
    </row>
  </sheetData>
  <sheetProtection password="D3CE" sheet="1" objects="1" scenarios="1" selectLockedCells="1"/>
  <mergeCells count="41">
    <mergeCell ref="B25:C25"/>
    <mergeCell ref="B11:C11"/>
    <mergeCell ref="B13:C13"/>
    <mergeCell ref="D13:F13"/>
    <mergeCell ref="B21:C21"/>
    <mergeCell ref="B41:C41"/>
    <mergeCell ref="D36:F36"/>
    <mergeCell ref="B31:C31"/>
    <mergeCell ref="B26:C26"/>
    <mergeCell ref="D29:F29"/>
    <mergeCell ref="B27:C27"/>
    <mergeCell ref="A1:D1"/>
    <mergeCell ref="D44:F44"/>
    <mergeCell ref="B16:C16"/>
    <mergeCell ref="B18:C18"/>
    <mergeCell ref="D18:F18"/>
    <mergeCell ref="B20:C20"/>
    <mergeCell ref="B23:C23"/>
    <mergeCell ref="D23:F23"/>
    <mergeCell ref="B33:C33"/>
    <mergeCell ref="D33:F33"/>
    <mergeCell ref="H5:J5"/>
    <mergeCell ref="B28:C28"/>
    <mergeCell ref="D28:F28"/>
    <mergeCell ref="H28:J28"/>
    <mergeCell ref="B9:C9"/>
    <mergeCell ref="B7:C7"/>
    <mergeCell ref="B15:C15"/>
    <mergeCell ref="D5:F5"/>
    <mergeCell ref="D9:F9"/>
    <mergeCell ref="B8:C8"/>
    <mergeCell ref="B42:C42"/>
    <mergeCell ref="A3:F3"/>
    <mergeCell ref="B37:C37"/>
    <mergeCell ref="B38:C38"/>
    <mergeCell ref="B39:C39"/>
    <mergeCell ref="B40:C40"/>
    <mergeCell ref="B35:C35"/>
    <mergeCell ref="B36:C36"/>
    <mergeCell ref="B29:C29"/>
    <mergeCell ref="B32:C32"/>
  </mergeCells>
  <phoneticPr fontId="0" type="noConversion"/>
  <conditionalFormatting sqref="D44:F44">
    <cfRule type="expression" dxfId="1" priority="1" stopIfTrue="1">
      <formula>$D$34="Formulario No tiene Errores "</formula>
    </cfRule>
    <cfRule type="expression" dxfId="0" priority="2" stopIfTrue="1">
      <formula>D34&lt;&gt;"Formulario No tiene Errores "</formula>
    </cfRule>
  </conditionalFormatting>
  <printOptions horizontalCentered="1"/>
  <pageMargins left="0.47244094488188981" right="0.78740157480314965" top="0.35433070866141736" bottom="0.19685039370078741" header="0" footer="0"/>
  <pageSetup paperSize="9" orientation="portrait" horizontalDpi="120" verticalDpi="14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utton 4">
              <controlPr defaultSize="0" print="0" autoFill="0" autoPict="0" macro="[0]!Botón36_AlHacerClic">
                <anchor moveWithCells="1" sizeWithCells="1">
                  <from>
                    <xdr:col>4</xdr:col>
                    <xdr:colOff>823913</xdr:colOff>
                    <xdr:row>5</xdr:row>
                    <xdr:rowOff>28575</xdr:rowOff>
                  </from>
                  <to>
                    <xdr:col>6</xdr:col>
                    <xdr:colOff>0</xdr:colOff>
                    <xdr:row>7</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pageSetUpPr autoPageBreaks="0" fitToPage="1"/>
  </sheetPr>
  <dimension ref="A1:CF56"/>
  <sheetViews>
    <sheetView showGridLines="0" showRowColHeaders="0" showZeros="0" showOutlineSymbols="0" zoomScaleNormal="100" zoomScaleSheetLayoutView="100" workbookViewId="0">
      <pane ySplit="11" topLeftCell="A12" activePane="bottomLeft" state="frozen"/>
      <selection activeCell="C48" sqref="C48:G48"/>
      <selection pane="bottomLeft" activeCell="B16" sqref="B16:C16"/>
    </sheetView>
  </sheetViews>
  <sheetFormatPr defaultColWidth="11.3984375" defaultRowHeight="13.15"/>
  <cols>
    <col min="1" max="1" width="1.3984375" style="3" customWidth="1"/>
    <col min="2" max="2" width="6.59765625" style="37" customWidth="1"/>
    <col min="3" max="3" width="30.73046875" style="3" customWidth="1"/>
    <col min="4" max="4" width="5.265625" style="38" customWidth="1"/>
    <col min="5" max="5" width="13.3984375" style="3" customWidth="1"/>
    <col min="6" max="6" width="11.86328125" style="3" customWidth="1"/>
    <col min="7" max="7" width="18.73046875" style="3" customWidth="1"/>
    <col min="8" max="8" width="0.3984375" style="3" customWidth="1"/>
    <col min="9" max="9" width="13" style="3" customWidth="1"/>
    <col min="10" max="10" width="10.86328125" style="351" customWidth="1"/>
    <col min="11" max="11" width="4.1328125" style="3" customWidth="1"/>
    <col min="12" max="12" width="14.1328125" style="3" customWidth="1"/>
    <col min="13" max="13" width="14.265625" style="3" customWidth="1"/>
    <col min="14" max="14" width="2.59765625" style="3" customWidth="1"/>
    <col min="15" max="15" width="3.59765625" style="3" customWidth="1"/>
    <col min="16" max="16384" width="11.3984375" style="3"/>
  </cols>
  <sheetData>
    <row r="1" spans="1:84" ht="28.5" customHeight="1">
      <c r="A1" s="792"/>
      <c r="B1" s="792"/>
      <c r="C1" s="792"/>
      <c r="D1" s="792"/>
      <c r="E1" s="792"/>
      <c r="F1" s="792"/>
      <c r="G1" s="94"/>
      <c r="I1" s="37"/>
      <c r="J1" s="304"/>
      <c r="K1" s="38"/>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39"/>
      <c r="BI1" s="39"/>
      <c r="BJ1" s="39"/>
      <c r="BK1" s="39"/>
      <c r="BL1" s="39"/>
      <c r="BM1" s="39"/>
      <c r="BN1" s="39"/>
      <c r="BO1" s="39"/>
      <c r="BP1" s="39"/>
      <c r="BQ1" s="39"/>
      <c r="BR1" s="39"/>
      <c r="BS1" s="39"/>
      <c r="BT1" s="39"/>
      <c r="BU1" s="39"/>
      <c r="BV1" s="39"/>
      <c r="BW1" s="39"/>
      <c r="BX1" s="39"/>
      <c r="BY1" s="39"/>
      <c r="BZ1" s="39"/>
      <c r="CA1" s="39"/>
      <c r="CB1" s="39"/>
      <c r="CC1" s="39"/>
      <c r="CD1" s="39"/>
      <c r="CE1" s="39"/>
      <c r="CF1" s="39"/>
    </row>
    <row r="2" spans="1:84" ht="31.5" customHeight="1">
      <c r="A2" s="881" t="s">
        <v>4364</v>
      </c>
      <c r="B2" s="881"/>
      <c r="C2" s="881"/>
      <c r="D2" s="881"/>
      <c r="E2" s="881"/>
      <c r="F2" s="881"/>
      <c r="G2" s="881"/>
      <c r="I2" s="37"/>
      <c r="J2" s="304"/>
      <c r="K2" s="38"/>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row>
    <row r="3" spans="1:84" ht="8.25" customHeight="1">
      <c r="A3" s="5"/>
      <c r="B3" s="32"/>
      <c r="C3" s="5"/>
      <c r="D3" s="26"/>
      <c r="E3" s="5"/>
      <c r="F3" s="5"/>
      <c r="G3" s="5"/>
      <c r="I3" s="37"/>
      <c r="J3" s="793"/>
      <c r="K3" s="794"/>
      <c r="L3" s="794"/>
      <c r="M3" s="795"/>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row>
    <row r="4" spans="1:84" ht="13.5" thickBot="1">
      <c r="A4" s="63" t="str">
        <f>"RUC : "&amp;'Cap01'!C12&amp;"   "&amp;'Cap01'!E12</f>
        <v xml:space="preserve">RUC :    </v>
      </c>
      <c r="B4" s="63"/>
      <c r="C4" s="63"/>
      <c r="D4" s="63"/>
      <c r="E4" s="63"/>
      <c r="F4" s="63"/>
      <c r="G4" s="63"/>
      <c r="H4" s="63"/>
      <c r="I4" s="37"/>
      <c r="J4" s="304"/>
      <c r="K4" s="38"/>
      <c r="L4" s="791"/>
      <c r="M4" s="791"/>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c r="CE4" s="39"/>
      <c r="CF4" s="39"/>
    </row>
    <row r="5" spans="1:84">
      <c r="A5" s="875" t="s">
        <v>2963</v>
      </c>
      <c r="B5" s="876"/>
      <c r="C5" s="876"/>
      <c r="D5" s="876"/>
      <c r="E5" s="876"/>
      <c r="F5" s="876"/>
      <c r="G5" s="877"/>
      <c r="H5" s="63"/>
      <c r="I5" s="37"/>
      <c r="J5" s="304"/>
      <c r="K5" s="38"/>
      <c r="L5" s="50"/>
      <c r="M5" s="50"/>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c r="CE5" s="39"/>
      <c r="CF5" s="39"/>
    </row>
    <row r="6" spans="1:84" ht="13.5" thickBot="1">
      <c r="A6" s="878"/>
      <c r="B6" s="879"/>
      <c r="C6" s="879"/>
      <c r="D6" s="879"/>
      <c r="E6" s="879"/>
      <c r="F6" s="879"/>
      <c r="G6" s="880"/>
      <c r="H6" s="63"/>
      <c r="I6" s="37"/>
      <c r="J6" s="304"/>
      <c r="K6" s="38"/>
      <c r="L6" s="50"/>
      <c r="M6" s="50"/>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row>
    <row r="7" spans="1:84" ht="24.75" customHeight="1">
      <c r="A7" s="5"/>
      <c r="B7" s="32"/>
      <c r="C7" s="5"/>
      <c r="D7" s="26"/>
      <c r="E7" s="5"/>
      <c r="F7" s="5"/>
      <c r="G7" s="5"/>
      <c r="I7" s="37"/>
      <c r="J7" s="304"/>
      <c r="K7" s="38"/>
      <c r="L7" s="50"/>
      <c r="M7" s="50"/>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row>
    <row r="8" spans="1:84" ht="19.5" customHeight="1">
      <c r="A8" s="5"/>
      <c r="B8" s="20" t="str">
        <f>CONCATENATE("CAPITULO 5A) CONSUMO DE OTRAS MATERIAS PRIMAS EN EL AÑO",'Cap01'!A1)</f>
        <v>CAPITULO 5A) CONSUMO DE OTRAS MATERIAS PRIMAS EN EL AÑO2006</v>
      </c>
      <c r="D8" s="81"/>
      <c r="E8" s="81"/>
      <c r="F8" s="81"/>
      <c r="G8" s="81"/>
      <c r="H8" s="5"/>
      <c r="J8" s="365"/>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row>
    <row r="9" spans="1:84" ht="5.25" customHeight="1">
      <c r="B9" s="32"/>
      <c r="C9" s="5"/>
      <c r="D9" s="26"/>
      <c r="E9" s="5"/>
      <c r="F9" s="5"/>
      <c r="G9" s="5"/>
      <c r="H9" s="5"/>
      <c r="J9" s="365"/>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row>
    <row r="10" spans="1:84">
      <c r="B10" s="760" t="s">
        <v>4365</v>
      </c>
      <c r="C10" s="761"/>
      <c r="D10" s="428" t="s">
        <v>1963</v>
      </c>
      <c r="E10" s="430" t="s">
        <v>231</v>
      </c>
      <c r="F10" s="779" t="s">
        <v>728</v>
      </c>
      <c r="G10" s="780"/>
      <c r="H10" s="358"/>
      <c r="I10" s="41"/>
      <c r="J10" s="366" t="s">
        <v>543</v>
      </c>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row>
    <row r="11" spans="1:84">
      <c r="B11" s="762"/>
      <c r="C11" s="763"/>
      <c r="D11" s="438"/>
      <c r="E11" s="459" t="s">
        <v>2456</v>
      </c>
      <c r="F11" s="781"/>
      <c r="G11" s="782"/>
      <c r="H11" s="358"/>
      <c r="I11" s="41"/>
      <c r="J11" s="366">
        <f>SUM(J12:J52)</f>
        <v>0</v>
      </c>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row>
    <row r="12" spans="1:84" ht="11.1" customHeight="1">
      <c r="B12" s="768"/>
      <c r="C12" s="769"/>
      <c r="D12" s="40" t="s">
        <v>1964</v>
      </c>
      <c r="E12" s="301"/>
      <c r="F12" s="352" t="str">
        <f t="shared" ref="F12:F52" si="0">IF(AND(B12="",E12&lt;&gt;0),"Debe ingresar Nombre de Materia Prima",IF(AND(B12&lt;&gt;"",E12=0),"Debe ingresar Monto consumido",""))</f>
        <v/>
      </c>
      <c r="G12" s="354"/>
      <c r="H12" s="41"/>
      <c r="I12" s="41"/>
      <c r="J12" s="366">
        <f>IF(F12&lt;&gt;"",1,0)</f>
        <v>0</v>
      </c>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row>
    <row r="13" spans="1:84" ht="11.1" customHeight="1">
      <c r="B13" s="768"/>
      <c r="C13" s="769"/>
      <c r="D13" s="40" t="s">
        <v>1965</v>
      </c>
      <c r="E13" s="301"/>
      <c r="F13" s="352" t="str">
        <f t="shared" si="0"/>
        <v/>
      </c>
      <c r="G13" s="354"/>
      <c r="H13" s="41"/>
      <c r="I13" s="41"/>
      <c r="J13" s="366">
        <f t="shared" ref="J13:J52" si="1">IF(F13&lt;&gt;"",1,0)</f>
        <v>0</v>
      </c>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row>
    <row r="14" spans="1:84" ht="11.1" customHeight="1">
      <c r="B14" s="768"/>
      <c r="C14" s="769"/>
      <c r="D14" s="40" t="s">
        <v>1966</v>
      </c>
      <c r="E14" s="301"/>
      <c r="F14" s="352" t="str">
        <f t="shared" si="0"/>
        <v/>
      </c>
      <c r="G14" s="354"/>
      <c r="H14" s="41"/>
      <c r="I14" s="41"/>
      <c r="J14" s="366">
        <f t="shared" si="1"/>
        <v>0</v>
      </c>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row>
    <row r="15" spans="1:84" ht="11.1" customHeight="1">
      <c r="B15" s="768"/>
      <c r="C15" s="769"/>
      <c r="D15" s="40" t="s">
        <v>1967</v>
      </c>
      <c r="E15" s="301"/>
      <c r="F15" s="352" t="str">
        <f t="shared" si="0"/>
        <v/>
      </c>
      <c r="G15" s="354"/>
      <c r="H15" s="41"/>
      <c r="I15" s="41"/>
      <c r="J15" s="366">
        <f t="shared" si="1"/>
        <v>0</v>
      </c>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row>
    <row r="16" spans="1:84" ht="11.1" customHeight="1">
      <c r="B16" s="768"/>
      <c r="C16" s="769"/>
      <c r="D16" s="40" t="s">
        <v>1968</v>
      </c>
      <c r="E16" s="301"/>
      <c r="F16" s="352" t="str">
        <f t="shared" si="0"/>
        <v/>
      </c>
      <c r="G16" s="354"/>
      <c r="H16" s="41"/>
      <c r="I16" s="41"/>
      <c r="J16" s="366">
        <f t="shared" si="1"/>
        <v>0</v>
      </c>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row>
    <row r="17" spans="2:84" ht="11.1" customHeight="1">
      <c r="B17" s="768"/>
      <c r="C17" s="769"/>
      <c r="D17" s="40" t="s">
        <v>1969</v>
      </c>
      <c r="E17" s="301"/>
      <c r="F17" s="352" t="str">
        <f t="shared" si="0"/>
        <v/>
      </c>
      <c r="G17" s="354"/>
      <c r="H17" s="41"/>
      <c r="I17" s="41"/>
      <c r="J17" s="366">
        <f t="shared" si="1"/>
        <v>0</v>
      </c>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row>
    <row r="18" spans="2:84" ht="11.1" customHeight="1">
      <c r="B18" s="768"/>
      <c r="C18" s="769"/>
      <c r="D18" s="40" t="s">
        <v>1970</v>
      </c>
      <c r="E18" s="301"/>
      <c r="F18" s="352" t="str">
        <f t="shared" si="0"/>
        <v/>
      </c>
      <c r="G18" s="354"/>
      <c r="H18" s="41"/>
      <c r="I18" s="41"/>
      <c r="J18" s="366">
        <f t="shared" si="1"/>
        <v>0</v>
      </c>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row>
    <row r="19" spans="2:84" ht="11.1" customHeight="1">
      <c r="B19" s="768"/>
      <c r="C19" s="769"/>
      <c r="D19" s="40" t="s">
        <v>1971</v>
      </c>
      <c r="E19" s="301"/>
      <c r="F19" s="352" t="str">
        <f t="shared" si="0"/>
        <v/>
      </c>
      <c r="G19" s="354"/>
      <c r="H19" s="41"/>
      <c r="I19" s="41"/>
      <c r="J19" s="366">
        <f t="shared" si="1"/>
        <v>0</v>
      </c>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row>
    <row r="20" spans="2:84" ht="11.1" customHeight="1">
      <c r="B20" s="768"/>
      <c r="C20" s="769"/>
      <c r="D20" s="40" t="s">
        <v>1972</v>
      </c>
      <c r="E20" s="301"/>
      <c r="F20" s="352" t="str">
        <f t="shared" si="0"/>
        <v/>
      </c>
      <c r="G20" s="354"/>
      <c r="H20" s="41"/>
      <c r="I20" s="41"/>
      <c r="J20" s="366">
        <f t="shared" si="1"/>
        <v>0</v>
      </c>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row>
    <row r="21" spans="2:84" ht="11.1" customHeight="1">
      <c r="B21" s="768"/>
      <c r="C21" s="769"/>
      <c r="D21" s="40" t="s">
        <v>1973</v>
      </c>
      <c r="E21" s="301"/>
      <c r="F21" s="352" t="str">
        <f t="shared" si="0"/>
        <v/>
      </c>
      <c r="G21" s="354"/>
      <c r="H21" s="41"/>
      <c r="I21" s="41"/>
      <c r="J21" s="366">
        <f t="shared" si="1"/>
        <v>0</v>
      </c>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row>
    <row r="22" spans="2:84" ht="11.1" customHeight="1">
      <c r="B22" s="768"/>
      <c r="C22" s="769"/>
      <c r="D22" s="40" t="s">
        <v>1974</v>
      </c>
      <c r="E22" s="301"/>
      <c r="F22" s="352" t="str">
        <f t="shared" si="0"/>
        <v/>
      </c>
      <c r="G22" s="354"/>
      <c r="H22" s="41"/>
      <c r="I22" s="41"/>
      <c r="J22" s="366">
        <f t="shared" si="1"/>
        <v>0</v>
      </c>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row>
    <row r="23" spans="2:84" ht="11.1" customHeight="1">
      <c r="B23" s="768"/>
      <c r="C23" s="769"/>
      <c r="D23" s="40" t="s">
        <v>1975</v>
      </c>
      <c r="E23" s="301"/>
      <c r="F23" s="352" t="str">
        <f t="shared" si="0"/>
        <v/>
      </c>
      <c r="G23" s="354"/>
      <c r="H23" s="41"/>
      <c r="I23" s="41"/>
      <c r="J23" s="366">
        <f t="shared" si="1"/>
        <v>0</v>
      </c>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row>
    <row r="24" spans="2:84" ht="11.1" customHeight="1">
      <c r="B24" s="768"/>
      <c r="C24" s="769"/>
      <c r="D24" s="40" t="s">
        <v>1976</v>
      </c>
      <c r="E24" s="301"/>
      <c r="F24" s="352" t="str">
        <f t="shared" si="0"/>
        <v/>
      </c>
      <c r="G24" s="354"/>
      <c r="H24" s="41"/>
      <c r="I24" s="41"/>
      <c r="J24" s="366">
        <f t="shared" si="1"/>
        <v>0</v>
      </c>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row>
    <row r="25" spans="2:84" ht="11.1" customHeight="1">
      <c r="B25" s="768"/>
      <c r="C25" s="769"/>
      <c r="D25" s="40" t="s">
        <v>1977</v>
      </c>
      <c r="E25" s="301"/>
      <c r="F25" s="352" t="str">
        <f t="shared" si="0"/>
        <v/>
      </c>
      <c r="G25" s="354"/>
      <c r="H25" s="41"/>
      <c r="I25" s="41"/>
      <c r="J25" s="366">
        <f t="shared" si="1"/>
        <v>0</v>
      </c>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row>
    <row r="26" spans="2:84" ht="11.1" customHeight="1">
      <c r="B26" s="768"/>
      <c r="C26" s="769"/>
      <c r="D26" s="40" t="s">
        <v>1978</v>
      </c>
      <c r="E26" s="301"/>
      <c r="F26" s="352" t="str">
        <f t="shared" si="0"/>
        <v/>
      </c>
      <c r="G26" s="354"/>
      <c r="H26" s="41"/>
      <c r="I26" s="41"/>
      <c r="J26" s="366">
        <f t="shared" si="1"/>
        <v>0</v>
      </c>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row>
    <row r="27" spans="2:84" ht="11.1" customHeight="1">
      <c r="B27" s="768"/>
      <c r="C27" s="769"/>
      <c r="D27" s="40" t="s">
        <v>1979</v>
      </c>
      <c r="E27" s="301"/>
      <c r="F27" s="352" t="str">
        <f t="shared" si="0"/>
        <v/>
      </c>
      <c r="G27" s="354"/>
      <c r="H27" s="41"/>
      <c r="I27" s="41"/>
      <c r="J27" s="366">
        <f t="shared" si="1"/>
        <v>0</v>
      </c>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row>
    <row r="28" spans="2:84" ht="11.1" customHeight="1">
      <c r="B28" s="768"/>
      <c r="C28" s="769"/>
      <c r="D28" s="40" t="s">
        <v>1980</v>
      </c>
      <c r="E28" s="301"/>
      <c r="F28" s="352" t="str">
        <f t="shared" si="0"/>
        <v/>
      </c>
      <c r="G28" s="354"/>
      <c r="H28" s="41"/>
      <c r="I28" s="41"/>
      <c r="J28" s="366">
        <f t="shared" si="1"/>
        <v>0</v>
      </c>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row>
    <row r="29" spans="2:84" ht="11.1" customHeight="1">
      <c r="B29" s="768"/>
      <c r="C29" s="769"/>
      <c r="D29" s="40" t="s">
        <v>1981</v>
      </c>
      <c r="E29" s="301"/>
      <c r="F29" s="352" t="str">
        <f t="shared" si="0"/>
        <v/>
      </c>
      <c r="G29" s="354"/>
      <c r="H29" s="41"/>
      <c r="I29" s="41"/>
      <c r="J29" s="366">
        <f t="shared" si="1"/>
        <v>0</v>
      </c>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row>
    <row r="30" spans="2:84" ht="11.1" customHeight="1">
      <c r="B30" s="768"/>
      <c r="C30" s="769"/>
      <c r="D30" s="40" t="s">
        <v>1982</v>
      </c>
      <c r="E30" s="301"/>
      <c r="F30" s="352" t="str">
        <f t="shared" si="0"/>
        <v/>
      </c>
      <c r="G30" s="354"/>
      <c r="H30" s="41"/>
      <c r="I30" s="41"/>
      <c r="J30" s="366">
        <f t="shared" si="1"/>
        <v>0</v>
      </c>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row>
    <row r="31" spans="2:84" ht="11.1" customHeight="1">
      <c r="B31" s="768"/>
      <c r="C31" s="769"/>
      <c r="D31" s="40" t="s">
        <v>4150</v>
      </c>
      <c r="E31" s="301"/>
      <c r="F31" s="352" t="str">
        <f t="shared" si="0"/>
        <v/>
      </c>
      <c r="G31" s="354"/>
      <c r="H31" s="41"/>
      <c r="I31" s="41"/>
      <c r="J31" s="366">
        <f t="shared" si="1"/>
        <v>0</v>
      </c>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row>
    <row r="32" spans="2:84" ht="11.1" customHeight="1">
      <c r="B32" s="768"/>
      <c r="C32" s="769"/>
      <c r="D32" s="40" t="s">
        <v>4151</v>
      </c>
      <c r="E32" s="301"/>
      <c r="F32" s="352" t="str">
        <f t="shared" si="0"/>
        <v/>
      </c>
      <c r="G32" s="354"/>
      <c r="H32" s="41"/>
      <c r="I32" s="41"/>
      <c r="J32" s="366">
        <f t="shared" si="1"/>
        <v>0</v>
      </c>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row>
    <row r="33" spans="2:84" ht="11.1" customHeight="1">
      <c r="B33" s="768"/>
      <c r="C33" s="769"/>
      <c r="D33" s="40" t="s">
        <v>4152</v>
      </c>
      <c r="E33" s="301"/>
      <c r="F33" s="352" t="str">
        <f t="shared" si="0"/>
        <v/>
      </c>
      <c r="G33" s="354"/>
      <c r="H33" s="41"/>
      <c r="I33" s="41"/>
      <c r="J33" s="366">
        <f t="shared" si="1"/>
        <v>0</v>
      </c>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row>
    <row r="34" spans="2:84" ht="11.1" customHeight="1">
      <c r="B34" s="768"/>
      <c r="C34" s="769"/>
      <c r="D34" s="40" t="s">
        <v>4153</v>
      </c>
      <c r="E34" s="301"/>
      <c r="F34" s="352" t="str">
        <f t="shared" si="0"/>
        <v/>
      </c>
      <c r="G34" s="354"/>
      <c r="H34" s="41"/>
      <c r="I34" s="41"/>
      <c r="J34" s="366">
        <f t="shared" si="1"/>
        <v>0</v>
      </c>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row>
    <row r="35" spans="2:84" ht="11.1" customHeight="1">
      <c r="B35" s="768"/>
      <c r="C35" s="769"/>
      <c r="D35" s="40" t="s">
        <v>4154</v>
      </c>
      <c r="E35" s="301"/>
      <c r="F35" s="352" t="str">
        <f t="shared" si="0"/>
        <v/>
      </c>
      <c r="G35" s="354"/>
      <c r="H35" s="41"/>
      <c r="I35" s="41"/>
      <c r="J35" s="366">
        <f t="shared" si="1"/>
        <v>0</v>
      </c>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row>
    <row r="36" spans="2:84" ht="11.1" customHeight="1">
      <c r="B36" s="768"/>
      <c r="C36" s="769"/>
      <c r="D36" s="40" t="s">
        <v>4155</v>
      </c>
      <c r="E36" s="301"/>
      <c r="F36" s="352" t="str">
        <f t="shared" si="0"/>
        <v/>
      </c>
      <c r="G36" s="354"/>
      <c r="H36" s="41"/>
      <c r="I36" s="41"/>
      <c r="J36" s="366">
        <f t="shared" si="1"/>
        <v>0</v>
      </c>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row>
    <row r="37" spans="2:84" ht="11.1" customHeight="1">
      <c r="B37" s="768"/>
      <c r="C37" s="769"/>
      <c r="D37" s="40" t="s">
        <v>4156</v>
      </c>
      <c r="E37" s="301"/>
      <c r="F37" s="352" t="str">
        <f t="shared" si="0"/>
        <v/>
      </c>
      <c r="G37" s="354"/>
      <c r="H37" s="41"/>
      <c r="I37" s="41"/>
      <c r="J37" s="366">
        <f t="shared" si="1"/>
        <v>0</v>
      </c>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row>
    <row r="38" spans="2:84" ht="11.1" customHeight="1">
      <c r="B38" s="768"/>
      <c r="C38" s="769"/>
      <c r="D38" s="40" t="s">
        <v>4157</v>
      </c>
      <c r="E38" s="301"/>
      <c r="F38" s="352" t="str">
        <f t="shared" si="0"/>
        <v/>
      </c>
      <c r="G38" s="354"/>
      <c r="H38" s="41"/>
      <c r="I38" s="41"/>
      <c r="J38" s="366">
        <f t="shared" si="1"/>
        <v>0</v>
      </c>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row>
    <row r="39" spans="2:84" ht="11.1" customHeight="1">
      <c r="B39" s="768"/>
      <c r="C39" s="769"/>
      <c r="D39" s="40" t="s">
        <v>4158</v>
      </c>
      <c r="E39" s="301"/>
      <c r="F39" s="352" t="str">
        <f t="shared" si="0"/>
        <v/>
      </c>
      <c r="G39" s="354"/>
      <c r="H39" s="41"/>
      <c r="I39" s="41"/>
      <c r="J39" s="366">
        <f t="shared" si="1"/>
        <v>0</v>
      </c>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row>
    <row r="40" spans="2:84" ht="11.1" customHeight="1">
      <c r="B40" s="768"/>
      <c r="C40" s="769"/>
      <c r="D40" s="40" t="s">
        <v>4159</v>
      </c>
      <c r="E40" s="301"/>
      <c r="F40" s="352" t="str">
        <f t="shared" si="0"/>
        <v/>
      </c>
      <c r="G40" s="354"/>
      <c r="H40" s="41"/>
      <c r="I40" s="41"/>
      <c r="J40" s="366">
        <f t="shared" si="1"/>
        <v>0</v>
      </c>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row>
    <row r="41" spans="2:84" ht="11.1" customHeight="1">
      <c r="B41" s="768"/>
      <c r="C41" s="769"/>
      <c r="D41" s="40" t="s">
        <v>2424</v>
      </c>
      <c r="E41" s="301"/>
      <c r="F41" s="352" t="str">
        <f t="shared" si="0"/>
        <v/>
      </c>
      <c r="G41" s="355"/>
      <c r="H41" s="71"/>
      <c r="I41" s="41"/>
      <c r="J41" s="366">
        <f t="shared" si="1"/>
        <v>0</v>
      </c>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row>
    <row r="42" spans="2:84" ht="11.1" customHeight="1">
      <c r="B42" s="768"/>
      <c r="C42" s="769"/>
      <c r="D42" s="40" t="s">
        <v>2425</v>
      </c>
      <c r="E42" s="301"/>
      <c r="F42" s="352" t="str">
        <f t="shared" si="0"/>
        <v/>
      </c>
      <c r="G42" s="355"/>
      <c r="H42" s="71"/>
      <c r="I42" s="41"/>
      <c r="J42" s="366">
        <f t="shared" si="1"/>
        <v>0</v>
      </c>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row>
    <row r="43" spans="2:84" ht="11.1" customHeight="1">
      <c r="B43" s="768"/>
      <c r="C43" s="769"/>
      <c r="D43" s="40" t="s">
        <v>2426</v>
      </c>
      <c r="E43" s="301"/>
      <c r="F43" s="352" t="str">
        <f t="shared" si="0"/>
        <v/>
      </c>
      <c r="G43" s="355"/>
      <c r="H43" s="71"/>
      <c r="I43" s="41"/>
      <c r="J43" s="366">
        <f t="shared" si="1"/>
        <v>0</v>
      </c>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row>
    <row r="44" spans="2:84" ht="11.1" customHeight="1">
      <c r="B44" s="768"/>
      <c r="C44" s="769"/>
      <c r="D44" s="40" t="s">
        <v>2427</v>
      </c>
      <c r="E44" s="301"/>
      <c r="F44" s="352" t="str">
        <f t="shared" si="0"/>
        <v/>
      </c>
      <c r="G44" s="355"/>
      <c r="H44" s="71"/>
      <c r="I44" s="41"/>
      <c r="J44" s="366">
        <f t="shared" si="1"/>
        <v>0</v>
      </c>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row>
    <row r="45" spans="2:84" ht="11.1" customHeight="1">
      <c r="B45" s="768"/>
      <c r="C45" s="769"/>
      <c r="D45" s="40" t="s">
        <v>2428</v>
      </c>
      <c r="E45" s="301"/>
      <c r="F45" s="352" t="str">
        <f t="shared" si="0"/>
        <v/>
      </c>
      <c r="G45" s="355"/>
      <c r="H45" s="71"/>
      <c r="I45" s="41"/>
      <c r="J45" s="366">
        <f t="shared" si="1"/>
        <v>0</v>
      </c>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row>
    <row r="46" spans="2:84" ht="11.1" customHeight="1">
      <c r="B46" s="768"/>
      <c r="C46" s="769"/>
      <c r="D46" s="40" t="s">
        <v>2429</v>
      </c>
      <c r="E46" s="301"/>
      <c r="F46" s="352" t="str">
        <f t="shared" si="0"/>
        <v/>
      </c>
      <c r="G46" s="355"/>
      <c r="H46" s="71"/>
      <c r="I46" s="41"/>
      <c r="J46" s="366">
        <f t="shared" si="1"/>
        <v>0</v>
      </c>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row>
    <row r="47" spans="2:84" ht="11.1" customHeight="1">
      <c r="B47" s="768"/>
      <c r="C47" s="769"/>
      <c r="D47" s="40" t="s">
        <v>2430</v>
      </c>
      <c r="E47" s="301"/>
      <c r="F47" s="352" t="str">
        <f t="shared" si="0"/>
        <v/>
      </c>
      <c r="G47" s="355"/>
      <c r="H47" s="71"/>
      <c r="I47" s="41"/>
      <c r="J47" s="366">
        <f t="shared" si="1"/>
        <v>0</v>
      </c>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row>
    <row r="48" spans="2:84" ht="11.1" customHeight="1">
      <c r="B48" s="768"/>
      <c r="C48" s="769"/>
      <c r="D48" s="40" t="s">
        <v>2431</v>
      </c>
      <c r="E48" s="301"/>
      <c r="F48" s="352" t="str">
        <f t="shared" si="0"/>
        <v/>
      </c>
      <c r="G48" s="355"/>
      <c r="H48" s="71"/>
      <c r="I48" s="41"/>
      <c r="J48" s="366">
        <f t="shared" si="1"/>
        <v>0</v>
      </c>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row>
    <row r="49" spans="2:84" ht="11.1" customHeight="1">
      <c r="B49" s="768"/>
      <c r="C49" s="769"/>
      <c r="D49" s="40" t="s">
        <v>2432</v>
      </c>
      <c r="E49" s="301"/>
      <c r="F49" s="352" t="str">
        <f t="shared" si="0"/>
        <v/>
      </c>
      <c r="G49" s="355"/>
      <c r="H49" s="71"/>
      <c r="I49" s="41"/>
      <c r="J49" s="366">
        <f t="shared" si="1"/>
        <v>0</v>
      </c>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row>
    <row r="50" spans="2:84" ht="11.1" customHeight="1">
      <c r="B50" s="768"/>
      <c r="C50" s="769"/>
      <c r="D50" s="40" t="s">
        <v>1961</v>
      </c>
      <c r="E50" s="301"/>
      <c r="F50" s="352" t="str">
        <f t="shared" si="0"/>
        <v/>
      </c>
      <c r="G50" s="355"/>
      <c r="H50" s="71"/>
      <c r="I50" s="41"/>
      <c r="J50" s="366">
        <f t="shared" si="1"/>
        <v>0</v>
      </c>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row>
    <row r="51" spans="2:84" ht="11.1" customHeight="1">
      <c r="B51" s="768"/>
      <c r="C51" s="769"/>
      <c r="D51" s="40" t="s">
        <v>1962</v>
      </c>
      <c r="E51" s="301"/>
      <c r="F51" s="352" t="str">
        <f t="shared" si="0"/>
        <v/>
      </c>
      <c r="G51" s="355"/>
      <c r="H51" s="71"/>
      <c r="I51" s="41"/>
      <c r="J51" s="366">
        <f t="shared" si="1"/>
        <v>0</v>
      </c>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row>
    <row r="52" spans="2:84" ht="11.1" customHeight="1">
      <c r="B52" s="768"/>
      <c r="C52" s="769"/>
      <c r="D52" s="40" t="s">
        <v>1482</v>
      </c>
      <c r="E52" s="301"/>
      <c r="F52" s="356" t="str">
        <f t="shared" si="0"/>
        <v/>
      </c>
      <c r="G52" s="357"/>
      <c r="H52" s="71"/>
      <c r="I52" s="41"/>
      <c r="J52" s="366">
        <f t="shared" si="1"/>
        <v>0</v>
      </c>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row>
    <row r="53" spans="2:84" ht="11.1" customHeight="1">
      <c r="B53" s="775" t="s">
        <v>1064</v>
      </c>
      <c r="C53" s="809"/>
      <c r="D53" s="40" t="s">
        <v>1483</v>
      </c>
      <c r="E53" s="300">
        <f>SUM(E12:E52)</f>
        <v>0</v>
      </c>
      <c r="F53" s="86"/>
      <c r="G53" s="86"/>
      <c r="H53" s="41"/>
      <c r="I53" s="41"/>
      <c r="J53" s="365"/>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row>
    <row r="54" spans="2:84" ht="4.5" customHeight="1">
      <c r="B54" s="44"/>
      <c r="C54" s="45"/>
      <c r="D54" s="46"/>
      <c r="E54" s="47"/>
      <c r="F54" s="77"/>
      <c r="G54" s="41"/>
      <c r="H54" s="41"/>
      <c r="I54" s="41"/>
      <c r="J54" s="365"/>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row>
    <row r="55" spans="2:84" ht="9" customHeight="1">
      <c r="B55" s="76"/>
      <c r="C55" s="41"/>
      <c r="D55" s="78"/>
      <c r="E55" s="77"/>
      <c r="F55" s="77"/>
      <c r="G55" s="41"/>
      <c r="H55" s="41"/>
      <c r="I55" s="41"/>
      <c r="J55" s="365"/>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row>
    <row r="56" spans="2:84">
      <c r="J56" s="365"/>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row>
  </sheetData>
  <sheetProtection password="D3CE" sheet="1" objects="1" scenarios="1" selectLockedCells="1"/>
  <dataConsolidate/>
  <mergeCells count="50">
    <mergeCell ref="B46:C46"/>
    <mergeCell ref="B47:C47"/>
    <mergeCell ref="L4:M4"/>
    <mergeCell ref="A1:D1"/>
    <mergeCell ref="J3:M3"/>
    <mergeCell ref="E1:F1"/>
    <mergeCell ref="B28:C28"/>
    <mergeCell ref="B35:C35"/>
    <mergeCell ref="B36:C36"/>
    <mergeCell ref="B29:C29"/>
    <mergeCell ref="B41:C41"/>
    <mergeCell ref="B42:C42"/>
    <mergeCell ref="B43:C43"/>
    <mergeCell ref="B40:C40"/>
    <mergeCell ref="B44:C44"/>
    <mergeCell ref="B45:C45"/>
    <mergeCell ref="B53:C53"/>
    <mergeCell ref="B48:C48"/>
    <mergeCell ref="B49:C49"/>
    <mergeCell ref="B50:C50"/>
    <mergeCell ref="B51:C51"/>
    <mergeCell ref="B52:C52"/>
    <mergeCell ref="B14:C14"/>
    <mergeCell ref="B15:C15"/>
    <mergeCell ref="B21:C21"/>
    <mergeCell ref="B22:C22"/>
    <mergeCell ref="B16:C16"/>
    <mergeCell ref="B17:C17"/>
    <mergeCell ref="B18:C18"/>
    <mergeCell ref="B19:C19"/>
    <mergeCell ref="B24:C24"/>
    <mergeCell ref="B25:C25"/>
    <mergeCell ref="B26:C26"/>
    <mergeCell ref="B27:C27"/>
    <mergeCell ref="B38:C38"/>
    <mergeCell ref="B39:C39"/>
    <mergeCell ref="B30:C30"/>
    <mergeCell ref="B32:C32"/>
    <mergeCell ref="B34:C34"/>
    <mergeCell ref="B33:C33"/>
    <mergeCell ref="F10:G11"/>
    <mergeCell ref="A5:G6"/>
    <mergeCell ref="A2:G2"/>
    <mergeCell ref="B23:C23"/>
    <mergeCell ref="B37:C37"/>
    <mergeCell ref="B13:C13"/>
    <mergeCell ref="B12:C12"/>
    <mergeCell ref="B10:C11"/>
    <mergeCell ref="B31:C31"/>
    <mergeCell ref="B20:C20"/>
  </mergeCells>
  <phoneticPr fontId="0" type="noConversion"/>
  <dataValidations count="1">
    <dataValidation type="whole" operator="greaterThan" allowBlank="1" showInputMessage="1" showErrorMessage="1" error="Debe ingresar un número positivo." sqref="E12:E52">
      <formula1>0</formula1>
    </dataValidation>
  </dataValidations>
  <pageMargins left="0.5" right="0.75" top="0.39370078740157499" bottom="1"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4316" r:id="rId4" name="Button 44">
              <controlPr defaultSize="0" print="0" autoFill="0" autoPict="0" macro="[0]!Botón10_AlHacerClic">
                <anchor moveWithCells="1" sizeWithCells="1">
                  <from>
                    <xdr:col>6</xdr:col>
                    <xdr:colOff>19050</xdr:colOff>
                    <xdr:row>6</xdr:row>
                    <xdr:rowOff>38100</xdr:rowOff>
                  </from>
                  <to>
                    <xdr:col>7</xdr:col>
                    <xdr:colOff>9525</xdr:colOff>
                    <xdr:row>7</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1">
    <pageSetUpPr autoPageBreaks="0" fitToPage="1"/>
  </sheetPr>
  <dimension ref="A1:M52"/>
  <sheetViews>
    <sheetView showGridLines="0" showRowColHeaders="0" showZeros="0" showOutlineSymbols="0" workbookViewId="0">
      <pane ySplit="12" topLeftCell="A19" activePane="bottomLeft" state="frozen"/>
      <selection activeCell="C48" sqref="C48:G48"/>
      <selection pane="bottomLeft" activeCell="I16" sqref="I16"/>
    </sheetView>
  </sheetViews>
  <sheetFormatPr defaultColWidth="11.3984375" defaultRowHeight="12.75"/>
  <cols>
    <col min="1" max="1" width="1.265625" style="2" customWidth="1"/>
    <col min="2" max="2" width="25.3984375" style="2" customWidth="1"/>
    <col min="3" max="3" width="5" style="2" customWidth="1"/>
    <col min="4" max="4" width="9.86328125" style="2" customWidth="1"/>
    <col min="5" max="5" width="8" style="2" customWidth="1"/>
    <col min="6" max="6" width="11.265625" style="2" customWidth="1"/>
    <col min="7" max="7" width="13" style="2" customWidth="1"/>
    <col min="8" max="8" width="12.3984375" style="2" customWidth="1"/>
    <col min="9" max="9" width="10.59765625" style="2" customWidth="1"/>
    <col min="10" max="10" width="27.1328125" style="2" customWidth="1"/>
    <col min="11" max="11" width="18.86328125" style="2" customWidth="1"/>
    <col min="12" max="12" width="11.3984375" style="2"/>
    <col min="13" max="13" width="5.86328125" style="2" customWidth="1"/>
    <col min="14" max="16384" width="11.3984375" style="2"/>
  </cols>
  <sheetData>
    <row r="1" spans="1:13" ht="26.25" customHeight="1">
      <c r="A1" s="792"/>
      <c r="B1" s="792"/>
      <c r="C1" s="792"/>
      <c r="D1" s="792"/>
      <c r="E1" s="792"/>
      <c r="F1" s="792"/>
      <c r="G1" s="792"/>
      <c r="H1" s="5"/>
      <c r="I1" s="5"/>
      <c r="M1" s="363"/>
    </row>
    <row r="2" spans="1:13" ht="36" customHeight="1">
      <c r="A2" s="881" t="s">
        <v>1879</v>
      </c>
      <c r="B2" s="881"/>
      <c r="C2" s="881"/>
      <c r="D2" s="881"/>
      <c r="E2" s="881"/>
      <c r="F2" s="881"/>
      <c r="G2" s="881"/>
      <c r="H2" s="881"/>
      <c r="I2" s="881"/>
      <c r="M2" s="363"/>
    </row>
    <row r="3" spans="1:13" ht="10.5" customHeight="1">
      <c r="A3" s="5"/>
      <c r="B3" s="5"/>
      <c r="C3" s="8"/>
      <c r="D3" s="8"/>
      <c r="E3" s="8"/>
      <c r="F3" s="5"/>
      <c r="G3" s="5"/>
      <c r="H3" s="5"/>
      <c r="I3" s="5"/>
      <c r="M3" s="363"/>
    </row>
    <row r="4" spans="1:13" ht="13.15">
      <c r="A4" s="882" t="str">
        <f>"RUC : "&amp;'Cap01'!C12&amp;"   "&amp;'Cap01'!E12</f>
        <v xml:space="preserve">RUC :    </v>
      </c>
      <c r="B4" s="882"/>
      <c r="C4" s="882"/>
      <c r="D4" s="882"/>
      <c r="E4" s="882"/>
      <c r="F4" s="882"/>
      <c r="G4" s="882"/>
      <c r="H4" s="882"/>
      <c r="I4" s="882"/>
      <c r="M4" s="363"/>
    </row>
    <row r="5" spans="1:13" ht="13.5" thickBot="1">
      <c r="A5" s="63"/>
      <c r="B5" s="63"/>
      <c r="C5" s="63"/>
      <c r="D5" s="63"/>
      <c r="E5" s="63"/>
      <c r="F5" s="63"/>
      <c r="G5" s="63"/>
      <c r="H5" s="5"/>
      <c r="I5" s="5"/>
      <c r="M5" s="363"/>
    </row>
    <row r="6" spans="1:13">
      <c r="A6" s="875" t="s">
        <v>766</v>
      </c>
      <c r="B6" s="876"/>
      <c r="C6" s="876"/>
      <c r="D6" s="876"/>
      <c r="E6" s="876"/>
      <c r="F6" s="876"/>
      <c r="G6" s="876"/>
      <c r="H6" s="876"/>
      <c r="I6" s="877"/>
      <c r="M6" s="363"/>
    </row>
    <row r="7" spans="1:13" ht="8.25" customHeight="1" thickBot="1">
      <c r="A7" s="878"/>
      <c r="B7" s="879"/>
      <c r="C7" s="879"/>
      <c r="D7" s="879"/>
      <c r="E7" s="879"/>
      <c r="F7" s="879"/>
      <c r="G7" s="879"/>
      <c r="H7" s="879"/>
      <c r="I7" s="880"/>
      <c r="M7" s="363"/>
    </row>
    <row r="8" spans="1:13" ht="15" customHeight="1">
      <c r="A8" s="5"/>
      <c r="B8" s="32"/>
      <c r="C8" s="82"/>
      <c r="D8" s="24"/>
      <c r="E8" s="24"/>
      <c r="F8" s="5"/>
      <c r="G8" s="5"/>
      <c r="H8" s="5"/>
      <c r="I8" s="5"/>
      <c r="M8" s="363"/>
    </row>
    <row r="9" spans="1:13" ht="13.15">
      <c r="A9" s="5"/>
      <c r="B9" s="20" t="str">
        <f>CONCATENATE("CAPITULO 7A): OTROS PRODUCTOS ELABORADOS EN EL AÑO ",'Cap01'!A1)</f>
        <v>CAPITULO 7A): OTROS PRODUCTOS ELABORADOS EN EL AÑO 2006</v>
      </c>
      <c r="C9" s="70"/>
      <c r="D9" s="70"/>
      <c r="E9" s="83"/>
      <c r="G9" s="5"/>
      <c r="H9" s="5"/>
      <c r="I9" s="5"/>
      <c r="M9" s="363"/>
    </row>
    <row r="10" spans="1:13" ht="12" customHeight="1">
      <c r="A10" s="3"/>
      <c r="B10" s="66" t="s">
        <v>4026</v>
      </c>
      <c r="C10" s="73"/>
      <c r="D10" s="73"/>
      <c r="E10" s="74"/>
      <c r="F10" s="5"/>
      <c r="G10" s="5"/>
      <c r="H10" s="5"/>
      <c r="I10" s="5"/>
      <c r="M10" s="363"/>
    </row>
    <row r="11" spans="1:13" ht="18" customHeight="1">
      <c r="A11" s="3"/>
      <c r="B11" s="760" t="s">
        <v>2893</v>
      </c>
      <c r="C11" s="821" t="s">
        <v>1963</v>
      </c>
      <c r="D11" s="819" t="s">
        <v>1746</v>
      </c>
      <c r="E11" s="813" t="s">
        <v>1747</v>
      </c>
      <c r="F11" s="815" t="s">
        <v>1748</v>
      </c>
      <c r="G11" s="816"/>
      <c r="H11" s="817"/>
      <c r="I11" s="813" t="s">
        <v>1874</v>
      </c>
      <c r="J11" s="779" t="s">
        <v>728</v>
      </c>
      <c r="K11" s="780"/>
      <c r="M11" s="364" t="s">
        <v>2498</v>
      </c>
    </row>
    <row r="12" spans="1:13" ht="26.25" customHeight="1">
      <c r="A12" s="3"/>
      <c r="B12" s="762"/>
      <c r="C12" s="822"/>
      <c r="D12" s="820"/>
      <c r="E12" s="814"/>
      <c r="F12" s="440" t="s">
        <v>1871</v>
      </c>
      <c r="G12" s="450" t="s">
        <v>1872</v>
      </c>
      <c r="H12" s="450" t="s">
        <v>1873</v>
      </c>
      <c r="I12" s="814"/>
      <c r="J12" s="781"/>
      <c r="K12" s="782"/>
      <c r="M12" s="364">
        <f>SUM(M13:M50)</f>
        <v>0</v>
      </c>
    </row>
    <row r="13" spans="1:13" ht="13.5" customHeight="1">
      <c r="A13" s="3"/>
      <c r="B13" s="101"/>
      <c r="C13" s="40" t="s">
        <v>1964</v>
      </c>
      <c r="D13" s="99"/>
      <c r="E13" s="103"/>
      <c r="F13" s="256">
        <f>IF(G13&gt;0,+ROUND(H13/G13,2),0)</f>
        <v>0</v>
      </c>
      <c r="G13" s="404"/>
      <c r="H13" s="222"/>
      <c r="I13" s="309"/>
      <c r="J13" s="353" t="str">
        <f t="shared" ref="J13:J50" si="0">IF(OR(AND(B13="",G13&gt;0),AND(B13="",H13&gt;0),AND(B13="",I13&gt;0)),"Ingrese Nombre de Productos",IF(AND(B13&lt;&gt;"",I13=0,G13=0,H13=0),"Ingrese Cantidad y Valor Total ó Cantidad Prod. Por Terceros",IF(AND(B13&lt;&gt;"",G13&gt;0,H13=0,I13=0),"Ingrese Valor Total",IF(AND(B13&lt;&gt;"",G13=0,H13&gt;0,I13=0),"Ingrese Cantidad Total",""))))</f>
        <v/>
      </c>
      <c r="K13" s="348"/>
      <c r="M13" s="364">
        <f>IF(J13&lt;&gt;"",1,0)</f>
        <v>0</v>
      </c>
    </row>
    <row r="14" spans="1:13" ht="13.5" customHeight="1">
      <c r="A14" s="3"/>
      <c r="B14" s="101"/>
      <c r="C14" s="40" t="s">
        <v>1965</v>
      </c>
      <c r="D14" s="99"/>
      <c r="E14" s="103"/>
      <c r="F14" s="256">
        <f t="shared" ref="F14:F50" si="1">IF(G14&gt;0,+ROUND(H14/G14,2),0)</f>
        <v>0</v>
      </c>
      <c r="G14" s="404"/>
      <c r="H14" s="222"/>
      <c r="I14" s="309"/>
      <c r="J14" s="353" t="str">
        <f t="shared" si="0"/>
        <v/>
      </c>
      <c r="K14" s="348"/>
      <c r="M14" s="364">
        <f t="shared" ref="M14:M50" si="2">IF(J14&lt;&gt;"",1,0)</f>
        <v>0</v>
      </c>
    </row>
    <row r="15" spans="1:13" ht="13.5" customHeight="1">
      <c r="A15" s="3"/>
      <c r="B15" s="101"/>
      <c r="C15" s="40" t="s">
        <v>1966</v>
      </c>
      <c r="D15" s="99"/>
      <c r="E15" s="103"/>
      <c r="F15" s="256">
        <f t="shared" si="1"/>
        <v>0</v>
      </c>
      <c r="G15" s="404"/>
      <c r="H15" s="222"/>
      <c r="I15" s="309"/>
      <c r="J15" s="353" t="str">
        <f t="shared" si="0"/>
        <v/>
      </c>
      <c r="K15" s="348"/>
      <c r="M15" s="364">
        <f t="shared" si="2"/>
        <v>0</v>
      </c>
    </row>
    <row r="16" spans="1:13" ht="13.5" customHeight="1">
      <c r="A16" s="3"/>
      <c r="B16" s="101"/>
      <c r="C16" s="40" t="s">
        <v>1967</v>
      </c>
      <c r="D16" s="99"/>
      <c r="E16" s="103"/>
      <c r="F16" s="256">
        <f t="shared" si="1"/>
        <v>0</v>
      </c>
      <c r="G16" s="404"/>
      <c r="H16" s="222"/>
      <c r="I16" s="309"/>
      <c r="J16" s="353" t="str">
        <f t="shared" si="0"/>
        <v/>
      </c>
      <c r="K16" s="348"/>
      <c r="M16" s="364">
        <f t="shared" si="2"/>
        <v>0</v>
      </c>
    </row>
    <row r="17" spans="1:13" ht="13.5" customHeight="1">
      <c r="A17" s="3"/>
      <c r="B17" s="101"/>
      <c r="C17" s="40" t="s">
        <v>1968</v>
      </c>
      <c r="D17" s="99"/>
      <c r="E17" s="103"/>
      <c r="F17" s="256">
        <f t="shared" si="1"/>
        <v>0</v>
      </c>
      <c r="G17" s="404"/>
      <c r="H17" s="222"/>
      <c r="I17" s="309"/>
      <c r="J17" s="353" t="str">
        <f t="shared" si="0"/>
        <v/>
      </c>
      <c r="K17" s="348"/>
      <c r="M17" s="364">
        <f t="shared" si="2"/>
        <v>0</v>
      </c>
    </row>
    <row r="18" spans="1:13" ht="13.5" customHeight="1">
      <c r="A18" s="3"/>
      <c r="B18" s="101"/>
      <c r="C18" s="40" t="s">
        <v>1969</v>
      </c>
      <c r="D18" s="99"/>
      <c r="E18" s="103"/>
      <c r="F18" s="256">
        <f t="shared" si="1"/>
        <v>0</v>
      </c>
      <c r="G18" s="404"/>
      <c r="H18" s="222"/>
      <c r="I18" s="309"/>
      <c r="J18" s="353" t="str">
        <f t="shared" si="0"/>
        <v/>
      </c>
      <c r="K18" s="348"/>
      <c r="M18" s="364">
        <f t="shared" si="2"/>
        <v>0</v>
      </c>
    </row>
    <row r="19" spans="1:13" ht="13.5" customHeight="1">
      <c r="A19" s="3"/>
      <c r="B19" s="101"/>
      <c r="C19" s="40" t="s">
        <v>1970</v>
      </c>
      <c r="D19" s="99"/>
      <c r="E19" s="103"/>
      <c r="F19" s="256">
        <f t="shared" si="1"/>
        <v>0</v>
      </c>
      <c r="G19" s="404"/>
      <c r="H19" s="222"/>
      <c r="I19" s="309"/>
      <c r="J19" s="353" t="str">
        <f t="shared" si="0"/>
        <v/>
      </c>
      <c r="K19" s="348"/>
      <c r="M19" s="364">
        <f t="shared" si="2"/>
        <v>0</v>
      </c>
    </row>
    <row r="20" spans="1:13" ht="13.5" customHeight="1">
      <c r="A20" s="3"/>
      <c r="B20" s="101"/>
      <c r="C20" s="40" t="s">
        <v>1971</v>
      </c>
      <c r="D20" s="99"/>
      <c r="E20" s="103"/>
      <c r="F20" s="256">
        <f t="shared" si="1"/>
        <v>0</v>
      </c>
      <c r="G20" s="404"/>
      <c r="H20" s="222"/>
      <c r="I20" s="309"/>
      <c r="J20" s="353" t="str">
        <f t="shared" si="0"/>
        <v/>
      </c>
      <c r="K20" s="348"/>
      <c r="M20" s="364">
        <f t="shared" si="2"/>
        <v>0</v>
      </c>
    </row>
    <row r="21" spans="1:13" ht="13.5" customHeight="1">
      <c r="A21" s="3"/>
      <c r="B21" s="101"/>
      <c r="C21" s="40" t="s">
        <v>1972</v>
      </c>
      <c r="D21" s="99"/>
      <c r="E21" s="103"/>
      <c r="F21" s="256">
        <f t="shared" si="1"/>
        <v>0</v>
      </c>
      <c r="G21" s="404"/>
      <c r="H21" s="222"/>
      <c r="I21" s="309"/>
      <c r="J21" s="353" t="str">
        <f t="shared" si="0"/>
        <v/>
      </c>
      <c r="K21" s="348"/>
      <c r="M21" s="364">
        <f t="shared" si="2"/>
        <v>0</v>
      </c>
    </row>
    <row r="22" spans="1:13" ht="13.5" customHeight="1">
      <c r="A22" s="3"/>
      <c r="B22" s="101"/>
      <c r="C22" s="40" t="s">
        <v>1973</v>
      </c>
      <c r="D22" s="99"/>
      <c r="E22" s="103"/>
      <c r="F22" s="256">
        <f t="shared" si="1"/>
        <v>0</v>
      </c>
      <c r="G22" s="404"/>
      <c r="H22" s="222"/>
      <c r="I22" s="309"/>
      <c r="J22" s="353" t="str">
        <f t="shared" si="0"/>
        <v/>
      </c>
      <c r="K22" s="348"/>
      <c r="M22" s="364">
        <f t="shared" si="2"/>
        <v>0</v>
      </c>
    </row>
    <row r="23" spans="1:13" ht="13.5" customHeight="1">
      <c r="A23" s="3"/>
      <c r="B23" s="101"/>
      <c r="C23" s="40" t="s">
        <v>1974</v>
      </c>
      <c r="D23" s="99"/>
      <c r="E23" s="103"/>
      <c r="F23" s="256">
        <f t="shared" si="1"/>
        <v>0</v>
      </c>
      <c r="G23" s="404"/>
      <c r="H23" s="222"/>
      <c r="I23" s="309"/>
      <c r="J23" s="353" t="str">
        <f t="shared" si="0"/>
        <v/>
      </c>
      <c r="K23" s="348"/>
      <c r="M23" s="364">
        <f t="shared" si="2"/>
        <v>0</v>
      </c>
    </row>
    <row r="24" spans="1:13" ht="13.5" customHeight="1">
      <c r="A24" s="3"/>
      <c r="B24" s="101"/>
      <c r="C24" s="40" t="s">
        <v>1975</v>
      </c>
      <c r="D24" s="99"/>
      <c r="E24" s="103"/>
      <c r="F24" s="256">
        <f t="shared" si="1"/>
        <v>0</v>
      </c>
      <c r="G24" s="404"/>
      <c r="H24" s="222"/>
      <c r="I24" s="309"/>
      <c r="J24" s="353" t="str">
        <f t="shared" si="0"/>
        <v/>
      </c>
      <c r="K24" s="348"/>
      <c r="M24" s="364">
        <f t="shared" si="2"/>
        <v>0</v>
      </c>
    </row>
    <row r="25" spans="1:13" ht="13.5" customHeight="1">
      <c r="A25" s="3"/>
      <c r="B25" s="101"/>
      <c r="C25" s="40" t="s">
        <v>1976</v>
      </c>
      <c r="D25" s="99"/>
      <c r="E25" s="103"/>
      <c r="F25" s="256">
        <f t="shared" si="1"/>
        <v>0</v>
      </c>
      <c r="G25" s="404"/>
      <c r="H25" s="222"/>
      <c r="I25" s="309"/>
      <c r="J25" s="353" t="str">
        <f t="shared" si="0"/>
        <v/>
      </c>
      <c r="K25" s="348"/>
      <c r="M25" s="364">
        <f t="shared" si="2"/>
        <v>0</v>
      </c>
    </row>
    <row r="26" spans="1:13" ht="13.5" customHeight="1">
      <c r="A26" s="3"/>
      <c r="B26" s="101"/>
      <c r="C26" s="40" t="s">
        <v>1977</v>
      </c>
      <c r="D26" s="99"/>
      <c r="E26" s="103"/>
      <c r="F26" s="256">
        <f t="shared" si="1"/>
        <v>0</v>
      </c>
      <c r="G26" s="404"/>
      <c r="H26" s="222"/>
      <c r="I26" s="309"/>
      <c r="J26" s="353" t="str">
        <f t="shared" si="0"/>
        <v/>
      </c>
      <c r="K26" s="348"/>
      <c r="M26" s="364">
        <f t="shared" si="2"/>
        <v>0</v>
      </c>
    </row>
    <row r="27" spans="1:13" ht="13.5" customHeight="1">
      <c r="A27" s="3"/>
      <c r="B27" s="101"/>
      <c r="C27" s="40" t="s">
        <v>1978</v>
      </c>
      <c r="D27" s="99"/>
      <c r="E27" s="103"/>
      <c r="F27" s="256">
        <f t="shared" si="1"/>
        <v>0</v>
      </c>
      <c r="G27" s="404"/>
      <c r="H27" s="222"/>
      <c r="I27" s="309"/>
      <c r="J27" s="353" t="str">
        <f t="shared" si="0"/>
        <v/>
      </c>
      <c r="K27" s="348"/>
      <c r="M27" s="364">
        <f t="shared" si="2"/>
        <v>0</v>
      </c>
    </row>
    <row r="28" spans="1:13" ht="13.5" customHeight="1">
      <c r="A28" s="3"/>
      <c r="B28" s="101"/>
      <c r="C28" s="40" t="s">
        <v>1979</v>
      </c>
      <c r="D28" s="99"/>
      <c r="E28" s="103"/>
      <c r="F28" s="256">
        <f t="shared" si="1"/>
        <v>0</v>
      </c>
      <c r="G28" s="404"/>
      <c r="H28" s="222"/>
      <c r="I28" s="309"/>
      <c r="J28" s="353" t="str">
        <f t="shared" si="0"/>
        <v/>
      </c>
      <c r="K28" s="348"/>
      <c r="M28" s="364">
        <f t="shared" si="2"/>
        <v>0</v>
      </c>
    </row>
    <row r="29" spans="1:13" ht="13.5" customHeight="1">
      <c r="A29" s="3"/>
      <c r="B29" s="101"/>
      <c r="C29" s="40" t="s">
        <v>1980</v>
      </c>
      <c r="D29" s="99"/>
      <c r="E29" s="103"/>
      <c r="F29" s="256">
        <f t="shared" si="1"/>
        <v>0</v>
      </c>
      <c r="G29" s="404"/>
      <c r="H29" s="222"/>
      <c r="I29" s="309"/>
      <c r="J29" s="353" t="str">
        <f t="shared" si="0"/>
        <v/>
      </c>
      <c r="K29" s="348"/>
      <c r="M29" s="364">
        <f t="shared" si="2"/>
        <v>0</v>
      </c>
    </row>
    <row r="30" spans="1:13" ht="13.5" customHeight="1">
      <c r="A30" s="3"/>
      <c r="B30" s="101"/>
      <c r="C30" s="40" t="s">
        <v>1981</v>
      </c>
      <c r="D30" s="99"/>
      <c r="E30" s="103"/>
      <c r="F30" s="256">
        <f t="shared" si="1"/>
        <v>0</v>
      </c>
      <c r="G30" s="404"/>
      <c r="H30" s="222"/>
      <c r="I30" s="309"/>
      <c r="J30" s="353" t="str">
        <f t="shared" si="0"/>
        <v/>
      </c>
      <c r="K30" s="348"/>
      <c r="M30" s="364">
        <f t="shared" si="2"/>
        <v>0</v>
      </c>
    </row>
    <row r="31" spans="1:13" ht="13.5" customHeight="1">
      <c r="A31" s="3"/>
      <c r="B31" s="101"/>
      <c r="C31" s="40" t="s">
        <v>1982</v>
      </c>
      <c r="D31" s="99"/>
      <c r="E31" s="103"/>
      <c r="F31" s="256">
        <f t="shared" si="1"/>
        <v>0</v>
      </c>
      <c r="G31" s="404"/>
      <c r="H31" s="222"/>
      <c r="I31" s="309"/>
      <c r="J31" s="353" t="str">
        <f t="shared" si="0"/>
        <v/>
      </c>
      <c r="K31" s="348"/>
      <c r="M31" s="364">
        <f t="shared" si="2"/>
        <v>0</v>
      </c>
    </row>
    <row r="32" spans="1:13" ht="13.5" customHeight="1">
      <c r="A32" s="3"/>
      <c r="B32" s="101"/>
      <c r="C32" s="40" t="s">
        <v>4150</v>
      </c>
      <c r="D32" s="99"/>
      <c r="E32" s="103"/>
      <c r="F32" s="256">
        <f t="shared" si="1"/>
        <v>0</v>
      </c>
      <c r="G32" s="404"/>
      <c r="H32" s="222"/>
      <c r="I32" s="309"/>
      <c r="J32" s="353" t="str">
        <f t="shared" si="0"/>
        <v/>
      </c>
      <c r="K32" s="348"/>
      <c r="M32" s="364">
        <f t="shared" si="2"/>
        <v>0</v>
      </c>
    </row>
    <row r="33" spans="1:13" ht="13.5" customHeight="1">
      <c r="A33" s="3"/>
      <c r="B33" s="101"/>
      <c r="C33" s="40" t="s">
        <v>4151</v>
      </c>
      <c r="D33" s="99"/>
      <c r="E33" s="103"/>
      <c r="F33" s="256">
        <f t="shared" si="1"/>
        <v>0</v>
      </c>
      <c r="G33" s="404"/>
      <c r="H33" s="222"/>
      <c r="I33" s="309"/>
      <c r="J33" s="353" t="str">
        <f t="shared" si="0"/>
        <v/>
      </c>
      <c r="K33" s="348"/>
      <c r="M33" s="364">
        <f t="shared" si="2"/>
        <v>0</v>
      </c>
    </row>
    <row r="34" spans="1:13" ht="13.5" customHeight="1">
      <c r="A34" s="3"/>
      <c r="B34" s="101"/>
      <c r="C34" s="40" t="s">
        <v>4152</v>
      </c>
      <c r="D34" s="99"/>
      <c r="E34" s="103"/>
      <c r="F34" s="256">
        <f t="shared" si="1"/>
        <v>0</v>
      </c>
      <c r="G34" s="404"/>
      <c r="H34" s="222"/>
      <c r="I34" s="309"/>
      <c r="J34" s="353" t="str">
        <f t="shared" si="0"/>
        <v/>
      </c>
      <c r="K34" s="348"/>
      <c r="M34" s="364">
        <f t="shared" si="2"/>
        <v>0</v>
      </c>
    </row>
    <row r="35" spans="1:13" ht="13.5" customHeight="1">
      <c r="A35" s="3"/>
      <c r="B35" s="101"/>
      <c r="C35" s="40" t="s">
        <v>4153</v>
      </c>
      <c r="D35" s="99"/>
      <c r="E35" s="103"/>
      <c r="F35" s="256">
        <f t="shared" si="1"/>
        <v>0</v>
      </c>
      <c r="G35" s="404"/>
      <c r="H35" s="222"/>
      <c r="I35" s="309"/>
      <c r="J35" s="353" t="str">
        <f t="shared" si="0"/>
        <v/>
      </c>
      <c r="K35" s="348"/>
      <c r="M35" s="364">
        <f t="shared" si="2"/>
        <v>0</v>
      </c>
    </row>
    <row r="36" spans="1:13" ht="13.5" customHeight="1">
      <c r="A36" s="3"/>
      <c r="B36" s="101"/>
      <c r="C36" s="40" t="s">
        <v>4154</v>
      </c>
      <c r="D36" s="99"/>
      <c r="E36" s="103"/>
      <c r="F36" s="256">
        <f t="shared" si="1"/>
        <v>0</v>
      </c>
      <c r="G36" s="404"/>
      <c r="H36" s="222"/>
      <c r="I36" s="309"/>
      <c r="J36" s="353" t="str">
        <f t="shared" si="0"/>
        <v/>
      </c>
      <c r="K36" s="348"/>
      <c r="M36" s="364">
        <f t="shared" si="2"/>
        <v>0</v>
      </c>
    </row>
    <row r="37" spans="1:13" ht="13.5" customHeight="1">
      <c r="A37" s="3"/>
      <c r="B37" s="101"/>
      <c r="C37" s="40" t="s">
        <v>4155</v>
      </c>
      <c r="D37" s="99"/>
      <c r="E37" s="103"/>
      <c r="F37" s="256">
        <f t="shared" si="1"/>
        <v>0</v>
      </c>
      <c r="G37" s="404"/>
      <c r="H37" s="222"/>
      <c r="I37" s="309"/>
      <c r="J37" s="353" t="str">
        <f t="shared" si="0"/>
        <v/>
      </c>
      <c r="K37" s="348"/>
      <c r="M37" s="364">
        <f t="shared" si="2"/>
        <v>0</v>
      </c>
    </row>
    <row r="38" spans="1:13" ht="13.5" customHeight="1">
      <c r="A38" s="3"/>
      <c r="B38" s="101"/>
      <c r="C38" s="40" t="s">
        <v>4156</v>
      </c>
      <c r="D38" s="99"/>
      <c r="E38" s="103"/>
      <c r="F38" s="256">
        <f t="shared" si="1"/>
        <v>0</v>
      </c>
      <c r="G38" s="404"/>
      <c r="H38" s="222"/>
      <c r="I38" s="309"/>
      <c r="J38" s="353" t="str">
        <f t="shared" si="0"/>
        <v/>
      </c>
      <c r="K38" s="348"/>
      <c r="M38" s="364">
        <f t="shared" si="2"/>
        <v>0</v>
      </c>
    </row>
    <row r="39" spans="1:13" ht="13.5" customHeight="1">
      <c r="A39" s="3"/>
      <c r="B39" s="101"/>
      <c r="C39" s="40" t="s">
        <v>4157</v>
      </c>
      <c r="D39" s="99"/>
      <c r="E39" s="103"/>
      <c r="F39" s="256">
        <f t="shared" si="1"/>
        <v>0</v>
      </c>
      <c r="G39" s="404"/>
      <c r="H39" s="222"/>
      <c r="I39" s="309"/>
      <c r="J39" s="353" t="str">
        <f t="shared" si="0"/>
        <v/>
      </c>
      <c r="K39" s="348"/>
      <c r="M39" s="364">
        <f t="shared" si="2"/>
        <v>0</v>
      </c>
    </row>
    <row r="40" spans="1:13" ht="13.5" customHeight="1">
      <c r="A40" s="3"/>
      <c r="B40" s="101"/>
      <c r="C40" s="40" t="s">
        <v>4158</v>
      </c>
      <c r="D40" s="99"/>
      <c r="E40" s="103"/>
      <c r="F40" s="256">
        <f t="shared" si="1"/>
        <v>0</v>
      </c>
      <c r="G40" s="404"/>
      <c r="H40" s="222"/>
      <c r="I40" s="309"/>
      <c r="J40" s="353" t="str">
        <f t="shared" si="0"/>
        <v/>
      </c>
      <c r="K40" s="348"/>
      <c r="M40" s="364">
        <f t="shared" si="2"/>
        <v>0</v>
      </c>
    </row>
    <row r="41" spans="1:13" ht="13.5" customHeight="1">
      <c r="A41" s="3"/>
      <c r="B41" s="101"/>
      <c r="C41" s="40" t="s">
        <v>4159</v>
      </c>
      <c r="D41" s="99"/>
      <c r="E41" s="103"/>
      <c r="F41" s="256">
        <f t="shared" si="1"/>
        <v>0</v>
      </c>
      <c r="G41" s="404"/>
      <c r="H41" s="222"/>
      <c r="I41" s="309"/>
      <c r="J41" s="353" t="str">
        <f t="shared" si="0"/>
        <v/>
      </c>
      <c r="K41" s="348"/>
      <c r="M41" s="364">
        <f t="shared" si="2"/>
        <v>0</v>
      </c>
    </row>
    <row r="42" spans="1:13" ht="13.5" customHeight="1">
      <c r="A42" s="3"/>
      <c r="B42" s="101"/>
      <c r="C42" s="40" t="s">
        <v>2424</v>
      </c>
      <c r="D42" s="99"/>
      <c r="E42" s="103"/>
      <c r="F42" s="256">
        <f t="shared" si="1"/>
        <v>0</v>
      </c>
      <c r="G42" s="404"/>
      <c r="H42" s="222"/>
      <c r="I42" s="309"/>
      <c r="J42" s="353" t="str">
        <f t="shared" si="0"/>
        <v/>
      </c>
      <c r="K42" s="348"/>
      <c r="M42" s="364">
        <f t="shared" si="2"/>
        <v>0</v>
      </c>
    </row>
    <row r="43" spans="1:13" ht="13.5" customHeight="1">
      <c r="A43" s="3"/>
      <c r="B43" s="101"/>
      <c r="C43" s="40" t="s">
        <v>2425</v>
      </c>
      <c r="D43" s="99"/>
      <c r="E43" s="103"/>
      <c r="F43" s="256">
        <f t="shared" si="1"/>
        <v>0</v>
      </c>
      <c r="G43" s="404"/>
      <c r="H43" s="222"/>
      <c r="I43" s="309"/>
      <c r="J43" s="353" t="str">
        <f t="shared" si="0"/>
        <v/>
      </c>
      <c r="K43" s="348"/>
      <c r="M43" s="364">
        <f t="shared" si="2"/>
        <v>0</v>
      </c>
    </row>
    <row r="44" spans="1:13" ht="13.5" customHeight="1">
      <c r="A44" s="3"/>
      <c r="B44" s="101"/>
      <c r="C44" s="40" t="s">
        <v>2426</v>
      </c>
      <c r="D44" s="99"/>
      <c r="E44" s="103"/>
      <c r="F44" s="256">
        <f t="shared" si="1"/>
        <v>0</v>
      </c>
      <c r="G44" s="404"/>
      <c r="H44" s="222"/>
      <c r="I44" s="309"/>
      <c r="J44" s="353" t="str">
        <f t="shared" si="0"/>
        <v/>
      </c>
      <c r="K44" s="348"/>
      <c r="M44" s="364">
        <f t="shared" si="2"/>
        <v>0</v>
      </c>
    </row>
    <row r="45" spans="1:13" ht="13.5" customHeight="1">
      <c r="A45" s="3"/>
      <c r="B45" s="101"/>
      <c r="C45" s="40" t="s">
        <v>2427</v>
      </c>
      <c r="D45" s="99"/>
      <c r="E45" s="103"/>
      <c r="F45" s="256">
        <f t="shared" si="1"/>
        <v>0</v>
      </c>
      <c r="G45" s="404"/>
      <c r="H45" s="222"/>
      <c r="I45" s="309"/>
      <c r="J45" s="353" t="str">
        <f t="shared" si="0"/>
        <v/>
      </c>
      <c r="K45" s="348"/>
      <c r="M45" s="364">
        <f t="shared" si="2"/>
        <v>0</v>
      </c>
    </row>
    <row r="46" spans="1:13" ht="13.5" customHeight="1">
      <c r="A46" s="3"/>
      <c r="B46" s="101"/>
      <c r="C46" s="40" t="s">
        <v>2428</v>
      </c>
      <c r="D46" s="99"/>
      <c r="E46" s="103"/>
      <c r="F46" s="256">
        <f t="shared" si="1"/>
        <v>0</v>
      </c>
      <c r="G46" s="404"/>
      <c r="H46" s="222"/>
      <c r="I46" s="309"/>
      <c r="J46" s="360" t="str">
        <f t="shared" si="0"/>
        <v/>
      </c>
      <c r="K46" s="361"/>
      <c r="M46" s="364">
        <f t="shared" si="2"/>
        <v>0</v>
      </c>
    </row>
    <row r="47" spans="1:13" ht="13.5" customHeight="1">
      <c r="A47" s="3"/>
      <c r="B47" s="101"/>
      <c r="C47" s="40" t="s">
        <v>2429</v>
      </c>
      <c r="D47" s="99"/>
      <c r="E47" s="103"/>
      <c r="F47" s="256">
        <f t="shared" si="1"/>
        <v>0</v>
      </c>
      <c r="G47" s="404"/>
      <c r="H47" s="222"/>
      <c r="I47" s="309"/>
      <c r="J47" s="353" t="str">
        <f t="shared" si="0"/>
        <v/>
      </c>
      <c r="K47" s="348"/>
      <c r="M47" s="364">
        <f t="shared" si="2"/>
        <v>0</v>
      </c>
    </row>
    <row r="48" spans="1:13" ht="13.5" customHeight="1">
      <c r="A48" s="3"/>
      <c r="B48" s="101"/>
      <c r="C48" s="40" t="s">
        <v>2430</v>
      </c>
      <c r="D48" s="99"/>
      <c r="E48" s="103"/>
      <c r="F48" s="256">
        <f t="shared" si="1"/>
        <v>0</v>
      </c>
      <c r="G48" s="404"/>
      <c r="H48" s="222"/>
      <c r="I48" s="309"/>
      <c r="J48" s="353" t="str">
        <f t="shared" si="0"/>
        <v/>
      </c>
      <c r="K48" s="348"/>
      <c r="M48" s="364">
        <f t="shared" si="2"/>
        <v>0</v>
      </c>
    </row>
    <row r="49" spans="1:13" ht="13.5" customHeight="1">
      <c r="A49" s="3"/>
      <c r="B49" s="101"/>
      <c r="C49" s="40" t="s">
        <v>2431</v>
      </c>
      <c r="D49" s="99"/>
      <c r="E49" s="103"/>
      <c r="F49" s="256">
        <f t="shared" si="1"/>
        <v>0</v>
      </c>
      <c r="G49" s="404"/>
      <c r="H49" s="222"/>
      <c r="I49" s="309"/>
      <c r="J49" s="353" t="str">
        <f t="shared" si="0"/>
        <v/>
      </c>
      <c r="K49" s="348"/>
      <c r="M49" s="364">
        <f t="shared" si="2"/>
        <v>0</v>
      </c>
    </row>
    <row r="50" spans="1:13" ht="13.5" customHeight="1">
      <c r="A50" s="3"/>
      <c r="B50" s="101"/>
      <c r="C50" s="40" t="s">
        <v>2432</v>
      </c>
      <c r="D50" s="99"/>
      <c r="E50" s="103"/>
      <c r="F50" s="256">
        <f t="shared" si="1"/>
        <v>0</v>
      </c>
      <c r="G50" s="404"/>
      <c r="H50" s="222"/>
      <c r="I50" s="309"/>
      <c r="J50" s="362" t="str">
        <f t="shared" si="0"/>
        <v/>
      </c>
      <c r="K50" s="350"/>
      <c r="M50" s="364">
        <f t="shared" si="2"/>
        <v>0</v>
      </c>
    </row>
    <row r="51" spans="1:13" ht="13.5" customHeight="1">
      <c r="A51" s="3"/>
      <c r="B51" s="98" t="s">
        <v>1064</v>
      </c>
      <c r="C51" s="40" t="s">
        <v>1961</v>
      </c>
      <c r="D51" s="100"/>
      <c r="E51" s="30"/>
      <c r="F51" s="270"/>
      <c r="G51" s="310"/>
      <c r="H51" s="297">
        <f>SUM(H13:H50)</f>
        <v>0</v>
      </c>
      <c r="I51" s="310"/>
    </row>
    <row r="52" spans="1:13">
      <c r="A52" s="5"/>
      <c r="B52" s="42"/>
      <c r="C52" s="43"/>
      <c r="D52" s="6"/>
      <c r="E52" s="8"/>
      <c r="F52" s="5"/>
      <c r="G52" s="5"/>
      <c r="H52" s="5"/>
      <c r="I52" s="492">
        <f>SUM(I13:I50)</f>
        <v>0</v>
      </c>
    </row>
  </sheetData>
  <sheetProtection password="D3CE" sheet="1" objects="1" scenarios="1" selectLockedCells="1"/>
  <mergeCells count="12">
    <mergeCell ref="E11:E12"/>
    <mergeCell ref="A2:I2"/>
    <mergeCell ref="A4:I4"/>
    <mergeCell ref="J11:K12"/>
    <mergeCell ref="E1:G1"/>
    <mergeCell ref="F11:H11"/>
    <mergeCell ref="A1:D1"/>
    <mergeCell ref="A6:I7"/>
    <mergeCell ref="I11:I12"/>
    <mergeCell ref="B11:B12"/>
    <mergeCell ref="D11:D12"/>
    <mergeCell ref="C11:C12"/>
  </mergeCells>
  <phoneticPr fontId="0" type="noConversion"/>
  <dataValidations count="3">
    <dataValidation type="textLength" operator="equal" allowBlank="1" showInputMessage="1" showErrorMessage="1" error="Debe de ingresar el código NANDINA a 10 dígitos." sqref="D13:D49">
      <formula1>10</formula1>
    </dataValidation>
    <dataValidation operator="greaterThanOrEqual" allowBlank="1" showInputMessage="1" showErrorMessage="1" error="Debe ingresar números positivos." sqref="F13:F50"/>
    <dataValidation type="whole" operator="greaterThanOrEqual" allowBlank="1" showInputMessage="1" showErrorMessage="1" error="Ingrese dato numérico." sqref="G13:I50">
      <formula1>0</formula1>
    </dataValidation>
  </dataValidations>
  <pageMargins left="0.39370078740157499" right="0.75" top="0.5" bottom="1" header="0" footer="0"/>
  <pageSetup paperSize="9" scale="9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329" r:id="rId4" name="Button 33">
              <controlPr defaultSize="0" print="0" autoFill="0" autoPict="0" macro="[0]!Botón13_AlHacerClic">
                <anchor moveWithCells="1" sizeWithCells="1">
                  <from>
                    <xdr:col>7</xdr:col>
                    <xdr:colOff>519113</xdr:colOff>
                    <xdr:row>7</xdr:row>
                    <xdr:rowOff>47625</xdr:rowOff>
                  </from>
                  <to>
                    <xdr:col>8</xdr:col>
                    <xdr:colOff>642938</xdr:colOff>
                    <xdr:row>9</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R2018"/>
  <sheetViews>
    <sheetView workbookViewId="0">
      <selection activeCell="C8" sqref="C8"/>
    </sheetView>
  </sheetViews>
  <sheetFormatPr defaultColWidth="11.3984375" defaultRowHeight="10.15"/>
  <cols>
    <col min="1" max="1" width="9.3984375" style="161" customWidth="1"/>
    <col min="2" max="2" width="15.86328125" style="161" customWidth="1"/>
    <col min="3" max="3" width="12.265625" style="161" customWidth="1"/>
    <col min="4" max="4" width="19.3984375" style="161" customWidth="1"/>
    <col min="5" max="5" width="11" style="161" customWidth="1"/>
    <col min="6" max="6" width="34.59765625" style="161" customWidth="1"/>
    <col min="7" max="7" width="10.86328125" style="161" customWidth="1"/>
    <col min="8" max="8" width="11.3984375" style="161"/>
    <col min="9" max="10" width="11.3984375" style="53"/>
    <col min="11" max="11" width="11.3984375" style="57"/>
    <col min="12" max="16384" width="11.3984375" style="53"/>
  </cols>
  <sheetData>
    <row r="1" spans="1:18" ht="12.75">
      <c r="A1" s="282">
        <v>1</v>
      </c>
      <c r="B1" s="161" t="s">
        <v>1591</v>
      </c>
      <c r="C1" s="161" t="s">
        <v>1592</v>
      </c>
      <c r="D1" s="161" t="s">
        <v>1591</v>
      </c>
      <c r="E1" s="161" t="s">
        <v>1592</v>
      </c>
      <c r="F1" s="161" t="s">
        <v>1591</v>
      </c>
      <c r="G1" s="161" t="s">
        <v>1592</v>
      </c>
      <c r="H1" s="161" t="s">
        <v>1593</v>
      </c>
      <c r="K1" s="283"/>
      <c r="L1" s="284"/>
      <c r="M1" s="284"/>
      <c r="N1" s="284"/>
      <c r="O1" s="284"/>
      <c r="P1" s="284"/>
      <c r="Q1" s="285"/>
      <c r="R1"/>
    </row>
    <row r="2" spans="1:18" ht="13.15">
      <c r="A2" s="282">
        <v>1</v>
      </c>
      <c r="B2" s="286" t="str">
        <f>VLOOKUP(A1,A1846:B1871,2,FALSE)</f>
        <v>00</v>
      </c>
      <c r="C2" s="161" t="s">
        <v>1594</v>
      </c>
      <c r="D2" s="161" t="str">
        <f>B2</f>
        <v>00</v>
      </c>
      <c r="E2" s="286" t="str">
        <f>VLOOKUP(A2,A1881:D1910,4,FALSE)</f>
        <v>00</v>
      </c>
      <c r="F2" s="161" t="str">
        <f>D2</f>
        <v>00</v>
      </c>
      <c r="G2" s="161" t="str">
        <f>E2</f>
        <v>00</v>
      </c>
      <c r="H2" s="161" t="s">
        <v>1594</v>
      </c>
      <c r="I2" s="286" t="str">
        <f>VLOOKUP(A3,A1921:F1970,6,FALSE)</f>
        <v>00</v>
      </c>
      <c r="K2" s="283"/>
      <c r="L2" s="287"/>
      <c r="M2" s="284"/>
      <c r="N2" s="284"/>
      <c r="O2" s="287"/>
      <c r="P2" s="284"/>
      <c r="Q2" s="287"/>
      <c r="R2"/>
    </row>
    <row r="3" spans="1:18" ht="13.15">
      <c r="A3" s="282">
        <v>1</v>
      </c>
      <c r="B3" s="288"/>
      <c r="K3" s="283"/>
      <c r="L3" s="285"/>
      <c r="M3" s="285"/>
      <c r="N3" s="285"/>
      <c r="O3" s="285"/>
      <c r="P3" s="285"/>
      <c r="Q3" s="285"/>
      <c r="R3"/>
    </row>
    <row r="4" spans="1:18">
      <c r="A4" s="161" t="s">
        <v>1591</v>
      </c>
      <c r="B4" s="161" t="s">
        <v>1595</v>
      </c>
      <c r="C4" s="161" t="s">
        <v>1592</v>
      </c>
      <c r="D4" s="161" t="s">
        <v>1596</v>
      </c>
      <c r="E4" s="161" t="s">
        <v>1593</v>
      </c>
      <c r="F4" s="161" t="s">
        <v>1597</v>
      </c>
      <c r="K4" s="283"/>
      <c r="L4" s="285"/>
      <c r="M4" s="285"/>
      <c r="N4" s="285"/>
      <c r="O4" s="285"/>
      <c r="P4" s="285"/>
      <c r="Q4" s="285"/>
    </row>
    <row r="5" spans="1:18">
      <c r="A5" s="460" t="s">
        <v>3354</v>
      </c>
      <c r="B5" s="57" t="s">
        <v>374</v>
      </c>
      <c r="C5" s="460" t="s">
        <v>3354</v>
      </c>
      <c r="D5" s="57" t="s">
        <v>374</v>
      </c>
      <c r="E5" s="460" t="s">
        <v>3354</v>
      </c>
      <c r="F5" s="57" t="s">
        <v>374</v>
      </c>
      <c r="K5" s="283"/>
      <c r="L5" s="285"/>
      <c r="M5" s="285"/>
      <c r="N5" s="285"/>
      <c r="O5" s="285"/>
      <c r="P5" s="285"/>
      <c r="Q5" s="285"/>
    </row>
    <row r="6" spans="1:18">
      <c r="A6" s="375" t="s">
        <v>1964</v>
      </c>
      <c r="B6" s="375" t="s">
        <v>1598</v>
      </c>
      <c r="C6" s="375" t="s">
        <v>1964</v>
      </c>
      <c r="D6" s="375" t="s">
        <v>2127</v>
      </c>
      <c r="E6" s="375" t="s">
        <v>1964</v>
      </c>
      <c r="F6" s="375" t="s">
        <v>2127</v>
      </c>
    </row>
    <row r="7" spans="1:18">
      <c r="A7" s="375" t="s">
        <v>1964</v>
      </c>
      <c r="B7" s="375" t="s">
        <v>1598</v>
      </c>
      <c r="C7" s="375" t="s">
        <v>1964</v>
      </c>
      <c r="D7" s="375" t="s">
        <v>2127</v>
      </c>
      <c r="E7" s="375" t="s">
        <v>1965</v>
      </c>
      <c r="F7" s="375" t="s">
        <v>576</v>
      </c>
    </row>
    <row r="8" spans="1:18">
      <c r="A8" s="375" t="s">
        <v>1964</v>
      </c>
      <c r="B8" s="375" t="s">
        <v>1598</v>
      </c>
      <c r="C8" s="375" t="s">
        <v>1964</v>
      </c>
      <c r="D8" s="375" t="s">
        <v>2127</v>
      </c>
      <c r="E8" s="375" t="s">
        <v>1966</v>
      </c>
      <c r="F8" s="375" t="s">
        <v>577</v>
      </c>
      <c r="L8" s="57"/>
      <c r="M8" s="57"/>
    </row>
    <row r="9" spans="1:18">
      <c r="A9" s="375" t="s">
        <v>1964</v>
      </c>
      <c r="B9" s="375" t="s">
        <v>1598</v>
      </c>
      <c r="C9" s="375" t="s">
        <v>1964</v>
      </c>
      <c r="D9" s="375" t="s">
        <v>2127</v>
      </c>
      <c r="E9" s="375" t="s">
        <v>1967</v>
      </c>
      <c r="F9" s="375" t="s">
        <v>578</v>
      </c>
    </row>
    <row r="10" spans="1:18">
      <c r="A10" s="375" t="s">
        <v>1964</v>
      </c>
      <c r="B10" s="375" t="s">
        <v>1598</v>
      </c>
      <c r="C10" s="375" t="s">
        <v>1964</v>
      </c>
      <c r="D10" s="375" t="s">
        <v>2127</v>
      </c>
      <c r="E10" s="375" t="s">
        <v>1968</v>
      </c>
      <c r="F10" s="375" t="s">
        <v>579</v>
      </c>
    </row>
    <row r="11" spans="1:18">
      <c r="A11" s="375" t="s">
        <v>1964</v>
      </c>
      <c r="B11" s="375" t="s">
        <v>1598</v>
      </c>
      <c r="C11" s="375" t="s">
        <v>1964</v>
      </c>
      <c r="D11" s="375" t="s">
        <v>2127</v>
      </c>
      <c r="E11" s="375" t="s">
        <v>1969</v>
      </c>
      <c r="F11" s="375" t="s">
        <v>580</v>
      </c>
    </row>
    <row r="12" spans="1:18">
      <c r="A12" s="375" t="s">
        <v>1964</v>
      </c>
      <c r="B12" s="375" t="s">
        <v>1598</v>
      </c>
      <c r="C12" s="375" t="s">
        <v>1964</v>
      </c>
      <c r="D12" s="375" t="s">
        <v>2127</v>
      </c>
      <c r="E12" s="375" t="s">
        <v>1970</v>
      </c>
      <c r="F12" s="375" t="s">
        <v>581</v>
      </c>
    </row>
    <row r="13" spans="1:18">
      <c r="A13" s="375" t="s">
        <v>1964</v>
      </c>
      <c r="B13" s="375" t="s">
        <v>1598</v>
      </c>
      <c r="C13" s="375" t="s">
        <v>1964</v>
      </c>
      <c r="D13" s="375" t="s">
        <v>2127</v>
      </c>
      <c r="E13" s="375" t="s">
        <v>1971</v>
      </c>
      <c r="F13" s="375" t="s">
        <v>582</v>
      </c>
    </row>
    <row r="14" spans="1:18">
      <c r="A14" s="375" t="s">
        <v>1964</v>
      </c>
      <c r="B14" s="375" t="s">
        <v>1598</v>
      </c>
      <c r="C14" s="375" t="s">
        <v>1964</v>
      </c>
      <c r="D14" s="375" t="s">
        <v>2127</v>
      </c>
      <c r="E14" s="375" t="s">
        <v>1972</v>
      </c>
      <c r="F14" s="375" t="s">
        <v>2826</v>
      </c>
    </row>
    <row r="15" spans="1:18">
      <c r="A15" s="375" t="s">
        <v>1964</v>
      </c>
      <c r="B15" s="375" t="s">
        <v>1598</v>
      </c>
      <c r="C15" s="375" t="s">
        <v>1964</v>
      </c>
      <c r="D15" s="375" t="s">
        <v>2127</v>
      </c>
      <c r="E15" s="375" t="s">
        <v>1973</v>
      </c>
      <c r="F15" s="375" t="s">
        <v>2827</v>
      </c>
    </row>
    <row r="16" spans="1:18">
      <c r="A16" s="375" t="s">
        <v>1964</v>
      </c>
      <c r="B16" s="375" t="s">
        <v>1598</v>
      </c>
      <c r="C16" s="375" t="s">
        <v>1964</v>
      </c>
      <c r="D16" s="375" t="s">
        <v>2127</v>
      </c>
      <c r="E16" s="375" t="s">
        <v>1974</v>
      </c>
      <c r="F16" s="375" t="s">
        <v>2828</v>
      </c>
    </row>
    <row r="17" spans="1:6">
      <c r="A17" s="375" t="s">
        <v>1964</v>
      </c>
      <c r="B17" s="375" t="s">
        <v>1598</v>
      </c>
      <c r="C17" s="375" t="s">
        <v>1964</v>
      </c>
      <c r="D17" s="375" t="s">
        <v>2127</v>
      </c>
      <c r="E17" s="375" t="s">
        <v>1975</v>
      </c>
      <c r="F17" s="375" t="s">
        <v>962</v>
      </c>
    </row>
    <row r="18" spans="1:6">
      <c r="A18" s="375" t="s">
        <v>1964</v>
      </c>
      <c r="B18" s="375" t="s">
        <v>1598</v>
      </c>
      <c r="C18" s="375" t="s">
        <v>1964</v>
      </c>
      <c r="D18" s="375" t="s">
        <v>2127</v>
      </c>
      <c r="E18" s="375" t="s">
        <v>1976</v>
      </c>
      <c r="F18" s="375" t="s">
        <v>963</v>
      </c>
    </row>
    <row r="19" spans="1:6">
      <c r="A19" s="375" t="s">
        <v>1964</v>
      </c>
      <c r="B19" s="375" t="s">
        <v>1598</v>
      </c>
      <c r="C19" s="375" t="s">
        <v>1964</v>
      </c>
      <c r="D19" s="375" t="s">
        <v>2127</v>
      </c>
      <c r="E19" s="375" t="s">
        <v>1977</v>
      </c>
      <c r="F19" s="375" t="s">
        <v>964</v>
      </c>
    </row>
    <row r="20" spans="1:6">
      <c r="A20" s="375" t="s">
        <v>1964</v>
      </c>
      <c r="B20" s="375" t="s">
        <v>1598</v>
      </c>
      <c r="C20" s="375" t="s">
        <v>1964</v>
      </c>
      <c r="D20" s="375" t="s">
        <v>2127</v>
      </c>
      <c r="E20" s="375" t="s">
        <v>1978</v>
      </c>
      <c r="F20" s="375" t="s">
        <v>965</v>
      </c>
    </row>
    <row r="21" spans="1:6">
      <c r="A21" s="375" t="s">
        <v>1964</v>
      </c>
      <c r="B21" s="375" t="s">
        <v>1598</v>
      </c>
      <c r="C21" s="375" t="s">
        <v>1964</v>
      </c>
      <c r="D21" s="375" t="s">
        <v>2127</v>
      </c>
      <c r="E21" s="375" t="s">
        <v>1979</v>
      </c>
      <c r="F21" s="375" t="s">
        <v>966</v>
      </c>
    </row>
    <row r="22" spans="1:6">
      <c r="A22" s="375" t="s">
        <v>1964</v>
      </c>
      <c r="B22" s="375" t="s">
        <v>1598</v>
      </c>
      <c r="C22" s="375" t="s">
        <v>1964</v>
      </c>
      <c r="D22" s="375" t="s">
        <v>2127</v>
      </c>
      <c r="E22" s="375" t="s">
        <v>1980</v>
      </c>
      <c r="F22" s="375" t="s">
        <v>967</v>
      </c>
    </row>
    <row r="23" spans="1:6">
      <c r="A23" s="375" t="s">
        <v>1964</v>
      </c>
      <c r="B23" s="375" t="s">
        <v>1598</v>
      </c>
      <c r="C23" s="375" t="s">
        <v>1964</v>
      </c>
      <c r="D23" s="375" t="s">
        <v>2127</v>
      </c>
      <c r="E23" s="375" t="s">
        <v>1981</v>
      </c>
      <c r="F23" s="375" t="s">
        <v>968</v>
      </c>
    </row>
    <row r="24" spans="1:6">
      <c r="A24" s="375" t="s">
        <v>1964</v>
      </c>
      <c r="B24" s="375" t="s">
        <v>1598</v>
      </c>
      <c r="C24" s="375" t="s">
        <v>1964</v>
      </c>
      <c r="D24" s="375" t="s">
        <v>2127</v>
      </c>
      <c r="E24" s="375" t="s">
        <v>1982</v>
      </c>
      <c r="F24" s="375" t="s">
        <v>969</v>
      </c>
    </row>
    <row r="25" spans="1:6">
      <c r="A25" s="375" t="s">
        <v>1964</v>
      </c>
      <c r="B25" s="375" t="s">
        <v>1598</v>
      </c>
      <c r="C25" s="375" t="s">
        <v>1964</v>
      </c>
      <c r="D25" s="375" t="s">
        <v>2127</v>
      </c>
      <c r="E25" s="375" t="s">
        <v>4150</v>
      </c>
      <c r="F25" s="375" t="s">
        <v>970</v>
      </c>
    </row>
    <row r="26" spans="1:6">
      <c r="A26" s="375" t="s">
        <v>1964</v>
      </c>
      <c r="B26" s="375" t="s">
        <v>1598</v>
      </c>
      <c r="C26" s="375" t="s">
        <v>1964</v>
      </c>
      <c r="D26" s="375" t="s">
        <v>2127</v>
      </c>
      <c r="E26" s="375" t="s">
        <v>4151</v>
      </c>
      <c r="F26" s="375" t="s">
        <v>971</v>
      </c>
    </row>
    <row r="27" spans="1:6">
      <c r="A27" s="375" t="s">
        <v>1964</v>
      </c>
      <c r="B27" s="375" t="s">
        <v>1598</v>
      </c>
      <c r="C27" s="375" t="s">
        <v>1965</v>
      </c>
      <c r="D27" s="375" t="s">
        <v>972</v>
      </c>
      <c r="E27" s="375" t="s">
        <v>1964</v>
      </c>
      <c r="F27" s="375" t="s">
        <v>973</v>
      </c>
    </row>
    <row r="28" spans="1:6">
      <c r="A28" s="375" t="s">
        <v>1964</v>
      </c>
      <c r="B28" s="375" t="s">
        <v>1598</v>
      </c>
      <c r="C28" s="375" t="s">
        <v>1965</v>
      </c>
      <c r="D28" s="375" t="s">
        <v>972</v>
      </c>
      <c r="E28" s="375" t="s">
        <v>1965</v>
      </c>
      <c r="F28" s="375" t="s">
        <v>974</v>
      </c>
    </row>
    <row r="29" spans="1:6">
      <c r="A29" s="375" t="s">
        <v>1964</v>
      </c>
      <c r="B29" s="375" t="s">
        <v>1598</v>
      </c>
      <c r="C29" s="375" t="s">
        <v>1965</v>
      </c>
      <c r="D29" s="375" t="s">
        <v>972</v>
      </c>
      <c r="E29" s="375" t="s">
        <v>1966</v>
      </c>
      <c r="F29" s="375" t="s">
        <v>975</v>
      </c>
    </row>
    <row r="30" spans="1:6">
      <c r="A30" s="375" t="s">
        <v>1964</v>
      </c>
      <c r="B30" s="375" t="s">
        <v>1598</v>
      </c>
      <c r="C30" s="375" t="s">
        <v>1965</v>
      </c>
      <c r="D30" s="375" t="s">
        <v>972</v>
      </c>
      <c r="E30" s="375" t="s">
        <v>1967</v>
      </c>
      <c r="F30" s="375" t="s">
        <v>976</v>
      </c>
    </row>
    <row r="31" spans="1:6">
      <c r="A31" s="375" t="s">
        <v>1964</v>
      </c>
      <c r="B31" s="375" t="s">
        <v>1598</v>
      </c>
      <c r="C31" s="375" t="s">
        <v>1965</v>
      </c>
      <c r="D31" s="375" t="s">
        <v>972</v>
      </c>
      <c r="E31" s="375" t="s">
        <v>1968</v>
      </c>
      <c r="F31" s="375" t="s">
        <v>977</v>
      </c>
    </row>
    <row r="32" spans="1:6">
      <c r="A32" s="375" t="s">
        <v>1964</v>
      </c>
      <c r="B32" s="375" t="s">
        <v>1598</v>
      </c>
      <c r="C32" s="375" t="s">
        <v>1966</v>
      </c>
      <c r="D32" s="375" t="s">
        <v>2802</v>
      </c>
      <c r="E32" s="375" t="s">
        <v>1964</v>
      </c>
      <c r="F32" s="375" t="s">
        <v>2803</v>
      </c>
    </row>
    <row r="33" spans="1:6">
      <c r="A33" s="375" t="s">
        <v>1964</v>
      </c>
      <c r="B33" s="375" t="s">
        <v>1598</v>
      </c>
      <c r="C33" s="375" t="s">
        <v>1966</v>
      </c>
      <c r="D33" s="375" t="s">
        <v>2802</v>
      </c>
      <c r="E33" s="375" t="s">
        <v>1965</v>
      </c>
      <c r="F33" s="375" t="s">
        <v>2804</v>
      </c>
    </row>
    <row r="34" spans="1:6">
      <c r="A34" s="375" t="s">
        <v>1964</v>
      </c>
      <c r="B34" s="375" t="s">
        <v>1598</v>
      </c>
      <c r="C34" s="375" t="s">
        <v>1966</v>
      </c>
      <c r="D34" s="375" t="s">
        <v>2802</v>
      </c>
      <c r="E34" s="375" t="s">
        <v>1966</v>
      </c>
      <c r="F34" s="375" t="s">
        <v>2805</v>
      </c>
    </row>
    <row r="35" spans="1:6">
      <c r="A35" s="375" t="s">
        <v>1964</v>
      </c>
      <c r="B35" s="375" t="s">
        <v>1598</v>
      </c>
      <c r="C35" s="375" t="s">
        <v>1966</v>
      </c>
      <c r="D35" s="375" t="s">
        <v>2802</v>
      </c>
      <c r="E35" s="375" t="s">
        <v>1967</v>
      </c>
      <c r="F35" s="375" t="s">
        <v>2806</v>
      </c>
    </row>
    <row r="36" spans="1:6">
      <c r="A36" s="375" t="s">
        <v>1964</v>
      </c>
      <c r="B36" s="375" t="s">
        <v>1598</v>
      </c>
      <c r="C36" s="375" t="s">
        <v>1966</v>
      </c>
      <c r="D36" s="375" t="s">
        <v>2802</v>
      </c>
      <c r="E36" s="375" t="s">
        <v>1968</v>
      </c>
      <c r="F36" s="375" t="s">
        <v>2807</v>
      </c>
    </row>
    <row r="37" spans="1:6">
      <c r="A37" s="375" t="s">
        <v>1964</v>
      </c>
      <c r="B37" s="375" t="s">
        <v>1598</v>
      </c>
      <c r="C37" s="375" t="s">
        <v>1966</v>
      </c>
      <c r="D37" s="375" t="s">
        <v>2802</v>
      </c>
      <c r="E37" s="375" t="s">
        <v>1969</v>
      </c>
      <c r="F37" s="375" t="s">
        <v>2808</v>
      </c>
    </row>
    <row r="38" spans="1:6">
      <c r="A38" s="375" t="s">
        <v>1964</v>
      </c>
      <c r="B38" s="375" t="s">
        <v>1598</v>
      </c>
      <c r="C38" s="375" t="s">
        <v>1966</v>
      </c>
      <c r="D38" s="375" t="s">
        <v>2802</v>
      </c>
      <c r="E38" s="375" t="s">
        <v>1970</v>
      </c>
      <c r="F38" s="375" t="s">
        <v>2809</v>
      </c>
    </row>
    <row r="39" spans="1:6">
      <c r="A39" s="375" t="s">
        <v>1964</v>
      </c>
      <c r="B39" s="375" t="s">
        <v>1598</v>
      </c>
      <c r="C39" s="375" t="s">
        <v>1966</v>
      </c>
      <c r="D39" s="375" t="s">
        <v>2802</v>
      </c>
      <c r="E39" s="375" t="s">
        <v>1971</v>
      </c>
      <c r="F39" s="375" t="s">
        <v>547</v>
      </c>
    </row>
    <row r="40" spans="1:6">
      <c r="A40" s="375" t="s">
        <v>1964</v>
      </c>
      <c r="B40" s="375" t="s">
        <v>1598</v>
      </c>
      <c r="C40" s="375" t="s">
        <v>1966</v>
      </c>
      <c r="D40" s="375" t="s">
        <v>2802</v>
      </c>
      <c r="E40" s="375" t="s">
        <v>1972</v>
      </c>
      <c r="F40" s="375" t="s">
        <v>548</v>
      </c>
    </row>
    <row r="41" spans="1:6">
      <c r="A41" s="375" t="s">
        <v>1964</v>
      </c>
      <c r="B41" s="375" t="s">
        <v>1598</v>
      </c>
      <c r="C41" s="375" t="s">
        <v>1966</v>
      </c>
      <c r="D41" s="375" t="s">
        <v>2802</v>
      </c>
      <c r="E41" s="375" t="s">
        <v>1973</v>
      </c>
      <c r="F41" s="375" t="s">
        <v>549</v>
      </c>
    </row>
    <row r="42" spans="1:6">
      <c r="A42" s="375" t="s">
        <v>1964</v>
      </c>
      <c r="B42" s="375" t="s">
        <v>1598</v>
      </c>
      <c r="C42" s="375" t="s">
        <v>1966</v>
      </c>
      <c r="D42" s="375" t="s">
        <v>2802</v>
      </c>
      <c r="E42" s="375" t="s">
        <v>1974</v>
      </c>
      <c r="F42" s="375" t="s">
        <v>550</v>
      </c>
    </row>
    <row r="43" spans="1:6">
      <c r="A43" s="375" t="s">
        <v>1964</v>
      </c>
      <c r="B43" s="375" t="s">
        <v>1598</v>
      </c>
      <c r="C43" s="375" t="s">
        <v>1966</v>
      </c>
      <c r="D43" s="375" t="s">
        <v>2802</v>
      </c>
      <c r="E43" s="375" t="s">
        <v>1975</v>
      </c>
      <c r="F43" s="375" t="s">
        <v>551</v>
      </c>
    </row>
    <row r="44" spans="1:6">
      <c r="A44" s="375" t="s">
        <v>1964</v>
      </c>
      <c r="B44" s="375" t="s">
        <v>1598</v>
      </c>
      <c r="C44" s="375" t="s">
        <v>1967</v>
      </c>
      <c r="D44" s="375" t="s">
        <v>1023</v>
      </c>
      <c r="E44" s="375" t="s">
        <v>1964</v>
      </c>
      <c r="F44" s="375" t="s">
        <v>1024</v>
      </c>
    </row>
    <row r="45" spans="1:6">
      <c r="A45" s="375" t="s">
        <v>1964</v>
      </c>
      <c r="B45" s="375" t="s">
        <v>1598</v>
      </c>
      <c r="C45" s="375" t="s">
        <v>1967</v>
      </c>
      <c r="D45" s="375" t="s">
        <v>1023</v>
      </c>
      <c r="E45" s="375" t="s">
        <v>1965</v>
      </c>
      <c r="F45" s="375" t="s">
        <v>3346</v>
      </c>
    </row>
    <row r="46" spans="1:6">
      <c r="A46" s="375" t="s">
        <v>1964</v>
      </c>
      <c r="B46" s="375" t="s">
        <v>1598</v>
      </c>
      <c r="C46" s="375" t="s">
        <v>1967</v>
      </c>
      <c r="D46" s="375" t="s">
        <v>1023</v>
      </c>
      <c r="E46" s="375" t="s">
        <v>1966</v>
      </c>
      <c r="F46" s="375" t="s">
        <v>3347</v>
      </c>
    </row>
    <row r="47" spans="1:6">
      <c r="A47" s="375" t="s">
        <v>1964</v>
      </c>
      <c r="B47" s="375" t="s">
        <v>1598</v>
      </c>
      <c r="C47" s="375" t="s">
        <v>1968</v>
      </c>
      <c r="D47" s="375" t="s">
        <v>3348</v>
      </c>
      <c r="E47" s="375" t="s">
        <v>1964</v>
      </c>
      <c r="F47" s="375" t="s">
        <v>3349</v>
      </c>
    </row>
    <row r="48" spans="1:6">
      <c r="A48" s="375" t="s">
        <v>1964</v>
      </c>
      <c r="B48" s="375" t="s">
        <v>1598</v>
      </c>
      <c r="C48" s="375" t="s">
        <v>1968</v>
      </c>
      <c r="D48" s="375" t="s">
        <v>3348</v>
      </c>
      <c r="E48" s="375" t="s">
        <v>1965</v>
      </c>
      <c r="F48" s="375" t="s">
        <v>3575</v>
      </c>
    </row>
    <row r="49" spans="1:6">
      <c r="A49" s="375" t="s">
        <v>1964</v>
      </c>
      <c r="B49" s="375" t="s">
        <v>1598</v>
      </c>
      <c r="C49" s="375" t="s">
        <v>1968</v>
      </c>
      <c r="D49" s="375" t="s">
        <v>3348</v>
      </c>
      <c r="E49" s="375" t="s">
        <v>1966</v>
      </c>
      <c r="F49" s="375" t="s">
        <v>3576</v>
      </c>
    </row>
    <row r="50" spans="1:6">
      <c r="A50" s="375" t="s">
        <v>1964</v>
      </c>
      <c r="B50" s="375" t="s">
        <v>1598</v>
      </c>
      <c r="C50" s="375" t="s">
        <v>1968</v>
      </c>
      <c r="D50" s="375" t="s">
        <v>3348</v>
      </c>
      <c r="E50" s="375" t="s">
        <v>1967</v>
      </c>
      <c r="F50" s="375" t="s">
        <v>86</v>
      </c>
    </row>
    <row r="51" spans="1:6">
      <c r="A51" s="375" t="s">
        <v>1964</v>
      </c>
      <c r="B51" s="375" t="s">
        <v>1598</v>
      </c>
      <c r="C51" s="375" t="s">
        <v>1968</v>
      </c>
      <c r="D51" s="375" t="s">
        <v>3348</v>
      </c>
      <c r="E51" s="375" t="s">
        <v>1968</v>
      </c>
      <c r="F51" s="375" t="s">
        <v>87</v>
      </c>
    </row>
    <row r="52" spans="1:6">
      <c r="A52" s="375" t="s">
        <v>1964</v>
      </c>
      <c r="B52" s="375" t="s">
        <v>1598</v>
      </c>
      <c r="C52" s="375" t="s">
        <v>1968</v>
      </c>
      <c r="D52" s="375" t="s">
        <v>3348</v>
      </c>
      <c r="E52" s="375" t="s">
        <v>1969</v>
      </c>
      <c r="F52" s="375" t="s">
        <v>88</v>
      </c>
    </row>
    <row r="53" spans="1:6">
      <c r="A53" s="375" t="s">
        <v>1964</v>
      </c>
      <c r="B53" s="375" t="s">
        <v>1598</v>
      </c>
      <c r="C53" s="375" t="s">
        <v>1968</v>
      </c>
      <c r="D53" s="375" t="s">
        <v>3348</v>
      </c>
      <c r="E53" s="375" t="s">
        <v>1970</v>
      </c>
      <c r="F53" s="375" t="s">
        <v>89</v>
      </c>
    </row>
    <row r="54" spans="1:6">
      <c r="A54" s="375" t="s">
        <v>1964</v>
      </c>
      <c r="B54" s="375" t="s">
        <v>1598</v>
      </c>
      <c r="C54" s="375" t="s">
        <v>1968</v>
      </c>
      <c r="D54" s="375" t="s">
        <v>3348</v>
      </c>
      <c r="E54" s="375" t="s">
        <v>1971</v>
      </c>
      <c r="F54" s="375" t="s">
        <v>90</v>
      </c>
    </row>
    <row r="55" spans="1:6">
      <c r="A55" s="375" t="s">
        <v>1964</v>
      </c>
      <c r="B55" s="375" t="s">
        <v>1598</v>
      </c>
      <c r="C55" s="375" t="s">
        <v>1968</v>
      </c>
      <c r="D55" s="375" t="s">
        <v>3348</v>
      </c>
      <c r="E55" s="375" t="s">
        <v>1972</v>
      </c>
      <c r="F55" s="375" t="s">
        <v>3348</v>
      </c>
    </row>
    <row r="56" spans="1:6">
      <c r="A56" s="375" t="s">
        <v>1964</v>
      </c>
      <c r="B56" s="375" t="s">
        <v>1598</v>
      </c>
      <c r="C56" s="375" t="s">
        <v>1968</v>
      </c>
      <c r="D56" s="375" t="s">
        <v>3348</v>
      </c>
      <c r="E56" s="375" t="s">
        <v>1973</v>
      </c>
      <c r="F56" s="375" t="s">
        <v>212</v>
      </c>
    </row>
    <row r="57" spans="1:6">
      <c r="A57" s="375" t="s">
        <v>1964</v>
      </c>
      <c r="B57" s="375" t="s">
        <v>1598</v>
      </c>
      <c r="C57" s="375" t="s">
        <v>1968</v>
      </c>
      <c r="D57" s="375" t="s">
        <v>3348</v>
      </c>
      <c r="E57" s="375" t="s">
        <v>1974</v>
      </c>
      <c r="F57" s="375" t="s">
        <v>213</v>
      </c>
    </row>
    <row r="58" spans="1:6">
      <c r="A58" s="375" t="s">
        <v>1964</v>
      </c>
      <c r="B58" s="375" t="s">
        <v>1598</v>
      </c>
      <c r="C58" s="375" t="s">
        <v>1968</v>
      </c>
      <c r="D58" s="375" t="s">
        <v>3348</v>
      </c>
      <c r="E58" s="375" t="s">
        <v>1975</v>
      </c>
      <c r="F58" s="375" t="s">
        <v>214</v>
      </c>
    </row>
    <row r="59" spans="1:6">
      <c r="A59" s="375" t="s">
        <v>1964</v>
      </c>
      <c r="B59" s="375" t="s">
        <v>1598</v>
      </c>
      <c r="C59" s="375" t="s">
        <v>1968</v>
      </c>
      <c r="D59" s="375" t="s">
        <v>3348</v>
      </c>
      <c r="E59" s="375" t="s">
        <v>1976</v>
      </c>
      <c r="F59" s="375" t="s">
        <v>215</v>
      </c>
    </row>
    <row r="60" spans="1:6">
      <c r="A60" s="375" t="s">
        <v>1964</v>
      </c>
      <c r="B60" s="375" t="s">
        <v>1598</v>
      </c>
      <c r="C60" s="375" t="s">
        <v>1968</v>
      </c>
      <c r="D60" s="375" t="s">
        <v>3348</v>
      </c>
      <c r="E60" s="375" t="s">
        <v>1977</v>
      </c>
      <c r="F60" s="375" t="s">
        <v>216</v>
      </c>
    </row>
    <row r="61" spans="1:6">
      <c r="A61" s="375" t="s">
        <v>1964</v>
      </c>
      <c r="B61" s="375" t="s">
        <v>1598</v>
      </c>
      <c r="C61" s="375" t="s">
        <v>1968</v>
      </c>
      <c r="D61" s="375" t="s">
        <v>3348</v>
      </c>
      <c r="E61" s="375" t="s">
        <v>1978</v>
      </c>
      <c r="F61" s="375" t="s">
        <v>217</v>
      </c>
    </row>
    <row r="62" spans="1:6">
      <c r="A62" s="375" t="s">
        <v>1964</v>
      </c>
      <c r="B62" s="375" t="s">
        <v>1598</v>
      </c>
      <c r="C62" s="375" t="s">
        <v>1968</v>
      </c>
      <c r="D62" s="375" t="s">
        <v>3348</v>
      </c>
      <c r="E62" s="375" t="s">
        <v>1979</v>
      </c>
      <c r="F62" s="375" t="s">
        <v>1221</v>
      </c>
    </row>
    <row r="63" spans="1:6">
      <c r="A63" s="375" t="s">
        <v>1964</v>
      </c>
      <c r="B63" s="375" t="s">
        <v>1598</v>
      </c>
      <c r="C63" s="375" t="s">
        <v>1968</v>
      </c>
      <c r="D63" s="375" t="s">
        <v>3348</v>
      </c>
      <c r="E63" s="375" t="s">
        <v>1980</v>
      </c>
      <c r="F63" s="375" t="s">
        <v>4036</v>
      </c>
    </row>
    <row r="64" spans="1:6">
      <c r="A64" s="375" t="s">
        <v>1964</v>
      </c>
      <c r="B64" s="375" t="s">
        <v>1598</v>
      </c>
      <c r="C64" s="375" t="s">
        <v>1968</v>
      </c>
      <c r="D64" s="375" t="s">
        <v>3348</v>
      </c>
      <c r="E64" s="375" t="s">
        <v>1981</v>
      </c>
      <c r="F64" s="375" t="s">
        <v>4037</v>
      </c>
    </row>
    <row r="65" spans="1:6">
      <c r="A65" s="375" t="s">
        <v>1964</v>
      </c>
      <c r="B65" s="375" t="s">
        <v>1598</v>
      </c>
      <c r="C65" s="375" t="s">
        <v>1968</v>
      </c>
      <c r="D65" s="375" t="s">
        <v>3348</v>
      </c>
      <c r="E65" s="375" t="s">
        <v>1982</v>
      </c>
      <c r="F65" s="375" t="s">
        <v>485</v>
      </c>
    </row>
    <row r="66" spans="1:6">
      <c r="A66" s="375" t="s">
        <v>1964</v>
      </c>
      <c r="B66" s="375" t="s">
        <v>1598</v>
      </c>
      <c r="C66" s="375" t="s">
        <v>1968</v>
      </c>
      <c r="D66" s="375" t="s">
        <v>3348</v>
      </c>
      <c r="E66" s="375" t="s">
        <v>4150</v>
      </c>
      <c r="F66" s="375" t="s">
        <v>1674</v>
      </c>
    </row>
    <row r="67" spans="1:6">
      <c r="A67" s="375" t="s">
        <v>1964</v>
      </c>
      <c r="B67" s="375" t="s">
        <v>1598</v>
      </c>
      <c r="C67" s="375" t="s">
        <v>1968</v>
      </c>
      <c r="D67" s="375" t="s">
        <v>3348</v>
      </c>
      <c r="E67" s="375" t="s">
        <v>4151</v>
      </c>
      <c r="F67" s="375" t="s">
        <v>2810</v>
      </c>
    </row>
    <row r="68" spans="1:6">
      <c r="A68" s="375" t="s">
        <v>1964</v>
      </c>
      <c r="B68" s="375" t="s">
        <v>1598</v>
      </c>
      <c r="C68" s="375" t="s">
        <v>1968</v>
      </c>
      <c r="D68" s="375" t="s">
        <v>3348</v>
      </c>
      <c r="E68" s="375" t="s">
        <v>4152</v>
      </c>
      <c r="F68" s="375" t="s">
        <v>2811</v>
      </c>
    </row>
    <row r="69" spans="1:6">
      <c r="A69" s="375" t="s">
        <v>1964</v>
      </c>
      <c r="B69" s="375" t="s">
        <v>1598</v>
      </c>
      <c r="C69" s="375" t="s">
        <v>1968</v>
      </c>
      <c r="D69" s="375" t="s">
        <v>3348</v>
      </c>
      <c r="E69" s="375" t="s">
        <v>4153</v>
      </c>
      <c r="F69" s="375" t="s">
        <v>2812</v>
      </c>
    </row>
    <row r="70" spans="1:6">
      <c r="A70" s="375" t="s">
        <v>1964</v>
      </c>
      <c r="B70" s="375" t="s">
        <v>1598</v>
      </c>
      <c r="C70" s="375" t="s">
        <v>1969</v>
      </c>
      <c r="D70" s="375" t="s">
        <v>3494</v>
      </c>
      <c r="E70" s="375" t="s">
        <v>1964</v>
      </c>
      <c r="F70" s="375" t="s">
        <v>2813</v>
      </c>
    </row>
    <row r="71" spans="1:6">
      <c r="A71" s="375" t="s">
        <v>1964</v>
      </c>
      <c r="B71" s="375" t="s">
        <v>1598</v>
      </c>
      <c r="C71" s="375" t="s">
        <v>1969</v>
      </c>
      <c r="D71" s="375" t="s">
        <v>3494</v>
      </c>
      <c r="E71" s="375" t="s">
        <v>1965</v>
      </c>
      <c r="F71" s="375" t="s">
        <v>2814</v>
      </c>
    </row>
    <row r="72" spans="1:6">
      <c r="A72" s="375" t="s">
        <v>1964</v>
      </c>
      <c r="B72" s="375" t="s">
        <v>1598</v>
      </c>
      <c r="C72" s="375" t="s">
        <v>1969</v>
      </c>
      <c r="D72" s="375" t="s">
        <v>3494</v>
      </c>
      <c r="E72" s="375" t="s">
        <v>1966</v>
      </c>
      <c r="F72" s="375" t="s">
        <v>4160</v>
      </c>
    </row>
    <row r="73" spans="1:6">
      <c r="A73" s="375" t="s">
        <v>1964</v>
      </c>
      <c r="B73" s="375" t="s">
        <v>1598</v>
      </c>
      <c r="C73" s="375" t="s">
        <v>1969</v>
      </c>
      <c r="D73" s="375" t="s">
        <v>3494</v>
      </c>
      <c r="E73" s="375" t="s">
        <v>1967</v>
      </c>
      <c r="F73" s="375" t="s">
        <v>781</v>
      </c>
    </row>
    <row r="74" spans="1:6">
      <c r="A74" s="375" t="s">
        <v>1964</v>
      </c>
      <c r="B74" s="375" t="s">
        <v>1598</v>
      </c>
      <c r="C74" s="375" t="s">
        <v>1969</v>
      </c>
      <c r="D74" s="375" t="s">
        <v>3494</v>
      </c>
      <c r="E74" s="375" t="s">
        <v>1968</v>
      </c>
      <c r="F74" s="375" t="s">
        <v>782</v>
      </c>
    </row>
    <row r="75" spans="1:6">
      <c r="A75" s="375" t="s">
        <v>1964</v>
      </c>
      <c r="B75" s="375" t="s">
        <v>1598</v>
      </c>
      <c r="C75" s="375" t="s">
        <v>1969</v>
      </c>
      <c r="D75" s="375" t="s">
        <v>3494</v>
      </c>
      <c r="E75" s="375" t="s">
        <v>1969</v>
      </c>
      <c r="F75" s="375" t="s">
        <v>783</v>
      </c>
    </row>
    <row r="76" spans="1:6">
      <c r="A76" s="375" t="s">
        <v>1964</v>
      </c>
      <c r="B76" s="375" t="s">
        <v>1598</v>
      </c>
      <c r="C76" s="375" t="s">
        <v>1969</v>
      </c>
      <c r="D76" s="375" t="s">
        <v>3494</v>
      </c>
      <c r="E76" s="375" t="s">
        <v>1970</v>
      </c>
      <c r="F76" s="375" t="s">
        <v>784</v>
      </c>
    </row>
    <row r="77" spans="1:6">
      <c r="A77" s="375" t="s">
        <v>1964</v>
      </c>
      <c r="B77" s="375" t="s">
        <v>1598</v>
      </c>
      <c r="C77" s="375" t="s">
        <v>1969</v>
      </c>
      <c r="D77" s="375" t="s">
        <v>3494</v>
      </c>
      <c r="E77" s="375" t="s">
        <v>1971</v>
      </c>
      <c r="F77" s="375" t="s">
        <v>785</v>
      </c>
    </row>
    <row r="78" spans="1:6">
      <c r="A78" s="375" t="s">
        <v>1964</v>
      </c>
      <c r="B78" s="375" t="s">
        <v>1598</v>
      </c>
      <c r="C78" s="375" t="s">
        <v>1969</v>
      </c>
      <c r="D78" s="375" t="s">
        <v>3494</v>
      </c>
      <c r="E78" s="375" t="s">
        <v>1972</v>
      </c>
      <c r="F78" s="375" t="s">
        <v>786</v>
      </c>
    </row>
    <row r="79" spans="1:6">
      <c r="A79" s="375" t="s">
        <v>1964</v>
      </c>
      <c r="B79" s="375" t="s">
        <v>1598</v>
      </c>
      <c r="C79" s="375" t="s">
        <v>1969</v>
      </c>
      <c r="D79" s="375" t="s">
        <v>3494</v>
      </c>
      <c r="E79" s="375" t="s">
        <v>1973</v>
      </c>
      <c r="F79" s="375" t="s">
        <v>559</v>
      </c>
    </row>
    <row r="80" spans="1:6">
      <c r="A80" s="375" t="s">
        <v>1964</v>
      </c>
      <c r="B80" s="375" t="s">
        <v>1598</v>
      </c>
      <c r="C80" s="375" t="s">
        <v>1969</v>
      </c>
      <c r="D80" s="375" t="s">
        <v>3494</v>
      </c>
      <c r="E80" s="375" t="s">
        <v>1974</v>
      </c>
      <c r="F80" s="375" t="s">
        <v>560</v>
      </c>
    </row>
    <row r="81" spans="1:6">
      <c r="A81" s="375" t="s">
        <v>1964</v>
      </c>
      <c r="B81" s="375" t="s">
        <v>1598</v>
      </c>
      <c r="C81" s="375" t="s">
        <v>1969</v>
      </c>
      <c r="D81" s="375" t="s">
        <v>3494</v>
      </c>
      <c r="E81" s="375" t="s">
        <v>1975</v>
      </c>
      <c r="F81" s="375" t="s">
        <v>561</v>
      </c>
    </row>
    <row r="82" spans="1:6">
      <c r="A82" s="375" t="s">
        <v>1964</v>
      </c>
      <c r="B82" s="375" t="s">
        <v>1598</v>
      </c>
      <c r="C82" s="375" t="s">
        <v>1970</v>
      </c>
      <c r="D82" s="375" t="s">
        <v>2139</v>
      </c>
      <c r="E82" s="375" t="s">
        <v>1964</v>
      </c>
      <c r="F82" s="375" t="s">
        <v>2140</v>
      </c>
    </row>
    <row r="83" spans="1:6">
      <c r="A83" s="375" t="s">
        <v>1964</v>
      </c>
      <c r="B83" s="375" t="s">
        <v>1598</v>
      </c>
      <c r="C83" s="375" t="s">
        <v>1970</v>
      </c>
      <c r="D83" s="375" t="s">
        <v>2139</v>
      </c>
      <c r="E83" s="375" t="s">
        <v>1965</v>
      </c>
      <c r="F83" s="375" t="s">
        <v>2141</v>
      </c>
    </row>
    <row r="84" spans="1:6">
      <c r="A84" s="375" t="s">
        <v>1964</v>
      </c>
      <c r="B84" s="375" t="s">
        <v>1598</v>
      </c>
      <c r="C84" s="375" t="s">
        <v>1970</v>
      </c>
      <c r="D84" s="375" t="s">
        <v>2139</v>
      </c>
      <c r="E84" s="375" t="s">
        <v>1966</v>
      </c>
      <c r="F84" s="375" t="s">
        <v>3112</v>
      </c>
    </row>
    <row r="85" spans="1:6">
      <c r="A85" s="375" t="s">
        <v>1964</v>
      </c>
      <c r="B85" s="375" t="s">
        <v>1598</v>
      </c>
      <c r="C85" s="375" t="s">
        <v>1970</v>
      </c>
      <c r="D85" s="375" t="s">
        <v>2139</v>
      </c>
      <c r="E85" s="375" t="s">
        <v>1967</v>
      </c>
      <c r="F85" s="375" t="s">
        <v>45</v>
      </c>
    </row>
    <row r="86" spans="1:6">
      <c r="A86" s="375" t="s">
        <v>1964</v>
      </c>
      <c r="B86" s="375" t="s">
        <v>1598</v>
      </c>
      <c r="C86" s="375" t="s">
        <v>1970</v>
      </c>
      <c r="D86" s="375" t="s">
        <v>2139</v>
      </c>
      <c r="E86" s="375" t="s">
        <v>1968</v>
      </c>
      <c r="F86" s="375" t="s">
        <v>46</v>
      </c>
    </row>
    <row r="87" spans="1:6">
      <c r="A87" s="375" t="s">
        <v>1964</v>
      </c>
      <c r="B87" s="375" t="s">
        <v>1598</v>
      </c>
      <c r="C87" s="375" t="s">
        <v>1970</v>
      </c>
      <c r="D87" s="375" t="s">
        <v>2139</v>
      </c>
      <c r="E87" s="375" t="s">
        <v>1969</v>
      </c>
      <c r="F87" s="375" t="s">
        <v>47</v>
      </c>
    </row>
    <row r="88" spans="1:6">
      <c r="A88" s="375" t="s">
        <v>1964</v>
      </c>
      <c r="B88" s="375" t="s">
        <v>1598</v>
      </c>
      <c r="C88" s="375" t="s">
        <v>1970</v>
      </c>
      <c r="D88" s="375" t="s">
        <v>2139</v>
      </c>
      <c r="E88" s="375" t="s">
        <v>1970</v>
      </c>
      <c r="F88" s="375" t="s">
        <v>48</v>
      </c>
    </row>
    <row r="89" spans="1:6">
      <c r="A89" s="375" t="s">
        <v>1965</v>
      </c>
      <c r="B89" s="375" t="s">
        <v>49</v>
      </c>
      <c r="C89" s="375" t="s">
        <v>1964</v>
      </c>
      <c r="D89" s="375" t="s">
        <v>50</v>
      </c>
      <c r="E89" s="375" t="s">
        <v>1964</v>
      </c>
      <c r="F89" s="375" t="s">
        <v>50</v>
      </c>
    </row>
    <row r="90" spans="1:6">
      <c r="A90" s="375" t="s">
        <v>1965</v>
      </c>
      <c r="B90" s="375" t="s">
        <v>49</v>
      </c>
      <c r="C90" s="375" t="s">
        <v>1964</v>
      </c>
      <c r="D90" s="375" t="s">
        <v>50</v>
      </c>
      <c r="E90" s="375" t="s">
        <v>1965</v>
      </c>
      <c r="F90" s="375" t="s">
        <v>51</v>
      </c>
    </row>
    <row r="91" spans="1:6">
      <c r="A91" s="375" t="s">
        <v>1965</v>
      </c>
      <c r="B91" s="375" t="s">
        <v>49</v>
      </c>
      <c r="C91" s="375" t="s">
        <v>1964</v>
      </c>
      <c r="D91" s="375" t="s">
        <v>50</v>
      </c>
      <c r="E91" s="375" t="s">
        <v>1966</v>
      </c>
      <c r="F91" s="375" t="s">
        <v>52</v>
      </c>
    </row>
    <row r="92" spans="1:6">
      <c r="A92" s="375" t="s">
        <v>1965</v>
      </c>
      <c r="B92" s="375" t="s">
        <v>49</v>
      </c>
      <c r="C92" s="375" t="s">
        <v>1964</v>
      </c>
      <c r="D92" s="375" t="s">
        <v>50</v>
      </c>
      <c r="E92" s="375" t="s">
        <v>1967</v>
      </c>
      <c r="F92" s="375" t="s">
        <v>53</v>
      </c>
    </row>
    <row r="93" spans="1:6">
      <c r="A93" s="375" t="s">
        <v>1965</v>
      </c>
      <c r="B93" s="375" t="s">
        <v>49</v>
      </c>
      <c r="C93" s="375" t="s">
        <v>1964</v>
      </c>
      <c r="D93" s="375" t="s">
        <v>50</v>
      </c>
      <c r="E93" s="375" t="s">
        <v>1968</v>
      </c>
      <c r="F93" s="375" t="s">
        <v>2046</v>
      </c>
    </row>
    <row r="94" spans="1:6">
      <c r="A94" s="375" t="s">
        <v>1965</v>
      </c>
      <c r="B94" s="375" t="s">
        <v>49</v>
      </c>
      <c r="C94" s="375" t="s">
        <v>1964</v>
      </c>
      <c r="D94" s="375" t="s">
        <v>50</v>
      </c>
      <c r="E94" s="375" t="s">
        <v>1969</v>
      </c>
      <c r="F94" s="375" t="s">
        <v>2047</v>
      </c>
    </row>
    <row r="95" spans="1:6">
      <c r="A95" s="375" t="s">
        <v>1965</v>
      </c>
      <c r="B95" s="375" t="s">
        <v>49</v>
      </c>
      <c r="C95" s="375" t="s">
        <v>1964</v>
      </c>
      <c r="D95" s="375" t="s">
        <v>50</v>
      </c>
      <c r="E95" s="375" t="s">
        <v>1970</v>
      </c>
      <c r="F95" s="375" t="s">
        <v>2048</v>
      </c>
    </row>
    <row r="96" spans="1:6">
      <c r="A96" s="375" t="s">
        <v>1965</v>
      </c>
      <c r="B96" s="375" t="s">
        <v>49</v>
      </c>
      <c r="C96" s="375" t="s">
        <v>1964</v>
      </c>
      <c r="D96" s="375" t="s">
        <v>50</v>
      </c>
      <c r="E96" s="375" t="s">
        <v>1971</v>
      </c>
      <c r="F96" s="375" t="s">
        <v>966</v>
      </c>
    </row>
    <row r="97" spans="1:6">
      <c r="A97" s="375" t="s">
        <v>1965</v>
      </c>
      <c r="B97" s="375" t="s">
        <v>49</v>
      </c>
      <c r="C97" s="375" t="s">
        <v>1964</v>
      </c>
      <c r="D97" s="375" t="s">
        <v>50</v>
      </c>
      <c r="E97" s="375" t="s">
        <v>1972</v>
      </c>
      <c r="F97" s="375" t="s">
        <v>2049</v>
      </c>
    </row>
    <row r="98" spans="1:6">
      <c r="A98" s="375" t="s">
        <v>1965</v>
      </c>
      <c r="B98" s="375" t="s">
        <v>49</v>
      </c>
      <c r="C98" s="375" t="s">
        <v>1964</v>
      </c>
      <c r="D98" s="375" t="s">
        <v>50</v>
      </c>
      <c r="E98" s="375" t="s">
        <v>1973</v>
      </c>
      <c r="F98" s="375" t="s">
        <v>2050</v>
      </c>
    </row>
    <row r="99" spans="1:6">
      <c r="A99" s="375" t="s">
        <v>1965</v>
      </c>
      <c r="B99" s="375" t="s">
        <v>49</v>
      </c>
      <c r="C99" s="375" t="s">
        <v>1964</v>
      </c>
      <c r="D99" s="375" t="s">
        <v>50</v>
      </c>
      <c r="E99" s="375" t="s">
        <v>1974</v>
      </c>
      <c r="F99" s="375" t="s">
        <v>2051</v>
      </c>
    </row>
    <row r="100" spans="1:6">
      <c r="A100" s="375" t="s">
        <v>1965</v>
      </c>
      <c r="B100" s="375" t="s">
        <v>49</v>
      </c>
      <c r="C100" s="375" t="s">
        <v>1964</v>
      </c>
      <c r="D100" s="375" t="s">
        <v>50</v>
      </c>
      <c r="E100" s="375" t="s">
        <v>1975</v>
      </c>
      <c r="F100" s="375" t="s">
        <v>2052</v>
      </c>
    </row>
    <row r="101" spans="1:6">
      <c r="A101" s="375" t="s">
        <v>1965</v>
      </c>
      <c r="B101" s="375" t="s">
        <v>49</v>
      </c>
      <c r="C101" s="375" t="s">
        <v>1965</v>
      </c>
      <c r="D101" s="375" t="s">
        <v>2053</v>
      </c>
      <c r="E101" s="375" t="s">
        <v>1964</v>
      </c>
      <c r="F101" s="375" t="s">
        <v>2053</v>
      </c>
    </row>
    <row r="102" spans="1:6">
      <c r="A102" s="375" t="s">
        <v>1965</v>
      </c>
      <c r="B102" s="375" t="s">
        <v>49</v>
      </c>
      <c r="C102" s="375" t="s">
        <v>1965</v>
      </c>
      <c r="D102" s="375" t="s">
        <v>2053</v>
      </c>
      <c r="E102" s="375" t="s">
        <v>1965</v>
      </c>
      <c r="F102" s="375" t="s">
        <v>2054</v>
      </c>
    </row>
    <row r="103" spans="1:6">
      <c r="A103" s="375" t="s">
        <v>1965</v>
      </c>
      <c r="B103" s="375" t="s">
        <v>49</v>
      </c>
      <c r="C103" s="375" t="s">
        <v>1965</v>
      </c>
      <c r="D103" s="375" t="s">
        <v>2053</v>
      </c>
      <c r="E103" s="375" t="s">
        <v>1966</v>
      </c>
      <c r="F103" s="375" t="s">
        <v>2055</v>
      </c>
    </row>
    <row r="104" spans="1:6">
      <c r="A104" s="375" t="s">
        <v>1965</v>
      </c>
      <c r="B104" s="375" t="s">
        <v>49</v>
      </c>
      <c r="C104" s="375" t="s">
        <v>1965</v>
      </c>
      <c r="D104" s="375" t="s">
        <v>2053</v>
      </c>
      <c r="E104" s="375" t="s">
        <v>1967</v>
      </c>
      <c r="F104" s="375" t="s">
        <v>1339</v>
      </c>
    </row>
    <row r="105" spans="1:6">
      <c r="A105" s="375" t="s">
        <v>1965</v>
      </c>
      <c r="B105" s="375" t="s">
        <v>49</v>
      </c>
      <c r="C105" s="375" t="s">
        <v>1965</v>
      </c>
      <c r="D105" s="375" t="s">
        <v>2053</v>
      </c>
      <c r="E105" s="375" t="s">
        <v>1968</v>
      </c>
      <c r="F105" s="375" t="s">
        <v>1340</v>
      </c>
    </row>
    <row r="106" spans="1:6">
      <c r="A106" s="375" t="s">
        <v>1965</v>
      </c>
      <c r="B106" s="375" t="s">
        <v>49</v>
      </c>
      <c r="C106" s="375" t="s">
        <v>1966</v>
      </c>
      <c r="D106" s="375" t="s">
        <v>1341</v>
      </c>
      <c r="E106" s="375" t="s">
        <v>1964</v>
      </c>
      <c r="F106" s="375" t="s">
        <v>1342</v>
      </c>
    </row>
    <row r="107" spans="1:6">
      <c r="A107" s="375" t="s">
        <v>1965</v>
      </c>
      <c r="B107" s="375" t="s">
        <v>49</v>
      </c>
      <c r="C107" s="375" t="s">
        <v>1966</v>
      </c>
      <c r="D107" s="375" t="s">
        <v>1341</v>
      </c>
      <c r="E107" s="375" t="s">
        <v>1965</v>
      </c>
      <c r="F107" s="375" t="s">
        <v>1815</v>
      </c>
    </row>
    <row r="108" spans="1:6">
      <c r="A108" s="375" t="s">
        <v>1965</v>
      </c>
      <c r="B108" s="375" t="s">
        <v>49</v>
      </c>
      <c r="C108" s="375" t="s">
        <v>1966</v>
      </c>
      <c r="D108" s="375" t="s">
        <v>1341</v>
      </c>
      <c r="E108" s="375" t="s">
        <v>1966</v>
      </c>
      <c r="F108" s="375" t="s">
        <v>1816</v>
      </c>
    </row>
    <row r="109" spans="1:6">
      <c r="A109" s="375" t="s">
        <v>1965</v>
      </c>
      <c r="B109" s="375" t="s">
        <v>49</v>
      </c>
      <c r="C109" s="375" t="s">
        <v>1966</v>
      </c>
      <c r="D109" s="375" t="s">
        <v>1341</v>
      </c>
      <c r="E109" s="375" t="s">
        <v>1967</v>
      </c>
      <c r="F109" s="375" t="s">
        <v>3110</v>
      </c>
    </row>
    <row r="110" spans="1:6">
      <c r="A110" s="375" t="s">
        <v>1965</v>
      </c>
      <c r="B110" s="375" t="s">
        <v>49</v>
      </c>
      <c r="C110" s="375" t="s">
        <v>1966</v>
      </c>
      <c r="D110" s="375" t="s">
        <v>1341</v>
      </c>
      <c r="E110" s="375" t="s">
        <v>1968</v>
      </c>
      <c r="F110" s="375" t="s">
        <v>3111</v>
      </c>
    </row>
    <row r="111" spans="1:6">
      <c r="A111" s="375" t="s">
        <v>1965</v>
      </c>
      <c r="B111" s="375" t="s">
        <v>49</v>
      </c>
      <c r="C111" s="375" t="s">
        <v>1966</v>
      </c>
      <c r="D111" s="375" t="s">
        <v>1341</v>
      </c>
      <c r="E111" s="375" t="s">
        <v>1969</v>
      </c>
      <c r="F111" s="375" t="s">
        <v>2567</v>
      </c>
    </row>
    <row r="112" spans="1:6">
      <c r="A112" s="375" t="s">
        <v>1965</v>
      </c>
      <c r="B112" s="375" t="s">
        <v>49</v>
      </c>
      <c r="C112" s="375" t="s">
        <v>1967</v>
      </c>
      <c r="D112" s="375" t="s">
        <v>576</v>
      </c>
      <c r="E112" s="375" t="s">
        <v>1964</v>
      </c>
      <c r="F112" s="375" t="s">
        <v>656</v>
      </c>
    </row>
    <row r="113" spans="1:6">
      <c r="A113" s="375" t="s">
        <v>1965</v>
      </c>
      <c r="B113" s="375" t="s">
        <v>49</v>
      </c>
      <c r="C113" s="375" t="s">
        <v>1967</v>
      </c>
      <c r="D113" s="375" t="s">
        <v>576</v>
      </c>
      <c r="E113" s="375" t="s">
        <v>1965</v>
      </c>
      <c r="F113" s="375" t="s">
        <v>657</v>
      </c>
    </row>
    <row r="114" spans="1:6">
      <c r="A114" s="375" t="s">
        <v>1965</v>
      </c>
      <c r="B114" s="375" t="s">
        <v>49</v>
      </c>
      <c r="C114" s="375" t="s">
        <v>1968</v>
      </c>
      <c r="D114" s="375" t="s">
        <v>2526</v>
      </c>
      <c r="E114" s="375" t="s">
        <v>1964</v>
      </c>
      <c r="F114" s="375" t="s">
        <v>2527</v>
      </c>
    </row>
    <row r="115" spans="1:6">
      <c r="A115" s="375" t="s">
        <v>1965</v>
      </c>
      <c r="B115" s="375" t="s">
        <v>49</v>
      </c>
      <c r="C115" s="375" t="s">
        <v>1968</v>
      </c>
      <c r="D115" s="375" t="s">
        <v>2526</v>
      </c>
      <c r="E115" s="375" t="s">
        <v>1965</v>
      </c>
      <c r="F115" s="375" t="s">
        <v>2528</v>
      </c>
    </row>
    <row r="116" spans="1:6">
      <c r="A116" s="375" t="s">
        <v>1965</v>
      </c>
      <c r="B116" s="375" t="s">
        <v>49</v>
      </c>
      <c r="C116" s="375" t="s">
        <v>1968</v>
      </c>
      <c r="D116" s="375" t="s">
        <v>2526</v>
      </c>
      <c r="E116" s="375" t="s">
        <v>1966</v>
      </c>
      <c r="F116" s="375" t="s">
        <v>1341</v>
      </c>
    </row>
    <row r="117" spans="1:6">
      <c r="A117" s="375" t="s">
        <v>1965</v>
      </c>
      <c r="B117" s="375" t="s">
        <v>49</v>
      </c>
      <c r="C117" s="375" t="s">
        <v>1968</v>
      </c>
      <c r="D117" s="375" t="s">
        <v>2526</v>
      </c>
      <c r="E117" s="375" t="s">
        <v>1967</v>
      </c>
      <c r="F117" s="375" t="s">
        <v>2529</v>
      </c>
    </row>
    <row r="118" spans="1:6">
      <c r="A118" s="375" t="s">
        <v>1965</v>
      </c>
      <c r="B118" s="375" t="s">
        <v>49</v>
      </c>
      <c r="C118" s="375" t="s">
        <v>1968</v>
      </c>
      <c r="D118" s="375" t="s">
        <v>2526</v>
      </c>
      <c r="E118" s="375" t="s">
        <v>1968</v>
      </c>
      <c r="F118" s="375" t="s">
        <v>2530</v>
      </c>
    </row>
    <row r="119" spans="1:6">
      <c r="A119" s="375" t="s">
        <v>1965</v>
      </c>
      <c r="B119" s="375" t="s">
        <v>49</v>
      </c>
      <c r="C119" s="375" t="s">
        <v>1968</v>
      </c>
      <c r="D119" s="375" t="s">
        <v>2526</v>
      </c>
      <c r="E119" s="375" t="s">
        <v>1969</v>
      </c>
      <c r="F119" s="375" t="s">
        <v>2531</v>
      </c>
    </row>
    <row r="120" spans="1:6">
      <c r="A120" s="375" t="s">
        <v>1965</v>
      </c>
      <c r="B120" s="375" t="s">
        <v>49</v>
      </c>
      <c r="C120" s="375" t="s">
        <v>1968</v>
      </c>
      <c r="D120" s="375" t="s">
        <v>2526</v>
      </c>
      <c r="E120" s="375" t="s">
        <v>1970</v>
      </c>
      <c r="F120" s="375" t="s">
        <v>1450</v>
      </c>
    </row>
    <row r="121" spans="1:6">
      <c r="A121" s="375" t="s">
        <v>1965</v>
      </c>
      <c r="B121" s="375" t="s">
        <v>49</v>
      </c>
      <c r="C121" s="375" t="s">
        <v>1968</v>
      </c>
      <c r="D121" s="375" t="s">
        <v>2526</v>
      </c>
      <c r="E121" s="375" t="s">
        <v>1971</v>
      </c>
      <c r="F121" s="375" t="s">
        <v>1451</v>
      </c>
    </row>
    <row r="122" spans="1:6">
      <c r="A122" s="375" t="s">
        <v>1965</v>
      </c>
      <c r="B122" s="375" t="s">
        <v>49</v>
      </c>
      <c r="C122" s="375" t="s">
        <v>1968</v>
      </c>
      <c r="D122" s="375" t="s">
        <v>2526</v>
      </c>
      <c r="E122" s="375" t="s">
        <v>1972</v>
      </c>
      <c r="F122" s="375" t="s">
        <v>1452</v>
      </c>
    </row>
    <row r="123" spans="1:6">
      <c r="A123" s="375" t="s">
        <v>1965</v>
      </c>
      <c r="B123" s="375" t="s">
        <v>49</v>
      </c>
      <c r="C123" s="375" t="s">
        <v>1968</v>
      </c>
      <c r="D123" s="375" t="s">
        <v>2526</v>
      </c>
      <c r="E123" s="375" t="s">
        <v>1973</v>
      </c>
      <c r="F123" s="375" t="s">
        <v>1453</v>
      </c>
    </row>
    <row r="124" spans="1:6">
      <c r="A124" s="375" t="s">
        <v>1965</v>
      </c>
      <c r="B124" s="375" t="s">
        <v>49</v>
      </c>
      <c r="C124" s="375" t="s">
        <v>1968</v>
      </c>
      <c r="D124" s="375" t="s">
        <v>2526</v>
      </c>
      <c r="E124" s="375" t="s">
        <v>1974</v>
      </c>
      <c r="F124" s="375" t="s">
        <v>1454</v>
      </c>
    </row>
    <row r="125" spans="1:6">
      <c r="A125" s="375" t="s">
        <v>1965</v>
      </c>
      <c r="B125" s="375" t="s">
        <v>49</v>
      </c>
      <c r="C125" s="375" t="s">
        <v>1968</v>
      </c>
      <c r="D125" s="375" t="s">
        <v>2526</v>
      </c>
      <c r="E125" s="375" t="s">
        <v>1975</v>
      </c>
      <c r="F125" s="375" t="s">
        <v>1455</v>
      </c>
    </row>
    <row r="126" spans="1:6">
      <c r="A126" s="375" t="s">
        <v>1965</v>
      </c>
      <c r="B126" s="375" t="s">
        <v>49</v>
      </c>
      <c r="C126" s="375" t="s">
        <v>1968</v>
      </c>
      <c r="D126" s="375" t="s">
        <v>2526</v>
      </c>
      <c r="E126" s="375" t="s">
        <v>1976</v>
      </c>
      <c r="F126" s="375" t="s">
        <v>1456</v>
      </c>
    </row>
    <row r="127" spans="1:6">
      <c r="A127" s="375" t="s">
        <v>1965</v>
      </c>
      <c r="B127" s="375" t="s">
        <v>49</v>
      </c>
      <c r="C127" s="375" t="s">
        <v>1968</v>
      </c>
      <c r="D127" s="375" t="s">
        <v>2526</v>
      </c>
      <c r="E127" s="375" t="s">
        <v>1977</v>
      </c>
      <c r="F127" s="375" t="s">
        <v>1457</v>
      </c>
    </row>
    <row r="128" spans="1:6">
      <c r="A128" s="375" t="s">
        <v>1965</v>
      </c>
      <c r="B128" s="375" t="s">
        <v>49</v>
      </c>
      <c r="C128" s="375" t="s">
        <v>1968</v>
      </c>
      <c r="D128" s="375" t="s">
        <v>2526</v>
      </c>
      <c r="E128" s="375" t="s">
        <v>1978</v>
      </c>
      <c r="F128" s="375" t="s">
        <v>1458</v>
      </c>
    </row>
    <row r="129" spans="1:6">
      <c r="A129" s="375" t="s">
        <v>1965</v>
      </c>
      <c r="B129" s="375" t="s">
        <v>49</v>
      </c>
      <c r="C129" s="375" t="s">
        <v>1969</v>
      </c>
      <c r="D129" s="375" t="s">
        <v>1459</v>
      </c>
      <c r="E129" s="375" t="s">
        <v>1964</v>
      </c>
      <c r="F129" s="375" t="s">
        <v>1459</v>
      </c>
    </row>
    <row r="130" spans="1:6">
      <c r="A130" s="375" t="s">
        <v>1965</v>
      </c>
      <c r="B130" s="375" t="s">
        <v>49</v>
      </c>
      <c r="C130" s="375" t="s">
        <v>1969</v>
      </c>
      <c r="D130" s="375" t="s">
        <v>1459</v>
      </c>
      <c r="E130" s="375" t="s">
        <v>1965</v>
      </c>
      <c r="F130" s="375" t="s">
        <v>1460</v>
      </c>
    </row>
    <row r="131" spans="1:6">
      <c r="A131" s="375" t="s">
        <v>1965</v>
      </c>
      <c r="B131" s="375" t="s">
        <v>49</v>
      </c>
      <c r="C131" s="375" t="s">
        <v>1969</v>
      </c>
      <c r="D131" s="375" t="s">
        <v>1459</v>
      </c>
      <c r="E131" s="375" t="s">
        <v>1966</v>
      </c>
      <c r="F131" s="375" t="s">
        <v>1461</v>
      </c>
    </row>
    <row r="132" spans="1:6">
      <c r="A132" s="375" t="s">
        <v>1965</v>
      </c>
      <c r="B132" s="375" t="s">
        <v>49</v>
      </c>
      <c r="C132" s="375" t="s">
        <v>1969</v>
      </c>
      <c r="D132" s="375" t="s">
        <v>1459</v>
      </c>
      <c r="E132" s="375" t="s">
        <v>1967</v>
      </c>
      <c r="F132" s="375" t="s">
        <v>1462</v>
      </c>
    </row>
    <row r="133" spans="1:6">
      <c r="A133" s="375" t="s">
        <v>1965</v>
      </c>
      <c r="B133" s="375" t="s">
        <v>49</v>
      </c>
      <c r="C133" s="375" t="s">
        <v>1969</v>
      </c>
      <c r="D133" s="375" t="s">
        <v>1459</v>
      </c>
      <c r="E133" s="375" t="s">
        <v>1968</v>
      </c>
      <c r="F133" s="375" t="s">
        <v>1463</v>
      </c>
    </row>
    <row r="134" spans="1:6">
      <c r="A134" s="375" t="s">
        <v>1965</v>
      </c>
      <c r="B134" s="375" t="s">
        <v>49</v>
      </c>
      <c r="C134" s="375" t="s">
        <v>1969</v>
      </c>
      <c r="D134" s="375" t="s">
        <v>1459</v>
      </c>
      <c r="E134" s="375" t="s">
        <v>1969</v>
      </c>
      <c r="F134" s="375" t="s">
        <v>3753</v>
      </c>
    </row>
    <row r="135" spans="1:6">
      <c r="A135" s="375" t="s">
        <v>1965</v>
      </c>
      <c r="B135" s="375" t="s">
        <v>49</v>
      </c>
      <c r="C135" s="375" t="s">
        <v>1969</v>
      </c>
      <c r="D135" s="375" t="s">
        <v>1459</v>
      </c>
      <c r="E135" s="375" t="s">
        <v>1970</v>
      </c>
      <c r="F135" s="375" t="s">
        <v>3754</v>
      </c>
    </row>
    <row r="136" spans="1:6">
      <c r="A136" s="375" t="s">
        <v>1965</v>
      </c>
      <c r="B136" s="375" t="s">
        <v>49</v>
      </c>
      <c r="C136" s="375" t="s">
        <v>1969</v>
      </c>
      <c r="D136" s="375" t="s">
        <v>1459</v>
      </c>
      <c r="E136" s="375" t="s">
        <v>1971</v>
      </c>
      <c r="F136" s="375" t="s">
        <v>3755</v>
      </c>
    </row>
    <row r="137" spans="1:6">
      <c r="A137" s="375" t="s">
        <v>1965</v>
      </c>
      <c r="B137" s="375" t="s">
        <v>49</v>
      </c>
      <c r="C137" s="375" t="s">
        <v>1969</v>
      </c>
      <c r="D137" s="375" t="s">
        <v>1459</v>
      </c>
      <c r="E137" s="375" t="s">
        <v>1972</v>
      </c>
      <c r="F137" s="375" t="s">
        <v>3756</v>
      </c>
    </row>
    <row r="138" spans="1:6">
      <c r="A138" s="375" t="s">
        <v>1965</v>
      </c>
      <c r="B138" s="375" t="s">
        <v>49</v>
      </c>
      <c r="C138" s="375" t="s">
        <v>1969</v>
      </c>
      <c r="D138" s="375" t="s">
        <v>1459</v>
      </c>
      <c r="E138" s="375" t="s">
        <v>1973</v>
      </c>
      <c r="F138" s="375" t="s">
        <v>2173</v>
      </c>
    </row>
    <row r="139" spans="1:6">
      <c r="A139" s="375" t="s">
        <v>1965</v>
      </c>
      <c r="B139" s="375" t="s">
        <v>49</v>
      </c>
      <c r="C139" s="375" t="s">
        <v>1969</v>
      </c>
      <c r="D139" s="375" t="s">
        <v>1459</v>
      </c>
      <c r="E139" s="375" t="s">
        <v>1974</v>
      </c>
      <c r="F139" s="375" t="s">
        <v>2005</v>
      </c>
    </row>
    <row r="140" spans="1:6">
      <c r="A140" s="375" t="s">
        <v>1965</v>
      </c>
      <c r="B140" s="375" t="s">
        <v>49</v>
      </c>
      <c r="C140" s="375" t="s">
        <v>1970</v>
      </c>
      <c r="D140" s="375" t="s">
        <v>793</v>
      </c>
      <c r="E140" s="375" t="s">
        <v>1964</v>
      </c>
      <c r="F140" s="375" t="s">
        <v>2006</v>
      </c>
    </row>
    <row r="141" spans="1:6">
      <c r="A141" s="375" t="s">
        <v>1965</v>
      </c>
      <c r="B141" s="375" t="s">
        <v>49</v>
      </c>
      <c r="C141" s="375" t="s">
        <v>1970</v>
      </c>
      <c r="D141" s="375" t="s">
        <v>793</v>
      </c>
      <c r="E141" s="375" t="s">
        <v>1965</v>
      </c>
      <c r="F141" s="375" t="s">
        <v>2813</v>
      </c>
    </row>
    <row r="142" spans="1:6">
      <c r="A142" s="375" t="s">
        <v>1965</v>
      </c>
      <c r="B142" s="375" t="s">
        <v>49</v>
      </c>
      <c r="C142" s="375" t="s">
        <v>1970</v>
      </c>
      <c r="D142" s="375" t="s">
        <v>793</v>
      </c>
      <c r="E142" s="375" t="s">
        <v>1966</v>
      </c>
      <c r="F142" s="375" t="s">
        <v>2007</v>
      </c>
    </row>
    <row r="143" spans="1:6">
      <c r="A143" s="375" t="s">
        <v>1965</v>
      </c>
      <c r="B143" s="375" t="s">
        <v>49</v>
      </c>
      <c r="C143" s="375" t="s">
        <v>1971</v>
      </c>
      <c r="D143" s="375" t="s">
        <v>1725</v>
      </c>
      <c r="E143" s="375" t="s">
        <v>1964</v>
      </c>
      <c r="F143" s="375" t="s">
        <v>1725</v>
      </c>
    </row>
    <row r="144" spans="1:6">
      <c r="A144" s="375" t="s">
        <v>1965</v>
      </c>
      <c r="B144" s="375" t="s">
        <v>49</v>
      </c>
      <c r="C144" s="375" t="s">
        <v>1971</v>
      </c>
      <c r="D144" s="375" t="s">
        <v>1725</v>
      </c>
      <c r="E144" s="375" t="s">
        <v>1965</v>
      </c>
      <c r="F144" s="375" t="s">
        <v>1726</v>
      </c>
    </row>
    <row r="145" spans="1:6">
      <c r="A145" s="375" t="s">
        <v>1965</v>
      </c>
      <c r="B145" s="375" t="s">
        <v>49</v>
      </c>
      <c r="C145" s="375" t="s">
        <v>1971</v>
      </c>
      <c r="D145" s="375" t="s">
        <v>1725</v>
      </c>
      <c r="E145" s="375" t="s">
        <v>1966</v>
      </c>
      <c r="F145" s="375" t="s">
        <v>1727</v>
      </c>
    </row>
    <row r="146" spans="1:6">
      <c r="A146" s="375" t="s">
        <v>1965</v>
      </c>
      <c r="B146" s="375" t="s">
        <v>49</v>
      </c>
      <c r="C146" s="375" t="s">
        <v>1971</v>
      </c>
      <c r="D146" s="375" t="s">
        <v>1725</v>
      </c>
      <c r="E146" s="375" t="s">
        <v>1967</v>
      </c>
      <c r="F146" s="375" t="s">
        <v>1728</v>
      </c>
    </row>
    <row r="147" spans="1:6">
      <c r="A147" s="375" t="s">
        <v>1965</v>
      </c>
      <c r="B147" s="375" t="s">
        <v>49</v>
      </c>
      <c r="C147" s="375" t="s">
        <v>1972</v>
      </c>
      <c r="D147" s="375" t="s">
        <v>1729</v>
      </c>
      <c r="E147" s="375" t="s">
        <v>1964</v>
      </c>
      <c r="F147" s="375" t="s">
        <v>1729</v>
      </c>
    </row>
    <row r="148" spans="1:6">
      <c r="A148" s="375" t="s">
        <v>1965</v>
      </c>
      <c r="B148" s="375" t="s">
        <v>49</v>
      </c>
      <c r="C148" s="375" t="s">
        <v>1972</v>
      </c>
      <c r="D148" s="375" t="s">
        <v>1729</v>
      </c>
      <c r="E148" s="375" t="s">
        <v>1965</v>
      </c>
      <c r="F148" s="375" t="s">
        <v>1730</v>
      </c>
    </row>
    <row r="149" spans="1:6">
      <c r="A149" s="375" t="s">
        <v>1965</v>
      </c>
      <c r="B149" s="375" t="s">
        <v>49</v>
      </c>
      <c r="C149" s="375" t="s">
        <v>1972</v>
      </c>
      <c r="D149" s="375" t="s">
        <v>1729</v>
      </c>
      <c r="E149" s="375" t="s">
        <v>1966</v>
      </c>
      <c r="F149" s="375" t="s">
        <v>2212</v>
      </c>
    </row>
    <row r="150" spans="1:6">
      <c r="A150" s="375" t="s">
        <v>1965</v>
      </c>
      <c r="B150" s="375" t="s">
        <v>49</v>
      </c>
      <c r="C150" s="375" t="s">
        <v>1972</v>
      </c>
      <c r="D150" s="375" t="s">
        <v>1729</v>
      </c>
      <c r="E150" s="375" t="s">
        <v>1967</v>
      </c>
      <c r="F150" s="375" t="s">
        <v>2213</v>
      </c>
    </row>
    <row r="151" spans="1:6">
      <c r="A151" s="375" t="s">
        <v>1965</v>
      </c>
      <c r="B151" s="375" t="s">
        <v>49</v>
      </c>
      <c r="C151" s="375" t="s">
        <v>1972</v>
      </c>
      <c r="D151" s="375" t="s">
        <v>1729</v>
      </c>
      <c r="E151" s="375" t="s">
        <v>1968</v>
      </c>
      <c r="F151" s="375" t="s">
        <v>2214</v>
      </c>
    </row>
    <row r="152" spans="1:6">
      <c r="A152" s="375" t="s">
        <v>1965</v>
      </c>
      <c r="B152" s="375" t="s">
        <v>49</v>
      </c>
      <c r="C152" s="375" t="s">
        <v>1972</v>
      </c>
      <c r="D152" s="375" t="s">
        <v>1729</v>
      </c>
      <c r="E152" s="375" t="s">
        <v>1969</v>
      </c>
      <c r="F152" s="375" t="s">
        <v>2215</v>
      </c>
    </row>
    <row r="153" spans="1:6">
      <c r="A153" s="375" t="s">
        <v>1965</v>
      </c>
      <c r="B153" s="375" t="s">
        <v>49</v>
      </c>
      <c r="C153" s="375" t="s">
        <v>1972</v>
      </c>
      <c r="D153" s="375" t="s">
        <v>1729</v>
      </c>
      <c r="E153" s="375" t="s">
        <v>1970</v>
      </c>
      <c r="F153" s="375" t="s">
        <v>2216</v>
      </c>
    </row>
    <row r="154" spans="1:6">
      <c r="A154" s="375" t="s">
        <v>1965</v>
      </c>
      <c r="B154" s="375" t="s">
        <v>49</v>
      </c>
      <c r="C154" s="375" t="s">
        <v>1973</v>
      </c>
      <c r="D154" s="375" t="s">
        <v>2217</v>
      </c>
      <c r="E154" s="375" t="s">
        <v>1964</v>
      </c>
      <c r="F154" s="375" t="s">
        <v>2217</v>
      </c>
    </row>
    <row r="155" spans="1:6">
      <c r="A155" s="375" t="s">
        <v>1965</v>
      </c>
      <c r="B155" s="375" t="s">
        <v>49</v>
      </c>
      <c r="C155" s="375" t="s">
        <v>1973</v>
      </c>
      <c r="D155" s="375" t="s">
        <v>2217</v>
      </c>
      <c r="E155" s="375" t="s">
        <v>1965</v>
      </c>
      <c r="F155" s="375" t="s">
        <v>3356</v>
      </c>
    </row>
    <row r="156" spans="1:6">
      <c r="A156" s="375" t="s">
        <v>1965</v>
      </c>
      <c r="B156" s="375" t="s">
        <v>49</v>
      </c>
      <c r="C156" s="375" t="s">
        <v>1973</v>
      </c>
      <c r="D156" s="375" t="s">
        <v>2217</v>
      </c>
      <c r="E156" s="375" t="s">
        <v>1966</v>
      </c>
      <c r="F156" s="375" t="s">
        <v>3357</v>
      </c>
    </row>
    <row r="157" spans="1:6">
      <c r="A157" s="375" t="s">
        <v>1965</v>
      </c>
      <c r="B157" s="375" t="s">
        <v>49</v>
      </c>
      <c r="C157" s="375" t="s">
        <v>1973</v>
      </c>
      <c r="D157" s="375" t="s">
        <v>2217</v>
      </c>
      <c r="E157" s="375" t="s">
        <v>1967</v>
      </c>
      <c r="F157" s="375" t="s">
        <v>3358</v>
      </c>
    </row>
    <row r="158" spans="1:6">
      <c r="A158" s="375" t="s">
        <v>1965</v>
      </c>
      <c r="B158" s="375" t="s">
        <v>49</v>
      </c>
      <c r="C158" s="375" t="s">
        <v>1973</v>
      </c>
      <c r="D158" s="375" t="s">
        <v>2217</v>
      </c>
      <c r="E158" s="375" t="s">
        <v>1968</v>
      </c>
      <c r="F158" s="375" t="s">
        <v>3359</v>
      </c>
    </row>
    <row r="159" spans="1:6">
      <c r="A159" s="375" t="s">
        <v>1965</v>
      </c>
      <c r="B159" s="375" t="s">
        <v>49</v>
      </c>
      <c r="C159" s="375" t="s">
        <v>1973</v>
      </c>
      <c r="D159" s="375" t="s">
        <v>2217</v>
      </c>
      <c r="E159" s="375" t="s">
        <v>1969</v>
      </c>
      <c r="F159" s="375" t="s">
        <v>3360</v>
      </c>
    </row>
    <row r="160" spans="1:6">
      <c r="A160" s="375" t="s">
        <v>1965</v>
      </c>
      <c r="B160" s="375" t="s">
        <v>49</v>
      </c>
      <c r="C160" s="375" t="s">
        <v>1973</v>
      </c>
      <c r="D160" s="375" t="s">
        <v>2217</v>
      </c>
      <c r="E160" s="375" t="s">
        <v>1970</v>
      </c>
      <c r="F160" s="375" t="s">
        <v>3361</v>
      </c>
    </row>
    <row r="161" spans="1:6">
      <c r="A161" s="375" t="s">
        <v>1965</v>
      </c>
      <c r="B161" s="375" t="s">
        <v>49</v>
      </c>
      <c r="C161" s="375" t="s">
        <v>1973</v>
      </c>
      <c r="D161" s="375" t="s">
        <v>2217</v>
      </c>
      <c r="E161" s="375" t="s">
        <v>1971</v>
      </c>
      <c r="F161" s="375" t="s">
        <v>3362</v>
      </c>
    </row>
    <row r="162" spans="1:6">
      <c r="A162" s="375" t="s">
        <v>1965</v>
      </c>
      <c r="B162" s="375" t="s">
        <v>49</v>
      </c>
      <c r="C162" s="375" t="s">
        <v>1973</v>
      </c>
      <c r="D162" s="375" t="s">
        <v>2217</v>
      </c>
      <c r="E162" s="375" t="s">
        <v>1972</v>
      </c>
      <c r="F162" s="375" t="s">
        <v>3363</v>
      </c>
    </row>
    <row r="163" spans="1:6">
      <c r="A163" s="375" t="s">
        <v>1965</v>
      </c>
      <c r="B163" s="375" t="s">
        <v>49</v>
      </c>
      <c r="C163" s="375" t="s">
        <v>1973</v>
      </c>
      <c r="D163" s="375" t="s">
        <v>2217</v>
      </c>
      <c r="E163" s="375" t="s">
        <v>1973</v>
      </c>
      <c r="F163" s="375" t="s">
        <v>3364</v>
      </c>
    </row>
    <row r="164" spans="1:6">
      <c r="A164" s="375" t="s">
        <v>1965</v>
      </c>
      <c r="B164" s="375" t="s">
        <v>49</v>
      </c>
      <c r="C164" s="375" t="s">
        <v>1973</v>
      </c>
      <c r="D164" s="375" t="s">
        <v>2217</v>
      </c>
      <c r="E164" s="375" t="s">
        <v>1974</v>
      </c>
      <c r="F164" s="375" t="s">
        <v>32</v>
      </c>
    </row>
    <row r="165" spans="1:6">
      <c r="A165" s="375" t="s">
        <v>1965</v>
      </c>
      <c r="B165" s="375" t="s">
        <v>49</v>
      </c>
      <c r="C165" s="375" t="s">
        <v>1973</v>
      </c>
      <c r="D165" s="375" t="s">
        <v>2217</v>
      </c>
      <c r="E165" s="375" t="s">
        <v>1975</v>
      </c>
      <c r="F165" s="375" t="s">
        <v>33</v>
      </c>
    </row>
    <row r="166" spans="1:6">
      <c r="A166" s="375" t="s">
        <v>1965</v>
      </c>
      <c r="B166" s="375" t="s">
        <v>49</v>
      </c>
      <c r="C166" s="375" t="s">
        <v>1973</v>
      </c>
      <c r="D166" s="375" t="s">
        <v>2217</v>
      </c>
      <c r="E166" s="375" t="s">
        <v>1976</v>
      </c>
      <c r="F166" s="375" t="s">
        <v>3029</v>
      </c>
    </row>
    <row r="167" spans="1:6">
      <c r="A167" s="375" t="s">
        <v>1965</v>
      </c>
      <c r="B167" s="375" t="s">
        <v>49</v>
      </c>
      <c r="C167" s="375" t="s">
        <v>1973</v>
      </c>
      <c r="D167" s="375" t="s">
        <v>2217</v>
      </c>
      <c r="E167" s="375" t="s">
        <v>1977</v>
      </c>
      <c r="F167" s="375" t="s">
        <v>3030</v>
      </c>
    </row>
    <row r="168" spans="1:6">
      <c r="A168" s="375" t="s">
        <v>1965</v>
      </c>
      <c r="B168" s="375" t="s">
        <v>49</v>
      </c>
      <c r="C168" s="375" t="s">
        <v>1973</v>
      </c>
      <c r="D168" s="375" t="s">
        <v>2217</v>
      </c>
      <c r="E168" s="375" t="s">
        <v>1978</v>
      </c>
      <c r="F168" s="375" t="s">
        <v>3031</v>
      </c>
    </row>
    <row r="169" spans="1:6">
      <c r="A169" s="375" t="s">
        <v>1965</v>
      </c>
      <c r="B169" s="375" t="s">
        <v>49</v>
      </c>
      <c r="C169" s="375" t="s">
        <v>1973</v>
      </c>
      <c r="D169" s="375" t="s">
        <v>2217</v>
      </c>
      <c r="E169" s="375" t="s">
        <v>1979</v>
      </c>
      <c r="F169" s="375" t="s">
        <v>3680</v>
      </c>
    </row>
    <row r="170" spans="1:6">
      <c r="A170" s="375" t="s">
        <v>1965</v>
      </c>
      <c r="B170" s="375" t="s">
        <v>49</v>
      </c>
      <c r="C170" s="375" t="s">
        <v>1974</v>
      </c>
      <c r="D170" s="375" t="s">
        <v>3716</v>
      </c>
      <c r="E170" s="375" t="s">
        <v>1964</v>
      </c>
      <c r="F170" s="375" t="s">
        <v>3716</v>
      </c>
    </row>
    <row r="171" spans="1:6">
      <c r="A171" s="375" t="s">
        <v>1965</v>
      </c>
      <c r="B171" s="375" t="s">
        <v>49</v>
      </c>
      <c r="C171" s="375" t="s">
        <v>1974</v>
      </c>
      <c r="D171" s="375" t="s">
        <v>3716</v>
      </c>
      <c r="E171" s="375" t="s">
        <v>1965</v>
      </c>
      <c r="F171" s="375" t="s">
        <v>3717</v>
      </c>
    </row>
    <row r="172" spans="1:6">
      <c r="A172" s="375" t="s">
        <v>1965</v>
      </c>
      <c r="B172" s="375" t="s">
        <v>49</v>
      </c>
      <c r="C172" s="375" t="s">
        <v>1974</v>
      </c>
      <c r="D172" s="375" t="s">
        <v>3716</v>
      </c>
      <c r="E172" s="375" t="s">
        <v>1966</v>
      </c>
      <c r="F172" s="375" t="s">
        <v>3718</v>
      </c>
    </row>
    <row r="173" spans="1:6">
      <c r="A173" s="375" t="s">
        <v>1965</v>
      </c>
      <c r="B173" s="375" t="s">
        <v>49</v>
      </c>
      <c r="C173" s="375" t="s">
        <v>1974</v>
      </c>
      <c r="D173" s="375" t="s">
        <v>3716</v>
      </c>
      <c r="E173" s="375" t="s">
        <v>1967</v>
      </c>
      <c r="F173" s="375" t="s">
        <v>3719</v>
      </c>
    </row>
    <row r="174" spans="1:6">
      <c r="A174" s="375" t="s">
        <v>1965</v>
      </c>
      <c r="B174" s="375" t="s">
        <v>49</v>
      </c>
      <c r="C174" s="375" t="s">
        <v>1974</v>
      </c>
      <c r="D174" s="375" t="s">
        <v>3716</v>
      </c>
      <c r="E174" s="375" t="s">
        <v>1968</v>
      </c>
      <c r="F174" s="375" t="s">
        <v>3720</v>
      </c>
    </row>
    <row r="175" spans="1:6">
      <c r="A175" s="375" t="s">
        <v>1965</v>
      </c>
      <c r="B175" s="375" t="s">
        <v>49</v>
      </c>
      <c r="C175" s="375" t="s">
        <v>1975</v>
      </c>
      <c r="D175" s="375" t="s">
        <v>3721</v>
      </c>
      <c r="E175" s="375" t="s">
        <v>1964</v>
      </c>
      <c r="F175" s="375" t="s">
        <v>3722</v>
      </c>
    </row>
    <row r="176" spans="1:6">
      <c r="A176" s="375" t="s">
        <v>1965</v>
      </c>
      <c r="B176" s="375" t="s">
        <v>49</v>
      </c>
      <c r="C176" s="375" t="s">
        <v>1975</v>
      </c>
      <c r="D176" s="375" t="s">
        <v>3721</v>
      </c>
      <c r="E176" s="375" t="s">
        <v>1965</v>
      </c>
      <c r="F176" s="375" t="s">
        <v>1451</v>
      </c>
    </row>
    <row r="177" spans="1:6">
      <c r="A177" s="375" t="s">
        <v>1965</v>
      </c>
      <c r="B177" s="375" t="s">
        <v>49</v>
      </c>
      <c r="C177" s="375" t="s">
        <v>1975</v>
      </c>
      <c r="D177" s="375" t="s">
        <v>3721</v>
      </c>
      <c r="E177" s="375" t="s">
        <v>1966</v>
      </c>
      <c r="F177" s="375" t="s">
        <v>1157</v>
      </c>
    </row>
    <row r="178" spans="1:6">
      <c r="A178" s="375" t="s">
        <v>1965</v>
      </c>
      <c r="B178" s="375" t="s">
        <v>49</v>
      </c>
      <c r="C178" s="375" t="s">
        <v>1975</v>
      </c>
      <c r="D178" s="375" t="s">
        <v>3721</v>
      </c>
      <c r="E178" s="375" t="s">
        <v>1967</v>
      </c>
      <c r="F178" s="375" t="s">
        <v>3721</v>
      </c>
    </row>
    <row r="179" spans="1:6">
      <c r="A179" s="375" t="s">
        <v>1965</v>
      </c>
      <c r="B179" s="375" t="s">
        <v>49</v>
      </c>
      <c r="C179" s="375" t="s">
        <v>1975</v>
      </c>
      <c r="D179" s="375" t="s">
        <v>3721</v>
      </c>
      <c r="E179" s="375" t="s">
        <v>1968</v>
      </c>
      <c r="F179" s="375" t="s">
        <v>1158</v>
      </c>
    </row>
    <row r="180" spans="1:6">
      <c r="A180" s="375" t="s">
        <v>1965</v>
      </c>
      <c r="B180" s="375" t="s">
        <v>49</v>
      </c>
      <c r="C180" s="375" t="s">
        <v>1975</v>
      </c>
      <c r="D180" s="375" t="s">
        <v>3721</v>
      </c>
      <c r="E180" s="375" t="s">
        <v>1969</v>
      </c>
      <c r="F180" s="375" t="s">
        <v>1159</v>
      </c>
    </row>
    <row r="181" spans="1:6">
      <c r="A181" s="375" t="s">
        <v>1965</v>
      </c>
      <c r="B181" s="375" t="s">
        <v>49</v>
      </c>
      <c r="C181" s="375" t="s">
        <v>1975</v>
      </c>
      <c r="D181" s="375" t="s">
        <v>3721</v>
      </c>
      <c r="E181" s="375" t="s">
        <v>1970</v>
      </c>
      <c r="F181" s="375" t="s">
        <v>3596</v>
      </c>
    </row>
    <row r="182" spans="1:6">
      <c r="A182" s="375" t="s">
        <v>1965</v>
      </c>
      <c r="B182" s="375" t="s">
        <v>49</v>
      </c>
      <c r="C182" s="375" t="s">
        <v>1975</v>
      </c>
      <c r="D182" s="375" t="s">
        <v>3721</v>
      </c>
      <c r="E182" s="375" t="s">
        <v>1971</v>
      </c>
      <c r="F182" s="375" t="s">
        <v>1160</v>
      </c>
    </row>
    <row r="183" spans="1:6">
      <c r="A183" s="375" t="s">
        <v>1965</v>
      </c>
      <c r="B183" s="375" t="s">
        <v>49</v>
      </c>
      <c r="C183" s="375" t="s">
        <v>1975</v>
      </c>
      <c r="D183" s="375" t="s">
        <v>3721</v>
      </c>
      <c r="E183" s="375" t="s">
        <v>1972</v>
      </c>
      <c r="F183" s="375" t="s">
        <v>1161</v>
      </c>
    </row>
    <row r="184" spans="1:6">
      <c r="A184" s="375" t="s">
        <v>1965</v>
      </c>
      <c r="B184" s="375" t="s">
        <v>49</v>
      </c>
      <c r="C184" s="375" t="s">
        <v>1975</v>
      </c>
      <c r="D184" s="375" t="s">
        <v>3721</v>
      </c>
      <c r="E184" s="375" t="s">
        <v>1973</v>
      </c>
      <c r="F184" s="375" t="s">
        <v>1162</v>
      </c>
    </row>
    <row r="185" spans="1:6">
      <c r="A185" s="375" t="s">
        <v>1965</v>
      </c>
      <c r="B185" s="375" t="s">
        <v>49</v>
      </c>
      <c r="C185" s="375" t="s">
        <v>1976</v>
      </c>
      <c r="D185" s="375" t="s">
        <v>2174</v>
      </c>
      <c r="E185" s="375" t="s">
        <v>1964</v>
      </c>
      <c r="F185" s="375" t="s">
        <v>2223</v>
      </c>
    </row>
    <row r="186" spans="1:6">
      <c r="A186" s="375" t="s">
        <v>1965</v>
      </c>
      <c r="B186" s="375" t="s">
        <v>49</v>
      </c>
      <c r="C186" s="375" t="s">
        <v>1976</v>
      </c>
      <c r="D186" s="375" t="s">
        <v>2174</v>
      </c>
      <c r="E186" s="375" t="s">
        <v>1965</v>
      </c>
      <c r="F186" s="375" t="s">
        <v>2224</v>
      </c>
    </row>
    <row r="187" spans="1:6">
      <c r="A187" s="375" t="s">
        <v>1965</v>
      </c>
      <c r="B187" s="375" t="s">
        <v>49</v>
      </c>
      <c r="C187" s="375" t="s">
        <v>1976</v>
      </c>
      <c r="D187" s="375" t="s">
        <v>2174</v>
      </c>
      <c r="E187" s="375" t="s">
        <v>1966</v>
      </c>
      <c r="F187" s="375" t="s">
        <v>662</v>
      </c>
    </row>
    <row r="188" spans="1:6">
      <c r="A188" s="375" t="s">
        <v>1965</v>
      </c>
      <c r="B188" s="375" t="s">
        <v>49</v>
      </c>
      <c r="C188" s="375" t="s">
        <v>1976</v>
      </c>
      <c r="D188" s="375" t="s">
        <v>2174</v>
      </c>
      <c r="E188" s="375" t="s">
        <v>1967</v>
      </c>
      <c r="F188" s="375" t="s">
        <v>437</v>
      </c>
    </row>
    <row r="189" spans="1:6">
      <c r="A189" s="375" t="s">
        <v>1965</v>
      </c>
      <c r="B189" s="375" t="s">
        <v>49</v>
      </c>
      <c r="C189" s="375" t="s">
        <v>1976</v>
      </c>
      <c r="D189" s="375" t="s">
        <v>2174</v>
      </c>
      <c r="E189" s="375" t="s">
        <v>1968</v>
      </c>
      <c r="F189" s="375" t="s">
        <v>4370</v>
      </c>
    </row>
    <row r="190" spans="1:6">
      <c r="A190" s="375" t="s">
        <v>1965</v>
      </c>
      <c r="B190" s="375" t="s">
        <v>49</v>
      </c>
      <c r="C190" s="375" t="s">
        <v>1976</v>
      </c>
      <c r="D190" s="375" t="s">
        <v>2174</v>
      </c>
      <c r="E190" s="375" t="s">
        <v>1969</v>
      </c>
      <c r="F190" s="375" t="s">
        <v>3085</v>
      </c>
    </row>
    <row r="191" spans="1:6">
      <c r="A191" s="375" t="s">
        <v>1965</v>
      </c>
      <c r="B191" s="375" t="s">
        <v>49</v>
      </c>
      <c r="C191" s="375" t="s">
        <v>1976</v>
      </c>
      <c r="D191" s="375" t="s">
        <v>2174</v>
      </c>
      <c r="E191" s="375" t="s">
        <v>1970</v>
      </c>
      <c r="F191" s="375" t="s">
        <v>3086</v>
      </c>
    </row>
    <row r="192" spans="1:6">
      <c r="A192" s="375" t="s">
        <v>1965</v>
      </c>
      <c r="B192" s="375" t="s">
        <v>49</v>
      </c>
      <c r="C192" s="375" t="s">
        <v>1976</v>
      </c>
      <c r="D192" s="375" t="s">
        <v>2174</v>
      </c>
      <c r="E192" s="375" t="s">
        <v>1971</v>
      </c>
      <c r="F192" s="375" t="s">
        <v>3087</v>
      </c>
    </row>
    <row r="193" spans="1:6">
      <c r="A193" s="375" t="s">
        <v>1965</v>
      </c>
      <c r="B193" s="375" t="s">
        <v>49</v>
      </c>
      <c r="C193" s="375" t="s">
        <v>1977</v>
      </c>
      <c r="D193" s="375" t="s">
        <v>3088</v>
      </c>
      <c r="E193" s="375" t="s">
        <v>1964</v>
      </c>
      <c r="F193" s="375" t="s">
        <v>3088</v>
      </c>
    </row>
    <row r="194" spans="1:6">
      <c r="A194" s="375" t="s">
        <v>1965</v>
      </c>
      <c r="B194" s="375" t="s">
        <v>49</v>
      </c>
      <c r="C194" s="375" t="s">
        <v>1977</v>
      </c>
      <c r="D194" s="375" t="s">
        <v>3088</v>
      </c>
      <c r="E194" s="375" t="s">
        <v>1965</v>
      </c>
      <c r="F194" s="375" t="s">
        <v>3089</v>
      </c>
    </row>
    <row r="195" spans="1:6">
      <c r="A195" s="375" t="s">
        <v>1965</v>
      </c>
      <c r="B195" s="375" t="s">
        <v>49</v>
      </c>
      <c r="C195" s="375" t="s">
        <v>1977</v>
      </c>
      <c r="D195" s="375" t="s">
        <v>3088</v>
      </c>
      <c r="E195" s="375" t="s">
        <v>1966</v>
      </c>
      <c r="F195" s="375" t="s">
        <v>2729</v>
      </c>
    </row>
    <row r="196" spans="1:6">
      <c r="A196" s="375" t="s">
        <v>1965</v>
      </c>
      <c r="B196" s="375" t="s">
        <v>49</v>
      </c>
      <c r="C196" s="375" t="s">
        <v>1977</v>
      </c>
      <c r="D196" s="375" t="s">
        <v>3088</v>
      </c>
      <c r="E196" s="375" t="s">
        <v>1967</v>
      </c>
      <c r="F196" s="375" t="s">
        <v>4255</v>
      </c>
    </row>
    <row r="197" spans="1:6">
      <c r="A197" s="375" t="s">
        <v>1965</v>
      </c>
      <c r="B197" s="375" t="s">
        <v>49</v>
      </c>
      <c r="C197" s="375" t="s">
        <v>1977</v>
      </c>
      <c r="D197" s="375" t="s">
        <v>3088</v>
      </c>
      <c r="E197" s="375" t="s">
        <v>1968</v>
      </c>
      <c r="F197" s="375" t="s">
        <v>4256</v>
      </c>
    </row>
    <row r="198" spans="1:6">
      <c r="A198" s="375" t="s">
        <v>1965</v>
      </c>
      <c r="B198" s="375" t="s">
        <v>49</v>
      </c>
      <c r="C198" s="375" t="s">
        <v>1977</v>
      </c>
      <c r="D198" s="375" t="s">
        <v>3088</v>
      </c>
      <c r="E198" s="375" t="s">
        <v>1969</v>
      </c>
      <c r="F198" s="375" t="s">
        <v>4257</v>
      </c>
    </row>
    <row r="199" spans="1:6">
      <c r="A199" s="375" t="s">
        <v>1965</v>
      </c>
      <c r="B199" s="375" t="s">
        <v>49</v>
      </c>
      <c r="C199" s="375" t="s">
        <v>1977</v>
      </c>
      <c r="D199" s="375" t="s">
        <v>3088</v>
      </c>
      <c r="E199" s="375" t="s">
        <v>1970</v>
      </c>
      <c r="F199" s="375" t="s">
        <v>4258</v>
      </c>
    </row>
    <row r="200" spans="1:6">
      <c r="A200" s="375" t="s">
        <v>1965</v>
      </c>
      <c r="B200" s="375" t="s">
        <v>49</v>
      </c>
      <c r="C200" s="375" t="s">
        <v>1977</v>
      </c>
      <c r="D200" s="375" t="s">
        <v>3088</v>
      </c>
      <c r="E200" s="375" t="s">
        <v>1971</v>
      </c>
      <c r="F200" s="375" t="s">
        <v>4259</v>
      </c>
    </row>
    <row r="201" spans="1:6">
      <c r="A201" s="375" t="s">
        <v>1965</v>
      </c>
      <c r="B201" s="375" t="s">
        <v>49</v>
      </c>
      <c r="C201" s="375" t="s">
        <v>1977</v>
      </c>
      <c r="D201" s="375" t="s">
        <v>3088</v>
      </c>
      <c r="E201" s="375" t="s">
        <v>1972</v>
      </c>
      <c r="F201" s="375" t="s">
        <v>4260</v>
      </c>
    </row>
    <row r="202" spans="1:6">
      <c r="A202" s="375" t="s">
        <v>1965</v>
      </c>
      <c r="B202" s="375" t="s">
        <v>49</v>
      </c>
      <c r="C202" s="375" t="s">
        <v>1977</v>
      </c>
      <c r="D202" s="375" t="s">
        <v>3088</v>
      </c>
      <c r="E202" s="375" t="s">
        <v>1973</v>
      </c>
      <c r="F202" s="375" t="s">
        <v>4261</v>
      </c>
    </row>
    <row r="203" spans="1:6">
      <c r="A203" s="375" t="s">
        <v>1965</v>
      </c>
      <c r="B203" s="375" t="s">
        <v>49</v>
      </c>
      <c r="C203" s="375" t="s">
        <v>1978</v>
      </c>
      <c r="D203" s="375" t="s">
        <v>4262</v>
      </c>
      <c r="E203" s="375" t="s">
        <v>1964</v>
      </c>
      <c r="F203" s="375" t="s">
        <v>4263</v>
      </c>
    </row>
    <row r="204" spans="1:6">
      <c r="A204" s="375" t="s">
        <v>1965</v>
      </c>
      <c r="B204" s="375" t="s">
        <v>49</v>
      </c>
      <c r="C204" s="375" t="s">
        <v>1978</v>
      </c>
      <c r="D204" s="375" t="s">
        <v>4262</v>
      </c>
      <c r="E204" s="375" t="s">
        <v>1965</v>
      </c>
      <c r="F204" s="375" t="s">
        <v>2526</v>
      </c>
    </row>
    <row r="205" spans="1:6">
      <c r="A205" s="375" t="s">
        <v>1965</v>
      </c>
      <c r="B205" s="375" t="s">
        <v>49</v>
      </c>
      <c r="C205" s="375" t="s">
        <v>1978</v>
      </c>
      <c r="D205" s="375" t="s">
        <v>4262</v>
      </c>
      <c r="E205" s="375" t="s">
        <v>1966</v>
      </c>
      <c r="F205" s="375" t="s">
        <v>4264</v>
      </c>
    </row>
    <row r="206" spans="1:6">
      <c r="A206" s="375" t="s">
        <v>1965</v>
      </c>
      <c r="B206" s="375" t="s">
        <v>49</v>
      </c>
      <c r="C206" s="375" t="s">
        <v>1978</v>
      </c>
      <c r="D206" s="375" t="s">
        <v>4262</v>
      </c>
      <c r="E206" s="375" t="s">
        <v>1967</v>
      </c>
      <c r="F206" s="375" t="s">
        <v>1990</v>
      </c>
    </row>
    <row r="207" spans="1:6">
      <c r="A207" s="375" t="s">
        <v>1965</v>
      </c>
      <c r="B207" s="375" t="s">
        <v>49</v>
      </c>
      <c r="C207" s="375" t="s">
        <v>1978</v>
      </c>
      <c r="D207" s="375" t="s">
        <v>4262</v>
      </c>
      <c r="E207" s="375" t="s">
        <v>1968</v>
      </c>
      <c r="F207" s="375" t="s">
        <v>1991</v>
      </c>
    </row>
    <row r="208" spans="1:6">
      <c r="A208" s="375" t="s">
        <v>1965</v>
      </c>
      <c r="B208" s="375" t="s">
        <v>49</v>
      </c>
      <c r="C208" s="375" t="s">
        <v>1978</v>
      </c>
      <c r="D208" s="375" t="s">
        <v>4262</v>
      </c>
      <c r="E208" s="375" t="s">
        <v>1969</v>
      </c>
      <c r="F208" s="375" t="s">
        <v>1992</v>
      </c>
    </row>
    <row r="209" spans="1:6">
      <c r="A209" s="375" t="s">
        <v>1965</v>
      </c>
      <c r="B209" s="375" t="s">
        <v>49</v>
      </c>
      <c r="C209" s="375" t="s">
        <v>1978</v>
      </c>
      <c r="D209" s="375" t="s">
        <v>4262</v>
      </c>
      <c r="E209" s="375" t="s">
        <v>1970</v>
      </c>
      <c r="F209" s="375" t="s">
        <v>1993</v>
      </c>
    </row>
    <row r="210" spans="1:6">
      <c r="A210" s="375" t="s">
        <v>1965</v>
      </c>
      <c r="B210" s="375" t="s">
        <v>49</v>
      </c>
      <c r="C210" s="375" t="s">
        <v>1978</v>
      </c>
      <c r="D210" s="375" t="s">
        <v>4262</v>
      </c>
      <c r="E210" s="375" t="s">
        <v>1971</v>
      </c>
      <c r="F210" s="375" t="s">
        <v>4262</v>
      </c>
    </row>
    <row r="211" spans="1:6">
      <c r="A211" s="375" t="s">
        <v>1965</v>
      </c>
      <c r="B211" s="375" t="s">
        <v>49</v>
      </c>
      <c r="C211" s="375" t="s">
        <v>1978</v>
      </c>
      <c r="D211" s="375" t="s">
        <v>4262</v>
      </c>
      <c r="E211" s="375" t="s">
        <v>1972</v>
      </c>
      <c r="F211" s="375" t="s">
        <v>2049</v>
      </c>
    </row>
    <row r="212" spans="1:6">
      <c r="A212" s="375" t="s">
        <v>1965</v>
      </c>
      <c r="B212" s="375" t="s">
        <v>49</v>
      </c>
      <c r="C212" s="375" t="s">
        <v>1978</v>
      </c>
      <c r="D212" s="375" t="s">
        <v>4262</v>
      </c>
      <c r="E212" s="375" t="s">
        <v>1973</v>
      </c>
      <c r="F212" s="375" t="s">
        <v>559</v>
      </c>
    </row>
    <row r="213" spans="1:6">
      <c r="A213" s="375" t="s">
        <v>1965</v>
      </c>
      <c r="B213" s="375" t="s">
        <v>49</v>
      </c>
      <c r="C213" s="375" t="s">
        <v>1978</v>
      </c>
      <c r="D213" s="375" t="s">
        <v>4262</v>
      </c>
      <c r="E213" s="375" t="s">
        <v>1974</v>
      </c>
      <c r="F213" s="375" t="s">
        <v>1994</v>
      </c>
    </row>
    <row r="214" spans="1:6">
      <c r="A214" s="375" t="s">
        <v>1965</v>
      </c>
      <c r="B214" s="375" t="s">
        <v>49</v>
      </c>
      <c r="C214" s="375" t="s">
        <v>1979</v>
      </c>
      <c r="D214" s="375" t="s">
        <v>1995</v>
      </c>
      <c r="E214" s="375" t="s">
        <v>1964</v>
      </c>
      <c r="F214" s="375" t="s">
        <v>1995</v>
      </c>
    </row>
    <row r="215" spans="1:6">
      <c r="A215" s="375" t="s">
        <v>1965</v>
      </c>
      <c r="B215" s="375" t="s">
        <v>49</v>
      </c>
      <c r="C215" s="375" t="s">
        <v>1979</v>
      </c>
      <c r="D215" s="375" t="s">
        <v>1995</v>
      </c>
      <c r="E215" s="375" t="s">
        <v>1965</v>
      </c>
      <c r="F215" s="375" t="s">
        <v>1996</v>
      </c>
    </row>
    <row r="216" spans="1:6">
      <c r="A216" s="375" t="s">
        <v>1965</v>
      </c>
      <c r="B216" s="375" t="s">
        <v>49</v>
      </c>
      <c r="C216" s="375" t="s">
        <v>1979</v>
      </c>
      <c r="D216" s="375" t="s">
        <v>1995</v>
      </c>
      <c r="E216" s="375" t="s">
        <v>1966</v>
      </c>
      <c r="F216" s="375" t="s">
        <v>1997</v>
      </c>
    </row>
    <row r="217" spans="1:6">
      <c r="A217" s="375" t="s">
        <v>1965</v>
      </c>
      <c r="B217" s="375" t="s">
        <v>49</v>
      </c>
      <c r="C217" s="375" t="s">
        <v>1979</v>
      </c>
      <c r="D217" s="375" t="s">
        <v>1995</v>
      </c>
      <c r="E217" s="375" t="s">
        <v>1967</v>
      </c>
      <c r="F217" s="375" t="s">
        <v>1998</v>
      </c>
    </row>
    <row r="218" spans="1:6">
      <c r="A218" s="375" t="s">
        <v>1965</v>
      </c>
      <c r="B218" s="375" t="s">
        <v>49</v>
      </c>
      <c r="C218" s="375" t="s">
        <v>1980</v>
      </c>
      <c r="D218" s="375" t="s">
        <v>1999</v>
      </c>
      <c r="E218" s="375" t="s">
        <v>1964</v>
      </c>
      <c r="F218" s="375" t="s">
        <v>1999</v>
      </c>
    </row>
    <row r="219" spans="1:6">
      <c r="A219" s="375" t="s">
        <v>1965</v>
      </c>
      <c r="B219" s="375" t="s">
        <v>49</v>
      </c>
      <c r="C219" s="375" t="s">
        <v>1980</v>
      </c>
      <c r="D219" s="375" t="s">
        <v>1999</v>
      </c>
      <c r="E219" s="375" t="s">
        <v>1965</v>
      </c>
      <c r="F219" s="375" t="s">
        <v>859</v>
      </c>
    </row>
    <row r="220" spans="1:6">
      <c r="A220" s="375" t="s">
        <v>1965</v>
      </c>
      <c r="B220" s="375" t="s">
        <v>49</v>
      </c>
      <c r="C220" s="375" t="s">
        <v>1980</v>
      </c>
      <c r="D220" s="375" t="s">
        <v>1999</v>
      </c>
      <c r="E220" s="375" t="s">
        <v>1966</v>
      </c>
      <c r="F220" s="375" t="s">
        <v>166</v>
      </c>
    </row>
    <row r="221" spans="1:6">
      <c r="A221" s="375" t="s">
        <v>1965</v>
      </c>
      <c r="B221" s="375" t="s">
        <v>49</v>
      </c>
      <c r="C221" s="375" t="s">
        <v>1980</v>
      </c>
      <c r="D221" s="375" t="s">
        <v>1999</v>
      </c>
      <c r="E221" s="375" t="s">
        <v>1967</v>
      </c>
      <c r="F221" s="375" t="s">
        <v>167</v>
      </c>
    </row>
    <row r="222" spans="1:6">
      <c r="A222" s="375" t="s">
        <v>1965</v>
      </c>
      <c r="B222" s="375" t="s">
        <v>49</v>
      </c>
      <c r="C222" s="375" t="s">
        <v>1980</v>
      </c>
      <c r="D222" s="375" t="s">
        <v>1999</v>
      </c>
      <c r="E222" s="375" t="s">
        <v>1968</v>
      </c>
      <c r="F222" s="375" t="s">
        <v>168</v>
      </c>
    </row>
    <row r="223" spans="1:6">
      <c r="A223" s="375" t="s">
        <v>1965</v>
      </c>
      <c r="B223" s="375" t="s">
        <v>49</v>
      </c>
      <c r="C223" s="375" t="s">
        <v>1980</v>
      </c>
      <c r="D223" s="375" t="s">
        <v>1999</v>
      </c>
      <c r="E223" s="375" t="s">
        <v>1969</v>
      </c>
      <c r="F223" s="375" t="s">
        <v>169</v>
      </c>
    </row>
    <row r="224" spans="1:6">
      <c r="A224" s="375" t="s">
        <v>1965</v>
      </c>
      <c r="B224" s="375" t="s">
        <v>49</v>
      </c>
      <c r="C224" s="375" t="s">
        <v>1980</v>
      </c>
      <c r="D224" s="375" t="s">
        <v>1999</v>
      </c>
      <c r="E224" s="375" t="s">
        <v>1970</v>
      </c>
      <c r="F224" s="375" t="s">
        <v>170</v>
      </c>
    </row>
    <row r="225" spans="1:6">
      <c r="A225" s="375" t="s">
        <v>1965</v>
      </c>
      <c r="B225" s="375" t="s">
        <v>49</v>
      </c>
      <c r="C225" s="375" t="s">
        <v>1980</v>
      </c>
      <c r="D225" s="375" t="s">
        <v>1999</v>
      </c>
      <c r="E225" s="375" t="s">
        <v>1971</v>
      </c>
      <c r="F225" s="375" t="s">
        <v>171</v>
      </c>
    </row>
    <row r="226" spans="1:6">
      <c r="A226" s="375" t="s">
        <v>1965</v>
      </c>
      <c r="B226" s="375" t="s">
        <v>49</v>
      </c>
      <c r="C226" s="375" t="s">
        <v>1980</v>
      </c>
      <c r="D226" s="375" t="s">
        <v>1999</v>
      </c>
      <c r="E226" s="375" t="s">
        <v>1972</v>
      </c>
      <c r="F226" s="375" t="s">
        <v>172</v>
      </c>
    </row>
    <row r="227" spans="1:6">
      <c r="A227" s="375" t="s">
        <v>1965</v>
      </c>
      <c r="B227" s="375" t="s">
        <v>49</v>
      </c>
      <c r="C227" s="375" t="s">
        <v>1980</v>
      </c>
      <c r="D227" s="375" t="s">
        <v>1999</v>
      </c>
      <c r="E227" s="375" t="s">
        <v>1973</v>
      </c>
      <c r="F227" s="375" t="s">
        <v>173</v>
      </c>
    </row>
    <row r="228" spans="1:6">
      <c r="A228" s="375" t="s">
        <v>1965</v>
      </c>
      <c r="B228" s="375" t="s">
        <v>49</v>
      </c>
      <c r="C228" s="375" t="s">
        <v>1981</v>
      </c>
      <c r="D228" s="375" t="s">
        <v>174</v>
      </c>
      <c r="E228" s="375" t="s">
        <v>1964</v>
      </c>
      <c r="F228" s="375" t="s">
        <v>175</v>
      </c>
    </row>
    <row r="229" spans="1:6">
      <c r="A229" s="375" t="s">
        <v>1965</v>
      </c>
      <c r="B229" s="375" t="s">
        <v>49</v>
      </c>
      <c r="C229" s="375" t="s">
        <v>1981</v>
      </c>
      <c r="D229" s="375" t="s">
        <v>174</v>
      </c>
      <c r="E229" s="375" t="s">
        <v>1965</v>
      </c>
      <c r="F229" s="375" t="s">
        <v>3355</v>
      </c>
    </row>
    <row r="230" spans="1:6">
      <c r="A230" s="375" t="s">
        <v>1965</v>
      </c>
      <c r="B230" s="375" t="s">
        <v>49</v>
      </c>
      <c r="C230" s="375" t="s">
        <v>1981</v>
      </c>
      <c r="D230" s="375" t="s">
        <v>174</v>
      </c>
      <c r="E230" s="375" t="s">
        <v>1966</v>
      </c>
      <c r="F230" s="375" t="s">
        <v>552</v>
      </c>
    </row>
    <row r="231" spans="1:6">
      <c r="A231" s="375" t="s">
        <v>1965</v>
      </c>
      <c r="B231" s="375" t="s">
        <v>49</v>
      </c>
      <c r="C231" s="375" t="s">
        <v>1981</v>
      </c>
      <c r="D231" s="375" t="s">
        <v>174</v>
      </c>
      <c r="E231" s="375" t="s">
        <v>1967</v>
      </c>
      <c r="F231" s="375" t="s">
        <v>553</v>
      </c>
    </row>
    <row r="232" spans="1:6">
      <c r="A232" s="375" t="s">
        <v>1965</v>
      </c>
      <c r="B232" s="375" t="s">
        <v>49</v>
      </c>
      <c r="C232" s="375" t="s">
        <v>1981</v>
      </c>
      <c r="D232" s="375" t="s">
        <v>174</v>
      </c>
      <c r="E232" s="375" t="s">
        <v>1968</v>
      </c>
      <c r="F232" s="375" t="s">
        <v>554</v>
      </c>
    </row>
    <row r="233" spans="1:6">
      <c r="A233" s="375" t="s">
        <v>1965</v>
      </c>
      <c r="B233" s="375" t="s">
        <v>49</v>
      </c>
      <c r="C233" s="375" t="s">
        <v>1981</v>
      </c>
      <c r="D233" s="375" t="s">
        <v>174</v>
      </c>
      <c r="E233" s="375" t="s">
        <v>1969</v>
      </c>
      <c r="F233" s="375" t="s">
        <v>794</v>
      </c>
    </row>
    <row r="234" spans="1:6">
      <c r="A234" s="375" t="s">
        <v>1965</v>
      </c>
      <c r="B234" s="375" t="s">
        <v>49</v>
      </c>
      <c r="C234" s="375" t="s">
        <v>1981</v>
      </c>
      <c r="D234" s="375" t="s">
        <v>174</v>
      </c>
      <c r="E234" s="375" t="s">
        <v>1970</v>
      </c>
      <c r="F234" s="375" t="s">
        <v>555</v>
      </c>
    </row>
    <row r="235" spans="1:6">
      <c r="A235" s="375" t="s">
        <v>1965</v>
      </c>
      <c r="B235" s="375" t="s">
        <v>49</v>
      </c>
      <c r="C235" s="375" t="s">
        <v>1981</v>
      </c>
      <c r="D235" s="375" t="s">
        <v>174</v>
      </c>
      <c r="E235" s="375" t="s">
        <v>1971</v>
      </c>
      <c r="F235" s="375" t="s">
        <v>174</v>
      </c>
    </row>
    <row r="236" spans="1:6">
      <c r="A236" s="375" t="s">
        <v>1965</v>
      </c>
      <c r="B236" s="375" t="s">
        <v>49</v>
      </c>
      <c r="C236" s="375" t="s">
        <v>1981</v>
      </c>
      <c r="D236" s="375" t="s">
        <v>174</v>
      </c>
      <c r="E236" s="375" t="s">
        <v>1972</v>
      </c>
      <c r="F236" s="375" t="s">
        <v>556</v>
      </c>
    </row>
    <row r="237" spans="1:6">
      <c r="A237" s="375" t="s">
        <v>1965</v>
      </c>
      <c r="B237" s="375" t="s">
        <v>49</v>
      </c>
      <c r="C237" s="375" t="s">
        <v>1982</v>
      </c>
      <c r="D237" s="375" t="s">
        <v>557</v>
      </c>
      <c r="E237" s="375" t="s">
        <v>1964</v>
      </c>
      <c r="F237" s="375" t="s">
        <v>557</v>
      </c>
    </row>
    <row r="238" spans="1:6">
      <c r="A238" s="375" t="s">
        <v>1965</v>
      </c>
      <c r="B238" s="375" t="s">
        <v>49</v>
      </c>
      <c r="C238" s="375" t="s">
        <v>1982</v>
      </c>
      <c r="D238" s="375" t="s">
        <v>557</v>
      </c>
      <c r="E238" s="375" t="s">
        <v>1965</v>
      </c>
      <c r="F238" s="375" t="s">
        <v>558</v>
      </c>
    </row>
    <row r="239" spans="1:6">
      <c r="A239" s="375" t="s">
        <v>1965</v>
      </c>
      <c r="B239" s="375" t="s">
        <v>49</v>
      </c>
      <c r="C239" s="375" t="s">
        <v>1982</v>
      </c>
      <c r="D239" s="375" t="s">
        <v>557</v>
      </c>
      <c r="E239" s="375" t="s">
        <v>1966</v>
      </c>
      <c r="F239" s="375" t="s">
        <v>3909</v>
      </c>
    </row>
    <row r="240" spans="1:6">
      <c r="A240" s="375" t="s">
        <v>1965</v>
      </c>
      <c r="B240" s="375" t="s">
        <v>49</v>
      </c>
      <c r="C240" s="375" t="s">
        <v>1982</v>
      </c>
      <c r="D240" s="375" t="s">
        <v>557</v>
      </c>
      <c r="E240" s="375" t="s">
        <v>1967</v>
      </c>
      <c r="F240" s="375" t="s">
        <v>3910</v>
      </c>
    </row>
    <row r="241" spans="1:6">
      <c r="A241" s="375" t="s">
        <v>1965</v>
      </c>
      <c r="B241" s="375" t="s">
        <v>49</v>
      </c>
      <c r="C241" s="375" t="s">
        <v>1982</v>
      </c>
      <c r="D241" s="375" t="s">
        <v>557</v>
      </c>
      <c r="E241" s="375" t="s">
        <v>1968</v>
      </c>
      <c r="F241" s="375" t="s">
        <v>424</v>
      </c>
    </row>
    <row r="242" spans="1:6">
      <c r="A242" s="375" t="s">
        <v>1965</v>
      </c>
      <c r="B242" s="375" t="s">
        <v>49</v>
      </c>
      <c r="C242" s="375" t="s">
        <v>1982</v>
      </c>
      <c r="D242" s="375" t="s">
        <v>557</v>
      </c>
      <c r="E242" s="375" t="s">
        <v>1969</v>
      </c>
      <c r="F242" s="375" t="s">
        <v>425</v>
      </c>
    </row>
    <row r="243" spans="1:6">
      <c r="A243" s="375" t="s">
        <v>1965</v>
      </c>
      <c r="B243" s="375" t="s">
        <v>49</v>
      </c>
      <c r="C243" s="375" t="s">
        <v>1982</v>
      </c>
      <c r="D243" s="375" t="s">
        <v>557</v>
      </c>
      <c r="E243" s="375" t="s">
        <v>1970</v>
      </c>
      <c r="F243" s="375" t="s">
        <v>426</v>
      </c>
    </row>
    <row r="244" spans="1:6">
      <c r="A244" s="375" t="s">
        <v>1965</v>
      </c>
      <c r="B244" s="375" t="s">
        <v>49</v>
      </c>
      <c r="C244" s="375" t="s">
        <v>1982</v>
      </c>
      <c r="D244" s="375" t="s">
        <v>557</v>
      </c>
      <c r="E244" s="375" t="s">
        <v>1971</v>
      </c>
      <c r="F244" s="375" t="s">
        <v>1484</v>
      </c>
    </row>
    <row r="245" spans="1:6">
      <c r="A245" s="375" t="s">
        <v>1965</v>
      </c>
      <c r="B245" s="375" t="s">
        <v>49</v>
      </c>
      <c r="C245" s="375" t="s">
        <v>1982</v>
      </c>
      <c r="D245" s="375" t="s">
        <v>557</v>
      </c>
      <c r="E245" s="375" t="s">
        <v>1972</v>
      </c>
      <c r="F245" s="375" t="s">
        <v>1485</v>
      </c>
    </row>
    <row r="246" spans="1:6">
      <c r="A246" s="375" t="s">
        <v>1965</v>
      </c>
      <c r="B246" s="375" t="s">
        <v>49</v>
      </c>
      <c r="C246" s="375" t="s">
        <v>1982</v>
      </c>
      <c r="D246" s="375" t="s">
        <v>557</v>
      </c>
      <c r="E246" s="375" t="s">
        <v>1973</v>
      </c>
      <c r="F246" s="375" t="s">
        <v>1486</v>
      </c>
    </row>
    <row r="247" spans="1:6">
      <c r="A247" s="375" t="s">
        <v>1965</v>
      </c>
      <c r="B247" s="375" t="s">
        <v>49</v>
      </c>
      <c r="C247" s="375" t="s">
        <v>4150</v>
      </c>
      <c r="D247" s="375" t="s">
        <v>1487</v>
      </c>
      <c r="E247" s="375" t="s">
        <v>1964</v>
      </c>
      <c r="F247" s="375" t="s">
        <v>1487</v>
      </c>
    </row>
    <row r="248" spans="1:6">
      <c r="A248" s="375" t="s">
        <v>1965</v>
      </c>
      <c r="B248" s="375" t="s">
        <v>49</v>
      </c>
      <c r="C248" s="375" t="s">
        <v>4150</v>
      </c>
      <c r="D248" s="375" t="s">
        <v>1487</v>
      </c>
      <c r="E248" s="375" t="s">
        <v>1965</v>
      </c>
      <c r="F248" s="375" t="s">
        <v>1488</v>
      </c>
    </row>
    <row r="249" spans="1:6">
      <c r="A249" s="375" t="s">
        <v>1965</v>
      </c>
      <c r="B249" s="375" t="s">
        <v>49</v>
      </c>
      <c r="C249" s="375" t="s">
        <v>4150</v>
      </c>
      <c r="D249" s="375" t="s">
        <v>1487</v>
      </c>
      <c r="E249" s="375" t="s">
        <v>1966</v>
      </c>
      <c r="F249" s="375" t="s">
        <v>488</v>
      </c>
    </row>
    <row r="250" spans="1:6">
      <c r="A250" s="375" t="s">
        <v>1965</v>
      </c>
      <c r="B250" s="375" t="s">
        <v>49</v>
      </c>
      <c r="C250" s="375" t="s">
        <v>4150</v>
      </c>
      <c r="D250" s="375" t="s">
        <v>1487</v>
      </c>
      <c r="E250" s="375" t="s">
        <v>1967</v>
      </c>
      <c r="F250" s="375" t="s">
        <v>2723</v>
      </c>
    </row>
    <row r="251" spans="1:6">
      <c r="A251" s="375" t="s">
        <v>1965</v>
      </c>
      <c r="B251" s="375" t="s">
        <v>49</v>
      </c>
      <c r="C251" s="375" t="s">
        <v>4150</v>
      </c>
      <c r="D251" s="375" t="s">
        <v>1487</v>
      </c>
      <c r="E251" s="375" t="s">
        <v>1968</v>
      </c>
      <c r="F251" s="375" t="s">
        <v>2724</v>
      </c>
    </row>
    <row r="252" spans="1:6">
      <c r="A252" s="375" t="s">
        <v>1965</v>
      </c>
      <c r="B252" s="375" t="s">
        <v>49</v>
      </c>
      <c r="C252" s="375" t="s">
        <v>4150</v>
      </c>
      <c r="D252" s="375" t="s">
        <v>1487</v>
      </c>
      <c r="E252" s="375" t="s">
        <v>1969</v>
      </c>
      <c r="F252" s="375" t="s">
        <v>2725</v>
      </c>
    </row>
    <row r="253" spans="1:6">
      <c r="A253" s="375" t="s">
        <v>1965</v>
      </c>
      <c r="B253" s="375" t="s">
        <v>49</v>
      </c>
      <c r="C253" s="375" t="s">
        <v>4150</v>
      </c>
      <c r="D253" s="375" t="s">
        <v>1487</v>
      </c>
      <c r="E253" s="375" t="s">
        <v>1970</v>
      </c>
      <c r="F253" s="375" t="s">
        <v>2726</v>
      </c>
    </row>
    <row r="254" spans="1:6">
      <c r="A254" s="375" t="s">
        <v>1965</v>
      </c>
      <c r="B254" s="375" t="s">
        <v>49</v>
      </c>
      <c r="C254" s="375" t="s">
        <v>4150</v>
      </c>
      <c r="D254" s="375" t="s">
        <v>1487</v>
      </c>
      <c r="E254" s="375" t="s">
        <v>1971</v>
      </c>
      <c r="F254" s="375" t="s">
        <v>2727</v>
      </c>
    </row>
    <row r="255" spans="1:6">
      <c r="A255" s="375" t="s">
        <v>1966</v>
      </c>
      <c r="B255" s="375" t="s">
        <v>3018</v>
      </c>
      <c r="C255" s="375" t="s">
        <v>1964</v>
      </c>
      <c r="D255" s="375" t="s">
        <v>3019</v>
      </c>
      <c r="E255" s="375" t="s">
        <v>1964</v>
      </c>
      <c r="F255" s="375" t="s">
        <v>3019</v>
      </c>
    </row>
    <row r="256" spans="1:6">
      <c r="A256" s="375" t="s">
        <v>1966</v>
      </c>
      <c r="B256" s="375" t="s">
        <v>3018</v>
      </c>
      <c r="C256" s="375" t="s">
        <v>1964</v>
      </c>
      <c r="D256" s="375" t="s">
        <v>3019</v>
      </c>
      <c r="E256" s="375" t="s">
        <v>1965</v>
      </c>
      <c r="F256" s="375" t="s">
        <v>4362</v>
      </c>
    </row>
    <row r="257" spans="1:6">
      <c r="A257" s="375" t="s">
        <v>1966</v>
      </c>
      <c r="B257" s="375" t="s">
        <v>3018</v>
      </c>
      <c r="C257" s="375" t="s">
        <v>1964</v>
      </c>
      <c r="D257" s="375" t="s">
        <v>3019</v>
      </c>
      <c r="E257" s="375" t="s">
        <v>1966</v>
      </c>
      <c r="F257" s="375" t="s">
        <v>4363</v>
      </c>
    </row>
    <row r="258" spans="1:6">
      <c r="A258" s="375" t="s">
        <v>1966</v>
      </c>
      <c r="B258" s="375" t="s">
        <v>3018</v>
      </c>
      <c r="C258" s="375" t="s">
        <v>1964</v>
      </c>
      <c r="D258" s="375" t="s">
        <v>3019</v>
      </c>
      <c r="E258" s="375" t="s">
        <v>1967</v>
      </c>
      <c r="F258" s="375" t="s">
        <v>1084</v>
      </c>
    </row>
    <row r="259" spans="1:6">
      <c r="A259" s="375" t="s">
        <v>1966</v>
      </c>
      <c r="B259" s="375" t="s">
        <v>3018</v>
      </c>
      <c r="C259" s="375" t="s">
        <v>1964</v>
      </c>
      <c r="D259" s="375" t="s">
        <v>3019</v>
      </c>
      <c r="E259" s="375" t="s">
        <v>1968</v>
      </c>
      <c r="F259" s="375" t="s">
        <v>1085</v>
      </c>
    </row>
    <row r="260" spans="1:6">
      <c r="A260" s="375" t="s">
        <v>1966</v>
      </c>
      <c r="B260" s="375" t="s">
        <v>3018</v>
      </c>
      <c r="C260" s="375" t="s">
        <v>1964</v>
      </c>
      <c r="D260" s="375" t="s">
        <v>3019</v>
      </c>
      <c r="E260" s="375" t="s">
        <v>1969</v>
      </c>
      <c r="F260" s="375" t="s">
        <v>1086</v>
      </c>
    </row>
    <row r="261" spans="1:6">
      <c r="A261" s="375" t="s">
        <v>1966</v>
      </c>
      <c r="B261" s="375" t="s">
        <v>3018</v>
      </c>
      <c r="C261" s="375" t="s">
        <v>1964</v>
      </c>
      <c r="D261" s="375" t="s">
        <v>3019</v>
      </c>
      <c r="E261" s="375" t="s">
        <v>1970</v>
      </c>
      <c r="F261" s="375" t="s">
        <v>3034</v>
      </c>
    </row>
    <row r="262" spans="1:6">
      <c r="A262" s="375" t="s">
        <v>1966</v>
      </c>
      <c r="B262" s="375" t="s">
        <v>3018</v>
      </c>
      <c r="C262" s="375" t="s">
        <v>1964</v>
      </c>
      <c r="D262" s="375" t="s">
        <v>3019</v>
      </c>
      <c r="E262" s="375" t="s">
        <v>1971</v>
      </c>
      <c r="F262" s="375" t="s">
        <v>3577</v>
      </c>
    </row>
    <row r="263" spans="1:6">
      <c r="A263" s="375" t="s">
        <v>1966</v>
      </c>
      <c r="B263" s="375" t="s">
        <v>3018</v>
      </c>
      <c r="C263" s="375" t="s">
        <v>1964</v>
      </c>
      <c r="D263" s="375" t="s">
        <v>3019</v>
      </c>
      <c r="E263" s="375" t="s">
        <v>1972</v>
      </c>
      <c r="F263" s="375" t="s">
        <v>3578</v>
      </c>
    </row>
    <row r="264" spans="1:6">
      <c r="A264" s="375" t="s">
        <v>1966</v>
      </c>
      <c r="B264" s="375" t="s">
        <v>3018</v>
      </c>
      <c r="C264" s="375" t="s">
        <v>1965</v>
      </c>
      <c r="D264" s="375" t="s">
        <v>2619</v>
      </c>
      <c r="E264" s="375" t="s">
        <v>1964</v>
      </c>
      <c r="F264" s="375" t="s">
        <v>2619</v>
      </c>
    </row>
    <row r="265" spans="1:6">
      <c r="A265" s="375" t="s">
        <v>1966</v>
      </c>
      <c r="B265" s="375" t="s">
        <v>3018</v>
      </c>
      <c r="C265" s="375" t="s">
        <v>1965</v>
      </c>
      <c r="D265" s="375" t="s">
        <v>2619</v>
      </c>
      <c r="E265" s="375" t="s">
        <v>1965</v>
      </c>
      <c r="F265" s="375" t="s">
        <v>2620</v>
      </c>
    </row>
    <row r="266" spans="1:6">
      <c r="A266" s="375" t="s">
        <v>1966</v>
      </c>
      <c r="B266" s="375" t="s">
        <v>3018</v>
      </c>
      <c r="C266" s="375" t="s">
        <v>1965</v>
      </c>
      <c r="D266" s="375" t="s">
        <v>2619</v>
      </c>
      <c r="E266" s="375" t="s">
        <v>1966</v>
      </c>
      <c r="F266" s="375" t="s">
        <v>2621</v>
      </c>
    </row>
    <row r="267" spans="1:6">
      <c r="A267" s="375" t="s">
        <v>1966</v>
      </c>
      <c r="B267" s="375" t="s">
        <v>3018</v>
      </c>
      <c r="C267" s="375" t="s">
        <v>1965</v>
      </c>
      <c r="D267" s="375" t="s">
        <v>2619</v>
      </c>
      <c r="E267" s="375" t="s">
        <v>1967</v>
      </c>
      <c r="F267" s="375" t="s">
        <v>850</v>
      </c>
    </row>
    <row r="268" spans="1:6">
      <c r="A268" s="375" t="s">
        <v>1966</v>
      </c>
      <c r="B268" s="375" t="s">
        <v>3018</v>
      </c>
      <c r="C268" s="375" t="s">
        <v>1965</v>
      </c>
      <c r="D268" s="375" t="s">
        <v>2619</v>
      </c>
      <c r="E268" s="375" t="s">
        <v>1968</v>
      </c>
      <c r="F268" s="375" t="s">
        <v>851</v>
      </c>
    </row>
    <row r="269" spans="1:6">
      <c r="A269" s="375" t="s">
        <v>1966</v>
      </c>
      <c r="B269" s="375" t="s">
        <v>3018</v>
      </c>
      <c r="C269" s="375" t="s">
        <v>1965</v>
      </c>
      <c r="D269" s="375" t="s">
        <v>2619</v>
      </c>
      <c r="E269" s="375" t="s">
        <v>1969</v>
      </c>
      <c r="F269" s="375" t="s">
        <v>852</v>
      </c>
    </row>
    <row r="270" spans="1:6">
      <c r="A270" s="375" t="s">
        <v>1966</v>
      </c>
      <c r="B270" s="375" t="s">
        <v>3018</v>
      </c>
      <c r="C270" s="375" t="s">
        <v>1965</v>
      </c>
      <c r="D270" s="375" t="s">
        <v>2619</v>
      </c>
      <c r="E270" s="375" t="s">
        <v>1970</v>
      </c>
      <c r="F270" s="375" t="s">
        <v>853</v>
      </c>
    </row>
    <row r="271" spans="1:6">
      <c r="A271" s="375" t="s">
        <v>1966</v>
      </c>
      <c r="B271" s="375" t="s">
        <v>3018</v>
      </c>
      <c r="C271" s="375" t="s">
        <v>1965</v>
      </c>
      <c r="D271" s="375" t="s">
        <v>2619</v>
      </c>
      <c r="E271" s="375" t="s">
        <v>1971</v>
      </c>
      <c r="F271" s="375" t="s">
        <v>1142</v>
      </c>
    </row>
    <row r="272" spans="1:6">
      <c r="A272" s="375" t="s">
        <v>1966</v>
      </c>
      <c r="B272" s="375" t="s">
        <v>3018</v>
      </c>
      <c r="C272" s="375" t="s">
        <v>1965</v>
      </c>
      <c r="D272" s="375" t="s">
        <v>2619</v>
      </c>
      <c r="E272" s="375" t="s">
        <v>1972</v>
      </c>
      <c r="F272" s="375" t="s">
        <v>1035</v>
      </c>
    </row>
    <row r="273" spans="1:6">
      <c r="A273" s="375" t="s">
        <v>1966</v>
      </c>
      <c r="B273" s="375" t="s">
        <v>3018</v>
      </c>
      <c r="C273" s="375" t="s">
        <v>1965</v>
      </c>
      <c r="D273" s="375" t="s">
        <v>2619</v>
      </c>
      <c r="E273" s="375" t="s">
        <v>1973</v>
      </c>
      <c r="F273" s="375" t="s">
        <v>3571</v>
      </c>
    </row>
    <row r="274" spans="1:6">
      <c r="A274" s="375" t="s">
        <v>1966</v>
      </c>
      <c r="B274" s="375" t="s">
        <v>3018</v>
      </c>
      <c r="C274" s="375" t="s">
        <v>1965</v>
      </c>
      <c r="D274" s="375" t="s">
        <v>2619</v>
      </c>
      <c r="E274" s="375" t="s">
        <v>1974</v>
      </c>
      <c r="F274" s="375" t="s">
        <v>3572</v>
      </c>
    </row>
    <row r="275" spans="1:6">
      <c r="A275" s="375" t="s">
        <v>1966</v>
      </c>
      <c r="B275" s="375" t="s">
        <v>3018</v>
      </c>
      <c r="C275" s="375" t="s">
        <v>1965</v>
      </c>
      <c r="D275" s="375" t="s">
        <v>2619</v>
      </c>
      <c r="E275" s="375" t="s">
        <v>1975</v>
      </c>
      <c r="F275" s="375" t="s">
        <v>3573</v>
      </c>
    </row>
    <row r="276" spans="1:6">
      <c r="A276" s="375" t="s">
        <v>1966</v>
      </c>
      <c r="B276" s="375" t="s">
        <v>3018</v>
      </c>
      <c r="C276" s="375" t="s">
        <v>1965</v>
      </c>
      <c r="D276" s="375" t="s">
        <v>2619</v>
      </c>
      <c r="E276" s="375" t="s">
        <v>1976</v>
      </c>
      <c r="F276" s="375" t="s">
        <v>4037</v>
      </c>
    </row>
    <row r="277" spans="1:6">
      <c r="A277" s="375" t="s">
        <v>1966</v>
      </c>
      <c r="B277" s="375" t="s">
        <v>3018</v>
      </c>
      <c r="C277" s="375" t="s">
        <v>1965</v>
      </c>
      <c r="D277" s="375" t="s">
        <v>2619</v>
      </c>
      <c r="E277" s="375" t="s">
        <v>1977</v>
      </c>
      <c r="F277" s="375" t="s">
        <v>461</v>
      </c>
    </row>
    <row r="278" spans="1:6">
      <c r="A278" s="375" t="s">
        <v>1966</v>
      </c>
      <c r="B278" s="375" t="s">
        <v>3018</v>
      </c>
      <c r="C278" s="375" t="s">
        <v>1965</v>
      </c>
      <c r="D278" s="375" t="s">
        <v>2619</v>
      </c>
      <c r="E278" s="375" t="s">
        <v>1978</v>
      </c>
      <c r="F278" s="375" t="s">
        <v>462</v>
      </c>
    </row>
    <row r="279" spans="1:6">
      <c r="A279" s="375" t="s">
        <v>1966</v>
      </c>
      <c r="B279" s="375" t="s">
        <v>3018</v>
      </c>
      <c r="C279" s="375" t="s">
        <v>1965</v>
      </c>
      <c r="D279" s="375" t="s">
        <v>2619</v>
      </c>
      <c r="E279" s="375" t="s">
        <v>1979</v>
      </c>
      <c r="F279" s="375" t="s">
        <v>463</v>
      </c>
    </row>
    <row r="280" spans="1:6">
      <c r="A280" s="375" t="s">
        <v>1966</v>
      </c>
      <c r="B280" s="375" t="s">
        <v>3018</v>
      </c>
      <c r="C280" s="375" t="s">
        <v>1965</v>
      </c>
      <c r="D280" s="375" t="s">
        <v>2619</v>
      </c>
      <c r="E280" s="375" t="s">
        <v>1980</v>
      </c>
      <c r="F280" s="375" t="s">
        <v>464</v>
      </c>
    </row>
    <row r="281" spans="1:6">
      <c r="A281" s="375" t="s">
        <v>1966</v>
      </c>
      <c r="B281" s="375" t="s">
        <v>3018</v>
      </c>
      <c r="C281" s="375" t="s">
        <v>1965</v>
      </c>
      <c r="D281" s="375" t="s">
        <v>2619</v>
      </c>
      <c r="E281" s="375" t="s">
        <v>1981</v>
      </c>
      <c r="F281" s="375" t="s">
        <v>3496</v>
      </c>
    </row>
    <row r="282" spans="1:6">
      <c r="A282" s="375" t="s">
        <v>1966</v>
      </c>
      <c r="B282" s="375" t="s">
        <v>3018</v>
      </c>
      <c r="C282" s="375" t="s">
        <v>1965</v>
      </c>
      <c r="D282" s="375" t="s">
        <v>2619</v>
      </c>
      <c r="E282" s="375" t="s">
        <v>1982</v>
      </c>
      <c r="F282" s="375" t="s">
        <v>3497</v>
      </c>
    </row>
    <row r="283" spans="1:6">
      <c r="A283" s="375" t="s">
        <v>1966</v>
      </c>
      <c r="B283" s="375" t="s">
        <v>3018</v>
      </c>
      <c r="C283" s="375" t="s">
        <v>1966</v>
      </c>
      <c r="D283" s="375" t="s">
        <v>3498</v>
      </c>
      <c r="E283" s="375" t="s">
        <v>1964</v>
      </c>
      <c r="F283" s="375" t="s">
        <v>3498</v>
      </c>
    </row>
    <row r="284" spans="1:6">
      <c r="A284" s="375" t="s">
        <v>1966</v>
      </c>
      <c r="B284" s="375" t="s">
        <v>3018</v>
      </c>
      <c r="C284" s="375" t="s">
        <v>1966</v>
      </c>
      <c r="D284" s="375" t="s">
        <v>3498</v>
      </c>
      <c r="E284" s="375" t="s">
        <v>1965</v>
      </c>
      <c r="F284" s="375" t="s">
        <v>3828</v>
      </c>
    </row>
    <row r="285" spans="1:6">
      <c r="A285" s="375" t="s">
        <v>1966</v>
      </c>
      <c r="B285" s="375" t="s">
        <v>3018</v>
      </c>
      <c r="C285" s="375" t="s">
        <v>1966</v>
      </c>
      <c r="D285" s="375" t="s">
        <v>3498</v>
      </c>
      <c r="E285" s="375" t="s">
        <v>1966</v>
      </c>
      <c r="F285" s="375" t="s">
        <v>2369</v>
      </c>
    </row>
    <row r="286" spans="1:6">
      <c r="A286" s="375" t="s">
        <v>1966</v>
      </c>
      <c r="B286" s="375" t="s">
        <v>3018</v>
      </c>
      <c r="C286" s="375" t="s">
        <v>1966</v>
      </c>
      <c r="D286" s="375" t="s">
        <v>3498</v>
      </c>
      <c r="E286" s="375" t="s">
        <v>1967</v>
      </c>
      <c r="F286" s="375" t="s">
        <v>4286</v>
      </c>
    </row>
    <row r="287" spans="1:6">
      <c r="A287" s="375" t="s">
        <v>1966</v>
      </c>
      <c r="B287" s="375" t="s">
        <v>3018</v>
      </c>
      <c r="C287" s="375" t="s">
        <v>1966</v>
      </c>
      <c r="D287" s="375" t="s">
        <v>3498</v>
      </c>
      <c r="E287" s="375" t="s">
        <v>1968</v>
      </c>
      <c r="F287" s="375" t="s">
        <v>4287</v>
      </c>
    </row>
    <row r="288" spans="1:6">
      <c r="A288" s="375" t="s">
        <v>1966</v>
      </c>
      <c r="B288" s="375" t="s">
        <v>3018</v>
      </c>
      <c r="C288" s="375" t="s">
        <v>1966</v>
      </c>
      <c r="D288" s="375" t="s">
        <v>3498</v>
      </c>
      <c r="E288" s="375" t="s">
        <v>1969</v>
      </c>
      <c r="F288" s="375" t="s">
        <v>4288</v>
      </c>
    </row>
    <row r="289" spans="1:6">
      <c r="A289" s="375" t="s">
        <v>1966</v>
      </c>
      <c r="B289" s="375" t="s">
        <v>3018</v>
      </c>
      <c r="C289" s="375" t="s">
        <v>1966</v>
      </c>
      <c r="D289" s="375" t="s">
        <v>3498</v>
      </c>
      <c r="E289" s="375" t="s">
        <v>1970</v>
      </c>
      <c r="F289" s="375" t="s">
        <v>3239</v>
      </c>
    </row>
    <row r="290" spans="1:6">
      <c r="A290" s="375" t="s">
        <v>1966</v>
      </c>
      <c r="B290" s="375" t="s">
        <v>3018</v>
      </c>
      <c r="C290" s="375" t="s">
        <v>1967</v>
      </c>
      <c r="D290" s="375" t="s">
        <v>3035</v>
      </c>
      <c r="E290" s="375" t="s">
        <v>1964</v>
      </c>
      <c r="F290" s="375" t="s">
        <v>3036</v>
      </c>
    </row>
    <row r="291" spans="1:6">
      <c r="A291" s="375" t="s">
        <v>1966</v>
      </c>
      <c r="B291" s="375" t="s">
        <v>3018</v>
      </c>
      <c r="C291" s="375" t="s">
        <v>1967</v>
      </c>
      <c r="D291" s="375" t="s">
        <v>3035</v>
      </c>
      <c r="E291" s="375" t="s">
        <v>1965</v>
      </c>
      <c r="F291" s="375" t="s">
        <v>3037</v>
      </c>
    </row>
    <row r="292" spans="1:6">
      <c r="A292" s="375" t="s">
        <v>1966</v>
      </c>
      <c r="B292" s="375" t="s">
        <v>3018</v>
      </c>
      <c r="C292" s="375" t="s">
        <v>1967</v>
      </c>
      <c r="D292" s="375" t="s">
        <v>3035</v>
      </c>
      <c r="E292" s="375" t="s">
        <v>1966</v>
      </c>
      <c r="F292" s="375" t="s">
        <v>3038</v>
      </c>
    </row>
    <row r="293" spans="1:6">
      <c r="A293" s="375" t="s">
        <v>1966</v>
      </c>
      <c r="B293" s="375" t="s">
        <v>3018</v>
      </c>
      <c r="C293" s="375" t="s">
        <v>1967</v>
      </c>
      <c r="D293" s="375" t="s">
        <v>3035</v>
      </c>
      <c r="E293" s="375" t="s">
        <v>1967</v>
      </c>
      <c r="F293" s="375" t="s">
        <v>3039</v>
      </c>
    </row>
    <row r="294" spans="1:6">
      <c r="A294" s="375" t="s">
        <v>1966</v>
      </c>
      <c r="B294" s="375" t="s">
        <v>3018</v>
      </c>
      <c r="C294" s="375" t="s">
        <v>1967</v>
      </c>
      <c r="D294" s="375" t="s">
        <v>3035</v>
      </c>
      <c r="E294" s="375" t="s">
        <v>1968</v>
      </c>
      <c r="F294" s="375" t="s">
        <v>52</v>
      </c>
    </row>
    <row r="295" spans="1:6">
      <c r="A295" s="375" t="s">
        <v>1966</v>
      </c>
      <c r="B295" s="375" t="s">
        <v>3018</v>
      </c>
      <c r="C295" s="375" t="s">
        <v>1967</v>
      </c>
      <c r="D295" s="375" t="s">
        <v>3035</v>
      </c>
      <c r="E295" s="375" t="s">
        <v>1969</v>
      </c>
      <c r="F295" s="375" t="s">
        <v>3040</v>
      </c>
    </row>
    <row r="296" spans="1:6">
      <c r="A296" s="375" t="s">
        <v>1966</v>
      </c>
      <c r="B296" s="375" t="s">
        <v>3018</v>
      </c>
      <c r="C296" s="375" t="s">
        <v>1967</v>
      </c>
      <c r="D296" s="375" t="s">
        <v>3035</v>
      </c>
      <c r="E296" s="375" t="s">
        <v>1970</v>
      </c>
      <c r="F296" s="375" t="s">
        <v>3041</v>
      </c>
    </row>
    <row r="297" spans="1:6">
      <c r="A297" s="375" t="s">
        <v>1966</v>
      </c>
      <c r="B297" s="375" t="s">
        <v>3018</v>
      </c>
      <c r="C297" s="375" t="s">
        <v>1967</v>
      </c>
      <c r="D297" s="375" t="s">
        <v>3035</v>
      </c>
      <c r="E297" s="375" t="s">
        <v>1971</v>
      </c>
      <c r="F297" s="375" t="s">
        <v>3042</v>
      </c>
    </row>
    <row r="298" spans="1:6">
      <c r="A298" s="375" t="s">
        <v>1966</v>
      </c>
      <c r="B298" s="375" t="s">
        <v>3018</v>
      </c>
      <c r="C298" s="375" t="s">
        <v>1967</v>
      </c>
      <c r="D298" s="375" t="s">
        <v>3035</v>
      </c>
      <c r="E298" s="375" t="s">
        <v>1972</v>
      </c>
      <c r="F298" s="375" t="s">
        <v>3043</v>
      </c>
    </row>
    <row r="299" spans="1:6">
      <c r="A299" s="375" t="s">
        <v>1966</v>
      </c>
      <c r="B299" s="375" t="s">
        <v>3018</v>
      </c>
      <c r="C299" s="375" t="s">
        <v>1967</v>
      </c>
      <c r="D299" s="375" t="s">
        <v>3035</v>
      </c>
      <c r="E299" s="375" t="s">
        <v>1973</v>
      </c>
      <c r="F299" s="375" t="s">
        <v>3044</v>
      </c>
    </row>
    <row r="300" spans="1:6">
      <c r="A300" s="375" t="s">
        <v>1966</v>
      </c>
      <c r="B300" s="375" t="s">
        <v>3018</v>
      </c>
      <c r="C300" s="375" t="s">
        <v>1967</v>
      </c>
      <c r="D300" s="375" t="s">
        <v>3035</v>
      </c>
      <c r="E300" s="375" t="s">
        <v>1974</v>
      </c>
      <c r="F300" s="375" t="s">
        <v>795</v>
      </c>
    </row>
    <row r="301" spans="1:6">
      <c r="A301" s="375" t="s">
        <v>1966</v>
      </c>
      <c r="B301" s="375" t="s">
        <v>3018</v>
      </c>
      <c r="C301" s="375" t="s">
        <v>1967</v>
      </c>
      <c r="D301" s="375" t="s">
        <v>3035</v>
      </c>
      <c r="E301" s="375" t="s">
        <v>1975</v>
      </c>
      <c r="F301" s="375" t="s">
        <v>796</v>
      </c>
    </row>
    <row r="302" spans="1:6">
      <c r="A302" s="375" t="s">
        <v>1966</v>
      </c>
      <c r="B302" s="375" t="s">
        <v>3018</v>
      </c>
      <c r="C302" s="375" t="s">
        <v>1967</v>
      </c>
      <c r="D302" s="375" t="s">
        <v>3035</v>
      </c>
      <c r="E302" s="375" t="s">
        <v>1976</v>
      </c>
      <c r="F302" s="375" t="s">
        <v>2227</v>
      </c>
    </row>
    <row r="303" spans="1:6">
      <c r="A303" s="375" t="s">
        <v>1966</v>
      </c>
      <c r="B303" s="375" t="s">
        <v>3018</v>
      </c>
      <c r="C303" s="375" t="s">
        <v>1967</v>
      </c>
      <c r="D303" s="375" t="s">
        <v>3035</v>
      </c>
      <c r="E303" s="375" t="s">
        <v>1977</v>
      </c>
      <c r="F303" s="375" t="s">
        <v>2228</v>
      </c>
    </row>
    <row r="304" spans="1:6">
      <c r="A304" s="375" t="s">
        <v>1966</v>
      </c>
      <c r="B304" s="375" t="s">
        <v>3018</v>
      </c>
      <c r="C304" s="375" t="s">
        <v>1967</v>
      </c>
      <c r="D304" s="375" t="s">
        <v>3035</v>
      </c>
      <c r="E304" s="375" t="s">
        <v>1978</v>
      </c>
      <c r="F304" s="375" t="s">
        <v>2229</v>
      </c>
    </row>
    <row r="305" spans="1:6">
      <c r="A305" s="375" t="s">
        <v>1966</v>
      </c>
      <c r="B305" s="375" t="s">
        <v>3018</v>
      </c>
      <c r="C305" s="375" t="s">
        <v>1967</v>
      </c>
      <c r="D305" s="375" t="s">
        <v>3035</v>
      </c>
      <c r="E305" s="375" t="s">
        <v>1979</v>
      </c>
      <c r="F305" s="375" t="s">
        <v>2230</v>
      </c>
    </row>
    <row r="306" spans="1:6">
      <c r="A306" s="375" t="s">
        <v>1966</v>
      </c>
      <c r="B306" s="375" t="s">
        <v>3018</v>
      </c>
      <c r="C306" s="375" t="s">
        <v>1967</v>
      </c>
      <c r="D306" s="375" t="s">
        <v>3035</v>
      </c>
      <c r="E306" s="375" t="s">
        <v>1980</v>
      </c>
      <c r="F306" s="375" t="s">
        <v>2231</v>
      </c>
    </row>
    <row r="307" spans="1:6">
      <c r="A307" s="375" t="s">
        <v>1966</v>
      </c>
      <c r="B307" s="375" t="s">
        <v>3018</v>
      </c>
      <c r="C307" s="375" t="s">
        <v>1968</v>
      </c>
      <c r="D307" s="375" t="s">
        <v>2232</v>
      </c>
      <c r="E307" s="375" t="s">
        <v>1964</v>
      </c>
      <c r="F307" s="375" t="s">
        <v>2233</v>
      </c>
    </row>
    <row r="308" spans="1:6">
      <c r="A308" s="375" t="s">
        <v>1966</v>
      </c>
      <c r="B308" s="375" t="s">
        <v>3018</v>
      </c>
      <c r="C308" s="375" t="s">
        <v>1968</v>
      </c>
      <c r="D308" s="375" t="s">
        <v>2232</v>
      </c>
      <c r="E308" s="375" t="s">
        <v>1965</v>
      </c>
      <c r="F308" s="375" t="s">
        <v>2232</v>
      </c>
    </row>
    <row r="309" spans="1:6">
      <c r="A309" s="375" t="s">
        <v>1966</v>
      </c>
      <c r="B309" s="375" t="s">
        <v>3018</v>
      </c>
      <c r="C309" s="375" t="s">
        <v>1968</v>
      </c>
      <c r="D309" s="375" t="s">
        <v>2232</v>
      </c>
      <c r="E309" s="375" t="s">
        <v>1966</v>
      </c>
      <c r="F309" s="375" t="s">
        <v>2234</v>
      </c>
    </row>
    <row r="310" spans="1:6">
      <c r="A310" s="375" t="s">
        <v>1966</v>
      </c>
      <c r="B310" s="375" t="s">
        <v>3018</v>
      </c>
      <c r="C310" s="375" t="s">
        <v>1968</v>
      </c>
      <c r="D310" s="375" t="s">
        <v>2232</v>
      </c>
      <c r="E310" s="375" t="s">
        <v>1967</v>
      </c>
      <c r="F310" s="375" t="s">
        <v>2235</v>
      </c>
    </row>
    <row r="311" spans="1:6">
      <c r="A311" s="375" t="s">
        <v>1966</v>
      </c>
      <c r="B311" s="375" t="s">
        <v>3018</v>
      </c>
      <c r="C311" s="375" t="s">
        <v>1968</v>
      </c>
      <c r="D311" s="375" t="s">
        <v>2232</v>
      </c>
      <c r="E311" s="375" t="s">
        <v>1968</v>
      </c>
      <c r="F311" s="375" t="s">
        <v>2236</v>
      </c>
    </row>
    <row r="312" spans="1:6">
      <c r="A312" s="375" t="s">
        <v>1966</v>
      </c>
      <c r="B312" s="375" t="s">
        <v>3018</v>
      </c>
      <c r="C312" s="375" t="s">
        <v>1968</v>
      </c>
      <c r="D312" s="375" t="s">
        <v>2232</v>
      </c>
      <c r="E312" s="375" t="s">
        <v>1969</v>
      </c>
      <c r="F312" s="375" t="s">
        <v>2237</v>
      </c>
    </row>
    <row r="313" spans="1:6">
      <c r="A313" s="375" t="s">
        <v>1966</v>
      </c>
      <c r="B313" s="375" t="s">
        <v>3018</v>
      </c>
      <c r="C313" s="375" t="s">
        <v>1969</v>
      </c>
      <c r="D313" s="375" t="s">
        <v>2238</v>
      </c>
      <c r="E313" s="375" t="s">
        <v>1964</v>
      </c>
      <c r="F313" s="375" t="s">
        <v>2238</v>
      </c>
    </row>
    <row r="314" spans="1:6">
      <c r="A314" s="375" t="s">
        <v>1966</v>
      </c>
      <c r="B314" s="375" t="s">
        <v>3018</v>
      </c>
      <c r="C314" s="375" t="s">
        <v>1969</v>
      </c>
      <c r="D314" s="375" t="s">
        <v>2238</v>
      </c>
      <c r="E314" s="375" t="s">
        <v>1965</v>
      </c>
      <c r="F314" s="375" t="s">
        <v>1724</v>
      </c>
    </row>
    <row r="315" spans="1:6">
      <c r="A315" s="375" t="s">
        <v>1966</v>
      </c>
      <c r="B315" s="375" t="s">
        <v>3018</v>
      </c>
      <c r="C315" s="375" t="s">
        <v>1969</v>
      </c>
      <c r="D315" s="375" t="s">
        <v>2238</v>
      </c>
      <c r="E315" s="375" t="s">
        <v>1966</v>
      </c>
      <c r="F315" s="375" t="s">
        <v>2000</v>
      </c>
    </row>
    <row r="316" spans="1:6">
      <c r="A316" s="375" t="s">
        <v>1966</v>
      </c>
      <c r="B316" s="375" t="s">
        <v>3018</v>
      </c>
      <c r="C316" s="375" t="s">
        <v>1969</v>
      </c>
      <c r="D316" s="375" t="s">
        <v>2238</v>
      </c>
      <c r="E316" s="375" t="s">
        <v>1967</v>
      </c>
      <c r="F316" s="375" t="s">
        <v>2001</v>
      </c>
    </row>
    <row r="317" spans="1:6">
      <c r="A317" s="375" t="s">
        <v>1966</v>
      </c>
      <c r="B317" s="375" t="s">
        <v>3018</v>
      </c>
      <c r="C317" s="375" t="s">
        <v>1969</v>
      </c>
      <c r="D317" s="375" t="s">
        <v>2238</v>
      </c>
      <c r="E317" s="375" t="s">
        <v>1968</v>
      </c>
      <c r="F317" s="375" t="s">
        <v>2002</v>
      </c>
    </row>
    <row r="318" spans="1:6">
      <c r="A318" s="375" t="s">
        <v>1966</v>
      </c>
      <c r="B318" s="375" t="s">
        <v>3018</v>
      </c>
      <c r="C318" s="375" t="s">
        <v>1969</v>
      </c>
      <c r="D318" s="375" t="s">
        <v>2238</v>
      </c>
      <c r="E318" s="375" t="s">
        <v>1969</v>
      </c>
      <c r="F318" s="375" t="s">
        <v>2003</v>
      </c>
    </row>
    <row r="319" spans="1:6">
      <c r="A319" s="375" t="s">
        <v>1966</v>
      </c>
      <c r="B319" s="375" t="s">
        <v>3018</v>
      </c>
      <c r="C319" s="375" t="s">
        <v>1969</v>
      </c>
      <c r="D319" s="375" t="s">
        <v>2238</v>
      </c>
      <c r="E319" s="375" t="s">
        <v>1970</v>
      </c>
      <c r="F319" s="375" t="s">
        <v>2004</v>
      </c>
    </row>
    <row r="320" spans="1:6">
      <c r="A320" s="375" t="s">
        <v>1966</v>
      </c>
      <c r="B320" s="375" t="s">
        <v>3018</v>
      </c>
      <c r="C320" s="375" t="s">
        <v>1969</v>
      </c>
      <c r="D320" s="375" t="s">
        <v>2238</v>
      </c>
      <c r="E320" s="375" t="s">
        <v>1971</v>
      </c>
      <c r="F320" s="375" t="s">
        <v>2018</v>
      </c>
    </row>
    <row r="321" spans="1:6">
      <c r="A321" s="375" t="s">
        <v>1966</v>
      </c>
      <c r="B321" s="375" t="s">
        <v>3018</v>
      </c>
      <c r="C321" s="375" t="s">
        <v>1970</v>
      </c>
      <c r="D321" s="375" t="s">
        <v>2019</v>
      </c>
      <c r="E321" s="375" t="s">
        <v>1964</v>
      </c>
      <c r="F321" s="375" t="s">
        <v>2020</v>
      </c>
    </row>
    <row r="322" spans="1:6">
      <c r="A322" s="375" t="s">
        <v>1966</v>
      </c>
      <c r="B322" s="375" t="s">
        <v>3018</v>
      </c>
      <c r="C322" s="375" t="s">
        <v>1970</v>
      </c>
      <c r="D322" s="375" t="s">
        <v>2019</v>
      </c>
      <c r="E322" s="375" t="s">
        <v>1965</v>
      </c>
      <c r="F322" s="375" t="s">
        <v>2021</v>
      </c>
    </row>
    <row r="323" spans="1:6">
      <c r="A323" s="375" t="s">
        <v>1966</v>
      </c>
      <c r="B323" s="375" t="s">
        <v>3018</v>
      </c>
      <c r="C323" s="375" t="s">
        <v>1970</v>
      </c>
      <c r="D323" s="375" t="s">
        <v>2019</v>
      </c>
      <c r="E323" s="375" t="s">
        <v>1966</v>
      </c>
      <c r="F323" s="375" t="s">
        <v>2022</v>
      </c>
    </row>
    <row r="324" spans="1:6">
      <c r="A324" s="375" t="s">
        <v>1966</v>
      </c>
      <c r="B324" s="375" t="s">
        <v>3018</v>
      </c>
      <c r="C324" s="375" t="s">
        <v>1970</v>
      </c>
      <c r="D324" s="375" t="s">
        <v>2019</v>
      </c>
      <c r="E324" s="375" t="s">
        <v>1967</v>
      </c>
      <c r="F324" s="375" t="s">
        <v>826</v>
      </c>
    </row>
    <row r="325" spans="1:6">
      <c r="A325" s="375" t="s">
        <v>1966</v>
      </c>
      <c r="B325" s="375" t="s">
        <v>3018</v>
      </c>
      <c r="C325" s="375" t="s">
        <v>1970</v>
      </c>
      <c r="D325" s="375" t="s">
        <v>2019</v>
      </c>
      <c r="E325" s="375" t="s">
        <v>1968</v>
      </c>
      <c r="F325" s="375" t="s">
        <v>827</v>
      </c>
    </row>
    <row r="326" spans="1:6">
      <c r="A326" s="375" t="s">
        <v>1966</v>
      </c>
      <c r="B326" s="375" t="s">
        <v>3018</v>
      </c>
      <c r="C326" s="375" t="s">
        <v>1970</v>
      </c>
      <c r="D326" s="375" t="s">
        <v>2019</v>
      </c>
      <c r="E326" s="375" t="s">
        <v>1969</v>
      </c>
      <c r="F326" s="375" t="s">
        <v>828</v>
      </c>
    </row>
    <row r="327" spans="1:6">
      <c r="A327" s="375" t="s">
        <v>1966</v>
      </c>
      <c r="B327" s="375" t="s">
        <v>3018</v>
      </c>
      <c r="C327" s="375" t="s">
        <v>1970</v>
      </c>
      <c r="D327" s="375" t="s">
        <v>2019</v>
      </c>
      <c r="E327" s="375" t="s">
        <v>1970</v>
      </c>
      <c r="F327" s="375" t="s">
        <v>829</v>
      </c>
    </row>
    <row r="328" spans="1:6">
      <c r="A328" s="375" t="s">
        <v>1966</v>
      </c>
      <c r="B328" s="375" t="s">
        <v>3018</v>
      </c>
      <c r="C328" s="375" t="s">
        <v>1970</v>
      </c>
      <c r="D328" s="375" t="s">
        <v>2019</v>
      </c>
      <c r="E328" s="375" t="s">
        <v>1971</v>
      </c>
      <c r="F328" s="375" t="s">
        <v>830</v>
      </c>
    </row>
    <row r="329" spans="1:6">
      <c r="A329" s="375" t="s">
        <v>1966</v>
      </c>
      <c r="B329" s="375" t="s">
        <v>3018</v>
      </c>
      <c r="C329" s="375" t="s">
        <v>1970</v>
      </c>
      <c r="D329" s="375" t="s">
        <v>2019</v>
      </c>
      <c r="E329" s="375" t="s">
        <v>1972</v>
      </c>
      <c r="F329" s="375" t="s">
        <v>1449</v>
      </c>
    </row>
    <row r="330" spans="1:6">
      <c r="A330" s="375" t="s">
        <v>1966</v>
      </c>
      <c r="B330" s="375" t="s">
        <v>3018</v>
      </c>
      <c r="C330" s="375" t="s">
        <v>1970</v>
      </c>
      <c r="D330" s="375" t="s">
        <v>2019</v>
      </c>
      <c r="E330" s="375" t="s">
        <v>1973</v>
      </c>
      <c r="F330" s="375" t="s">
        <v>559</v>
      </c>
    </row>
    <row r="331" spans="1:6">
      <c r="A331" s="375" t="s">
        <v>1966</v>
      </c>
      <c r="B331" s="375" t="s">
        <v>3018</v>
      </c>
      <c r="C331" s="375" t="s">
        <v>1970</v>
      </c>
      <c r="D331" s="375" t="s">
        <v>2019</v>
      </c>
      <c r="E331" s="375" t="s">
        <v>1974</v>
      </c>
      <c r="F331" s="375" t="s">
        <v>3579</v>
      </c>
    </row>
    <row r="332" spans="1:6">
      <c r="A332" s="375" t="s">
        <v>1966</v>
      </c>
      <c r="B332" s="375" t="s">
        <v>3018</v>
      </c>
      <c r="C332" s="375" t="s">
        <v>1970</v>
      </c>
      <c r="D332" s="375" t="s">
        <v>2019</v>
      </c>
      <c r="E332" s="375" t="s">
        <v>1975</v>
      </c>
      <c r="F332" s="375" t="s">
        <v>3580</v>
      </c>
    </row>
    <row r="333" spans="1:6">
      <c r="A333" s="375" t="s">
        <v>1966</v>
      </c>
      <c r="B333" s="375" t="s">
        <v>3018</v>
      </c>
      <c r="C333" s="375" t="s">
        <v>1970</v>
      </c>
      <c r="D333" s="375" t="s">
        <v>2019</v>
      </c>
      <c r="E333" s="375" t="s">
        <v>1976</v>
      </c>
      <c r="F333" s="375" t="s">
        <v>4414</v>
      </c>
    </row>
    <row r="334" spans="1:6">
      <c r="A334" s="375" t="s">
        <v>1966</v>
      </c>
      <c r="B334" s="375" t="s">
        <v>3018</v>
      </c>
      <c r="C334" s="375" t="s">
        <v>1970</v>
      </c>
      <c r="D334" s="375" t="s">
        <v>2019</v>
      </c>
      <c r="E334" s="375" t="s">
        <v>1977</v>
      </c>
      <c r="F334" s="375" t="s">
        <v>4415</v>
      </c>
    </row>
    <row r="335" spans="1:6">
      <c r="A335" s="375" t="s">
        <v>1967</v>
      </c>
      <c r="B335" s="375" t="s">
        <v>755</v>
      </c>
      <c r="C335" s="375" t="s">
        <v>1964</v>
      </c>
      <c r="D335" s="375" t="s">
        <v>755</v>
      </c>
      <c r="E335" s="375" t="s">
        <v>1964</v>
      </c>
      <c r="F335" s="375" t="s">
        <v>755</v>
      </c>
    </row>
    <row r="336" spans="1:6">
      <c r="A336" s="375" t="s">
        <v>1967</v>
      </c>
      <c r="B336" s="375" t="s">
        <v>755</v>
      </c>
      <c r="C336" s="375" t="s">
        <v>1964</v>
      </c>
      <c r="D336" s="375" t="s">
        <v>755</v>
      </c>
      <c r="E336" s="375" t="s">
        <v>1965</v>
      </c>
      <c r="F336" s="375" t="s">
        <v>756</v>
      </c>
    </row>
    <row r="337" spans="1:6">
      <c r="A337" s="375" t="s">
        <v>1967</v>
      </c>
      <c r="B337" s="375" t="s">
        <v>755</v>
      </c>
      <c r="C337" s="375" t="s">
        <v>1964</v>
      </c>
      <c r="D337" s="375" t="s">
        <v>755</v>
      </c>
      <c r="E337" s="375" t="s">
        <v>1966</v>
      </c>
      <c r="F337" s="375" t="s">
        <v>757</v>
      </c>
    </row>
    <row r="338" spans="1:6">
      <c r="A338" s="375" t="s">
        <v>1967</v>
      </c>
      <c r="B338" s="375" t="s">
        <v>755</v>
      </c>
      <c r="C338" s="375" t="s">
        <v>1964</v>
      </c>
      <c r="D338" s="375" t="s">
        <v>755</v>
      </c>
      <c r="E338" s="375" t="s">
        <v>1967</v>
      </c>
      <c r="F338" s="375" t="s">
        <v>2504</v>
      </c>
    </row>
    <row r="339" spans="1:6">
      <c r="A339" s="375" t="s">
        <v>1967</v>
      </c>
      <c r="B339" s="375" t="s">
        <v>755</v>
      </c>
      <c r="C339" s="375" t="s">
        <v>1964</v>
      </c>
      <c r="D339" s="375" t="s">
        <v>755</v>
      </c>
      <c r="E339" s="375" t="s">
        <v>1968</v>
      </c>
      <c r="F339" s="375" t="s">
        <v>1446</v>
      </c>
    </row>
    <row r="340" spans="1:6">
      <c r="A340" s="375" t="s">
        <v>1967</v>
      </c>
      <c r="B340" s="375" t="s">
        <v>755</v>
      </c>
      <c r="C340" s="375" t="s">
        <v>1964</v>
      </c>
      <c r="D340" s="375" t="s">
        <v>755</v>
      </c>
      <c r="E340" s="375" t="s">
        <v>1969</v>
      </c>
      <c r="F340" s="375" t="s">
        <v>1447</v>
      </c>
    </row>
    <row r="341" spans="1:6">
      <c r="A341" s="375" t="s">
        <v>1967</v>
      </c>
      <c r="B341" s="375" t="s">
        <v>755</v>
      </c>
      <c r="C341" s="375" t="s">
        <v>1964</v>
      </c>
      <c r="D341" s="375" t="s">
        <v>755</v>
      </c>
      <c r="E341" s="375" t="s">
        <v>1970</v>
      </c>
      <c r="F341" s="375" t="s">
        <v>1222</v>
      </c>
    </row>
    <row r="342" spans="1:6">
      <c r="A342" s="375" t="s">
        <v>1967</v>
      </c>
      <c r="B342" s="375" t="s">
        <v>755</v>
      </c>
      <c r="C342" s="375" t="s">
        <v>1964</v>
      </c>
      <c r="D342" s="375" t="s">
        <v>755</v>
      </c>
      <c r="E342" s="375" t="s">
        <v>1971</v>
      </c>
      <c r="F342" s="375" t="s">
        <v>1223</v>
      </c>
    </row>
    <row r="343" spans="1:6">
      <c r="A343" s="375" t="s">
        <v>1967</v>
      </c>
      <c r="B343" s="375" t="s">
        <v>755</v>
      </c>
      <c r="C343" s="375" t="s">
        <v>1964</v>
      </c>
      <c r="D343" s="375" t="s">
        <v>755</v>
      </c>
      <c r="E343" s="375" t="s">
        <v>1972</v>
      </c>
      <c r="F343" s="375" t="s">
        <v>1224</v>
      </c>
    </row>
    <row r="344" spans="1:6">
      <c r="A344" s="375" t="s">
        <v>1967</v>
      </c>
      <c r="B344" s="375" t="s">
        <v>755</v>
      </c>
      <c r="C344" s="375" t="s">
        <v>1964</v>
      </c>
      <c r="D344" s="375" t="s">
        <v>755</v>
      </c>
      <c r="E344" s="375" t="s">
        <v>1973</v>
      </c>
      <c r="F344" s="375" t="s">
        <v>2850</v>
      </c>
    </row>
    <row r="345" spans="1:6">
      <c r="A345" s="375" t="s">
        <v>1967</v>
      </c>
      <c r="B345" s="375" t="s">
        <v>755</v>
      </c>
      <c r="C345" s="375" t="s">
        <v>1964</v>
      </c>
      <c r="D345" s="375" t="s">
        <v>755</v>
      </c>
      <c r="E345" s="375" t="s">
        <v>1974</v>
      </c>
      <c r="F345" s="375" t="s">
        <v>1087</v>
      </c>
    </row>
    <row r="346" spans="1:6">
      <c r="A346" s="375" t="s">
        <v>1967</v>
      </c>
      <c r="B346" s="375" t="s">
        <v>755</v>
      </c>
      <c r="C346" s="375" t="s">
        <v>1964</v>
      </c>
      <c r="D346" s="375" t="s">
        <v>755</v>
      </c>
      <c r="E346" s="375" t="s">
        <v>1975</v>
      </c>
      <c r="F346" s="375" t="s">
        <v>1088</v>
      </c>
    </row>
    <row r="347" spans="1:6">
      <c r="A347" s="375" t="s">
        <v>1967</v>
      </c>
      <c r="B347" s="375" t="s">
        <v>755</v>
      </c>
      <c r="C347" s="375" t="s">
        <v>1964</v>
      </c>
      <c r="D347" s="375" t="s">
        <v>755</v>
      </c>
      <c r="E347" s="375" t="s">
        <v>1976</v>
      </c>
      <c r="F347" s="375" t="s">
        <v>1089</v>
      </c>
    </row>
    <row r="348" spans="1:6">
      <c r="A348" s="375" t="s">
        <v>1967</v>
      </c>
      <c r="B348" s="375" t="s">
        <v>755</v>
      </c>
      <c r="C348" s="375" t="s">
        <v>1964</v>
      </c>
      <c r="D348" s="375" t="s">
        <v>755</v>
      </c>
      <c r="E348" s="375" t="s">
        <v>1977</v>
      </c>
      <c r="F348" s="375" t="s">
        <v>1090</v>
      </c>
    </row>
    <row r="349" spans="1:6">
      <c r="A349" s="375" t="s">
        <v>1967</v>
      </c>
      <c r="B349" s="375" t="s">
        <v>755</v>
      </c>
      <c r="C349" s="375" t="s">
        <v>1964</v>
      </c>
      <c r="D349" s="375" t="s">
        <v>755</v>
      </c>
      <c r="E349" s="375" t="s">
        <v>1978</v>
      </c>
      <c r="F349" s="375" t="s">
        <v>3167</v>
      </c>
    </row>
    <row r="350" spans="1:6">
      <c r="A350" s="375" t="s">
        <v>1967</v>
      </c>
      <c r="B350" s="375" t="s">
        <v>755</v>
      </c>
      <c r="C350" s="375" t="s">
        <v>1964</v>
      </c>
      <c r="D350" s="375" t="s">
        <v>755</v>
      </c>
      <c r="E350" s="375" t="s">
        <v>1979</v>
      </c>
      <c r="F350" s="375" t="s">
        <v>1091</v>
      </c>
    </row>
    <row r="351" spans="1:6">
      <c r="A351" s="375" t="s">
        <v>1967</v>
      </c>
      <c r="B351" s="375" t="s">
        <v>755</v>
      </c>
      <c r="C351" s="375" t="s">
        <v>1964</v>
      </c>
      <c r="D351" s="375" t="s">
        <v>755</v>
      </c>
      <c r="E351" s="375" t="s">
        <v>1980</v>
      </c>
      <c r="F351" s="375" t="s">
        <v>44</v>
      </c>
    </row>
    <row r="352" spans="1:6">
      <c r="A352" s="375" t="s">
        <v>1967</v>
      </c>
      <c r="B352" s="375" t="s">
        <v>755</v>
      </c>
      <c r="C352" s="375" t="s">
        <v>1964</v>
      </c>
      <c r="D352" s="375" t="s">
        <v>755</v>
      </c>
      <c r="E352" s="375" t="s">
        <v>1981</v>
      </c>
      <c r="F352" s="375" t="s">
        <v>3597</v>
      </c>
    </row>
    <row r="353" spans="1:6">
      <c r="A353" s="375" t="s">
        <v>1967</v>
      </c>
      <c r="B353" s="375" t="s">
        <v>755</v>
      </c>
      <c r="C353" s="375" t="s">
        <v>1964</v>
      </c>
      <c r="D353" s="375" t="s">
        <v>755</v>
      </c>
      <c r="E353" s="375" t="s">
        <v>1982</v>
      </c>
      <c r="F353" s="375" t="s">
        <v>2497</v>
      </c>
    </row>
    <row r="354" spans="1:6">
      <c r="A354" s="375" t="s">
        <v>1967</v>
      </c>
      <c r="B354" s="375" t="s">
        <v>755</v>
      </c>
      <c r="C354" s="375" t="s">
        <v>1964</v>
      </c>
      <c r="D354" s="375" t="s">
        <v>755</v>
      </c>
      <c r="E354" s="375" t="s">
        <v>4150</v>
      </c>
      <c r="F354" s="375" t="s">
        <v>3984</v>
      </c>
    </row>
    <row r="355" spans="1:6">
      <c r="A355" s="375" t="s">
        <v>1967</v>
      </c>
      <c r="B355" s="375" t="s">
        <v>755</v>
      </c>
      <c r="C355" s="375" t="s">
        <v>1964</v>
      </c>
      <c r="D355" s="375" t="s">
        <v>755</v>
      </c>
      <c r="E355" s="375" t="s">
        <v>4151</v>
      </c>
      <c r="F355" s="375" t="s">
        <v>2073</v>
      </c>
    </row>
    <row r="356" spans="1:6">
      <c r="A356" s="375" t="s">
        <v>1967</v>
      </c>
      <c r="B356" s="375" t="s">
        <v>755</v>
      </c>
      <c r="C356" s="375" t="s">
        <v>1964</v>
      </c>
      <c r="D356" s="375" t="s">
        <v>755</v>
      </c>
      <c r="E356" s="375" t="s">
        <v>4152</v>
      </c>
      <c r="F356" s="375" t="s">
        <v>2686</v>
      </c>
    </row>
    <row r="357" spans="1:6">
      <c r="A357" s="375" t="s">
        <v>1967</v>
      </c>
      <c r="B357" s="375" t="s">
        <v>755</v>
      </c>
      <c r="C357" s="375" t="s">
        <v>1964</v>
      </c>
      <c r="D357" s="375" t="s">
        <v>755</v>
      </c>
      <c r="E357" s="375" t="s">
        <v>4153</v>
      </c>
      <c r="F357" s="375" t="s">
        <v>2687</v>
      </c>
    </row>
    <row r="358" spans="1:6">
      <c r="A358" s="375" t="s">
        <v>1967</v>
      </c>
      <c r="B358" s="375" t="s">
        <v>755</v>
      </c>
      <c r="C358" s="375" t="s">
        <v>1964</v>
      </c>
      <c r="D358" s="375" t="s">
        <v>755</v>
      </c>
      <c r="E358" s="375" t="s">
        <v>4154</v>
      </c>
      <c r="F358" s="375" t="s">
        <v>2688</v>
      </c>
    </row>
    <row r="359" spans="1:6">
      <c r="A359" s="375" t="s">
        <v>1967</v>
      </c>
      <c r="B359" s="375" t="s">
        <v>755</v>
      </c>
      <c r="C359" s="375" t="s">
        <v>1964</v>
      </c>
      <c r="D359" s="375" t="s">
        <v>755</v>
      </c>
      <c r="E359" s="375" t="s">
        <v>4155</v>
      </c>
      <c r="F359" s="375" t="s">
        <v>3598</v>
      </c>
    </row>
    <row r="360" spans="1:6">
      <c r="A360" s="375" t="s">
        <v>1967</v>
      </c>
      <c r="B360" s="375" t="s">
        <v>755</v>
      </c>
      <c r="C360" s="375" t="s">
        <v>1964</v>
      </c>
      <c r="D360" s="375" t="s">
        <v>755</v>
      </c>
      <c r="E360" s="375" t="s">
        <v>4156</v>
      </c>
      <c r="F360" s="375" t="s">
        <v>465</v>
      </c>
    </row>
    <row r="361" spans="1:6">
      <c r="A361" s="375" t="s">
        <v>1967</v>
      </c>
      <c r="B361" s="375" t="s">
        <v>755</v>
      </c>
      <c r="C361" s="375" t="s">
        <v>1964</v>
      </c>
      <c r="D361" s="375" t="s">
        <v>755</v>
      </c>
      <c r="E361" s="375" t="s">
        <v>4157</v>
      </c>
      <c r="F361" s="375" t="s">
        <v>466</v>
      </c>
    </row>
    <row r="362" spans="1:6">
      <c r="A362" s="375" t="s">
        <v>1967</v>
      </c>
      <c r="B362" s="375" t="s">
        <v>755</v>
      </c>
      <c r="C362" s="375" t="s">
        <v>1964</v>
      </c>
      <c r="D362" s="375" t="s">
        <v>755</v>
      </c>
      <c r="E362" s="375" t="s">
        <v>4158</v>
      </c>
      <c r="F362" s="375" t="s">
        <v>467</v>
      </c>
    </row>
    <row r="363" spans="1:6">
      <c r="A363" s="375" t="s">
        <v>1967</v>
      </c>
      <c r="B363" s="375" t="s">
        <v>755</v>
      </c>
      <c r="C363" s="375" t="s">
        <v>1964</v>
      </c>
      <c r="D363" s="375" t="s">
        <v>755</v>
      </c>
      <c r="E363" s="375" t="s">
        <v>4159</v>
      </c>
      <c r="F363" s="375" t="s">
        <v>3271</v>
      </c>
    </row>
    <row r="364" spans="1:6">
      <c r="A364" s="375" t="s">
        <v>1967</v>
      </c>
      <c r="B364" s="375" t="s">
        <v>755</v>
      </c>
      <c r="C364" s="375" t="s">
        <v>1965</v>
      </c>
      <c r="D364" s="375" t="s">
        <v>2383</v>
      </c>
      <c r="E364" s="375" t="s">
        <v>1964</v>
      </c>
      <c r="F364" s="375" t="s">
        <v>2383</v>
      </c>
    </row>
    <row r="365" spans="1:6">
      <c r="A365" s="375" t="s">
        <v>1967</v>
      </c>
      <c r="B365" s="375" t="s">
        <v>755</v>
      </c>
      <c r="C365" s="375" t="s">
        <v>1965</v>
      </c>
      <c r="D365" s="375" t="s">
        <v>2383</v>
      </c>
      <c r="E365" s="375" t="s">
        <v>1965</v>
      </c>
      <c r="F365" s="375" t="s">
        <v>2384</v>
      </c>
    </row>
    <row r="366" spans="1:6">
      <c r="A366" s="375" t="s">
        <v>1967</v>
      </c>
      <c r="B366" s="375" t="s">
        <v>755</v>
      </c>
      <c r="C366" s="375" t="s">
        <v>1965</v>
      </c>
      <c r="D366" s="375" t="s">
        <v>2383</v>
      </c>
      <c r="E366" s="375" t="s">
        <v>1966</v>
      </c>
      <c r="F366" s="375" t="s">
        <v>2385</v>
      </c>
    </row>
    <row r="367" spans="1:6">
      <c r="A367" s="375" t="s">
        <v>1967</v>
      </c>
      <c r="B367" s="375" t="s">
        <v>755</v>
      </c>
      <c r="C367" s="375" t="s">
        <v>1965</v>
      </c>
      <c r="D367" s="375" t="s">
        <v>2383</v>
      </c>
      <c r="E367" s="375" t="s">
        <v>1967</v>
      </c>
      <c r="F367" s="375" t="s">
        <v>2386</v>
      </c>
    </row>
    <row r="368" spans="1:6">
      <c r="A368" s="375" t="s">
        <v>1967</v>
      </c>
      <c r="B368" s="375" t="s">
        <v>755</v>
      </c>
      <c r="C368" s="375" t="s">
        <v>1965</v>
      </c>
      <c r="D368" s="375" t="s">
        <v>2383</v>
      </c>
      <c r="E368" s="375" t="s">
        <v>1968</v>
      </c>
      <c r="F368" s="375" t="s">
        <v>2387</v>
      </c>
    </row>
    <row r="369" spans="1:6">
      <c r="A369" s="375" t="s">
        <v>1967</v>
      </c>
      <c r="B369" s="375" t="s">
        <v>755</v>
      </c>
      <c r="C369" s="375" t="s">
        <v>1965</v>
      </c>
      <c r="D369" s="375" t="s">
        <v>2383</v>
      </c>
      <c r="E369" s="375" t="s">
        <v>1969</v>
      </c>
      <c r="F369" s="375" t="s">
        <v>3168</v>
      </c>
    </row>
    <row r="370" spans="1:6">
      <c r="A370" s="375" t="s">
        <v>1967</v>
      </c>
      <c r="B370" s="375" t="s">
        <v>755</v>
      </c>
      <c r="C370" s="375" t="s">
        <v>1965</v>
      </c>
      <c r="D370" s="375" t="s">
        <v>2383</v>
      </c>
      <c r="E370" s="375" t="s">
        <v>1970</v>
      </c>
      <c r="F370" s="375" t="s">
        <v>2388</v>
      </c>
    </row>
    <row r="371" spans="1:6">
      <c r="A371" s="375" t="s">
        <v>1967</v>
      </c>
      <c r="B371" s="375" t="s">
        <v>755</v>
      </c>
      <c r="C371" s="375" t="s">
        <v>1965</v>
      </c>
      <c r="D371" s="375" t="s">
        <v>2383</v>
      </c>
      <c r="E371" s="375" t="s">
        <v>1971</v>
      </c>
      <c r="F371" s="375" t="s">
        <v>4094</v>
      </c>
    </row>
    <row r="372" spans="1:6">
      <c r="A372" s="375" t="s">
        <v>1967</v>
      </c>
      <c r="B372" s="375" t="s">
        <v>755</v>
      </c>
      <c r="C372" s="375" t="s">
        <v>1966</v>
      </c>
      <c r="D372" s="375" t="s">
        <v>4095</v>
      </c>
      <c r="E372" s="375" t="s">
        <v>1964</v>
      </c>
      <c r="F372" s="375" t="s">
        <v>4095</v>
      </c>
    </row>
    <row r="373" spans="1:6">
      <c r="A373" s="375" t="s">
        <v>1967</v>
      </c>
      <c r="B373" s="375" t="s">
        <v>755</v>
      </c>
      <c r="C373" s="375" t="s">
        <v>1966</v>
      </c>
      <c r="D373" s="375" t="s">
        <v>4095</v>
      </c>
      <c r="E373" s="375" t="s">
        <v>1965</v>
      </c>
      <c r="F373" s="375" t="s">
        <v>4096</v>
      </c>
    </row>
    <row r="374" spans="1:6">
      <c r="A374" s="375" t="s">
        <v>1967</v>
      </c>
      <c r="B374" s="375" t="s">
        <v>755</v>
      </c>
      <c r="C374" s="375" t="s">
        <v>1966</v>
      </c>
      <c r="D374" s="375" t="s">
        <v>4095</v>
      </c>
      <c r="E374" s="375" t="s">
        <v>1966</v>
      </c>
      <c r="F374" s="375" t="s">
        <v>4097</v>
      </c>
    </row>
    <row r="375" spans="1:6">
      <c r="A375" s="375" t="s">
        <v>1967</v>
      </c>
      <c r="B375" s="375" t="s">
        <v>755</v>
      </c>
      <c r="C375" s="375" t="s">
        <v>1966</v>
      </c>
      <c r="D375" s="375" t="s">
        <v>4095</v>
      </c>
      <c r="E375" s="375" t="s">
        <v>1967</v>
      </c>
      <c r="F375" s="375" t="s">
        <v>4098</v>
      </c>
    </row>
    <row r="376" spans="1:6">
      <c r="A376" s="375" t="s">
        <v>1967</v>
      </c>
      <c r="B376" s="375" t="s">
        <v>755</v>
      </c>
      <c r="C376" s="375" t="s">
        <v>1966</v>
      </c>
      <c r="D376" s="375" t="s">
        <v>4095</v>
      </c>
      <c r="E376" s="375" t="s">
        <v>1968</v>
      </c>
      <c r="F376" s="375" t="s">
        <v>4099</v>
      </c>
    </row>
    <row r="377" spans="1:6">
      <c r="A377" s="375" t="s">
        <v>1967</v>
      </c>
      <c r="B377" s="375" t="s">
        <v>755</v>
      </c>
      <c r="C377" s="375" t="s">
        <v>1966</v>
      </c>
      <c r="D377" s="375" t="s">
        <v>4095</v>
      </c>
      <c r="E377" s="375" t="s">
        <v>1969</v>
      </c>
      <c r="F377" s="375" t="s">
        <v>2669</v>
      </c>
    </row>
    <row r="378" spans="1:6">
      <c r="A378" s="375" t="s">
        <v>1967</v>
      </c>
      <c r="B378" s="375" t="s">
        <v>755</v>
      </c>
      <c r="C378" s="375" t="s">
        <v>1966</v>
      </c>
      <c r="D378" s="375" t="s">
        <v>4095</v>
      </c>
      <c r="E378" s="375" t="s">
        <v>1970</v>
      </c>
      <c r="F378" s="375" t="s">
        <v>2670</v>
      </c>
    </row>
    <row r="379" spans="1:6">
      <c r="A379" s="375" t="s">
        <v>1967</v>
      </c>
      <c r="B379" s="375" t="s">
        <v>755</v>
      </c>
      <c r="C379" s="375" t="s">
        <v>1966</v>
      </c>
      <c r="D379" s="375" t="s">
        <v>4095</v>
      </c>
      <c r="E379" s="375" t="s">
        <v>1971</v>
      </c>
      <c r="F379" s="375" t="s">
        <v>1425</v>
      </c>
    </row>
    <row r="380" spans="1:6">
      <c r="A380" s="375" t="s">
        <v>1967</v>
      </c>
      <c r="B380" s="375" t="s">
        <v>755</v>
      </c>
      <c r="C380" s="375" t="s">
        <v>1966</v>
      </c>
      <c r="D380" s="375" t="s">
        <v>4095</v>
      </c>
      <c r="E380" s="375" t="s">
        <v>1972</v>
      </c>
      <c r="F380" s="375" t="s">
        <v>1426</v>
      </c>
    </row>
    <row r="381" spans="1:6">
      <c r="A381" s="375" t="s">
        <v>1967</v>
      </c>
      <c r="B381" s="375" t="s">
        <v>755</v>
      </c>
      <c r="C381" s="375" t="s">
        <v>1966</v>
      </c>
      <c r="D381" s="375" t="s">
        <v>4095</v>
      </c>
      <c r="E381" s="375" t="s">
        <v>1973</v>
      </c>
      <c r="F381" s="375" t="s">
        <v>1427</v>
      </c>
    </row>
    <row r="382" spans="1:6">
      <c r="A382" s="375" t="s">
        <v>1967</v>
      </c>
      <c r="B382" s="375" t="s">
        <v>755</v>
      </c>
      <c r="C382" s="375" t="s">
        <v>1966</v>
      </c>
      <c r="D382" s="375" t="s">
        <v>4095</v>
      </c>
      <c r="E382" s="375" t="s">
        <v>1974</v>
      </c>
      <c r="F382" s="375" t="s">
        <v>1428</v>
      </c>
    </row>
    <row r="383" spans="1:6">
      <c r="A383" s="375" t="s">
        <v>1967</v>
      </c>
      <c r="B383" s="375" t="s">
        <v>755</v>
      </c>
      <c r="C383" s="375" t="s">
        <v>1966</v>
      </c>
      <c r="D383" s="375" t="s">
        <v>4095</v>
      </c>
      <c r="E383" s="375" t="s">
        <v>1975</v>
      </c>
      <c r="F383" s="375" t="s">
        <v>1429</v>
      </c>
    </row>
    <row r="384" spans="1:6">
      <c r="A384" s="375" t="s">
        <v>1967</v>
      </c>
      <c r="B384" s="375" t="s">
        <v>755</v>
      </c>
      <c r="C384" s="375" t="s">
        <v>1966</v>
      </c>
      <c r="D384" s="375" t="s">
        <v>4095</v>
      </c>
      <c r="E384" s="375" t="s">
        <v>1976</v>
      </c>
      <c r="F384" s="375" t="s">
        <v>1430</v>
      </c>
    </row>
    <row r="385" spans="1:6">
      <c r="A385" s="375" t="s">
        <v>1967</v>
      </c>
      <c r="B385" s="375" t="s">
        <v>755</v>
      </c>
      <c r="C385" s="375" t="s">
        <v>1967</v>
      </c>
      <c r="D385" s="375" t="s">
        <v>1431</v>
      </c>
      <c r="E385" s="375" t="s">
        <v>1964</v>
      </c>
      <c r="F385" s="375" t="s">
        <v>1432</v>
      </c>
    </row>
    <row r="386" spans="1:6">
      <c r="A386" s="375" t="s">
        <v>1967</v>
      </c>
      <c r="B386" s="375" t="s">
        <v>755</v>
      </c>
      <c r="C386" s="375" t="s">
        <v>1967</v>
      </c>
      <c r="D386" s="375" t="s">
        <v>1431</v>
      </c>
      <c r="E386" s="375" t="s">
        <v>1965</v>
      </c>
      <c r="F386" s="375" t="s">
        <v>1433</v>
      </c>
    </row>
    <row r="387" spans="1:6">
      <c r="A387" s="375" t="s">
        <v>1967</v>
      </c>
      <c r="B387" s="375" t="s">
        <v>755</v>
      </c>
      <c r="C387" s="375" t="s">
        <v>1967</v>
      </c>
      <c r="D387" s="375" t="s">
        <v>1431</v>
      </c>
      <c r="E387" s="375" t="s">
        <v>1966</v>
      </c>
      <c r="F387" s="375" t="s">
        <v>1434</v>
      </c>
    </row>
    <row r="388" spans="1:6">
      <c r="A388" s="375" t="s">
        <v>1967</v>
      </c>
      <c r="B388" s="375" t="s">
        <v>755</v>
      </c>
      <c r="C388" s="375" t="s">
        <v>1967</v>
      </c>
      <c r="D388" s="375" t="s">
        <v>1431</v>
      </c>
      <c r="E388" s="375" t="s">
        <v>1967</v>
      </c>
      <c r="F388" s="375" t="s">
        <v>1435</v>
      </c>
    </row>
    <row r="389" spans="1:6">
      <c r="A389" s="375" t="s">
        <v>1967</v>
      </c>
      <c r="B389" s="375" t="s">
        <v>755</v>
      </c>
      <c r="C389" s="375" t="s">
        <v>1967</v>
      </c>
      <c r="D389" s="375" t="s">
        <v>1431</v>
      </c>
      <c r="E389" s="375" t="s">
        <v>1968</v>
      </c>
      <c r="F389" s="375" t="s">
        <v>1436</v>
      </c>
    </row>
    <row r="390" spans="1:6">
      <c r="A390" s="375" t="s">
        <v>1967</v>
      </c>
      <c r="B390" s="375" t="s">
        <v>755</v>
      </c>
      <c r="C390" s="375" t="s">
        <v>1967</v>
      </c>
      <c r="D390" s="375" t="s">
        <v>1431</v>
      </c>
      <c r="E390" s="375" t="s">
        <v>1969</v>
      </c>
      <c r="F390" s="375" t="s">
        <v>774</v>
      </c>
    </row>
    <row r="391" spans="1:6">
      <c r="A391" s="375" t="s">
        <v>1967</v>
      </c>
      <c r="B391" s="375" t="s">
        <v>755</v>
      </c>
      <c r="C391" s="375" t="s">
        <v>1967</v>
      </c>
      <c r="D391" s="375" t="s">
        <v>1431</v>
      </c>
      <c r="E391" s="375" t="s">
        <v>1970</v>
      </c>
      <c r="F391" s="375" t="s">
        <v>775</v>
      </c>
    </row>
    <row r="392" spans="1:6">
      <c r="A392" s="375" t="s">
        <v>1967</v>
      </c>
      <c r="B392" s="375" t="s">
        <v>755</v>
      </c>
      <c r="C392" s="375" t="s">
        <v>1967</v>
      </c>
      <c r="D392" s="375" t="s">
        <v>1431</v>
      </c>
      <c r="E392" s="375" t="s">
        <v>1971</v>
      </c>
      <c r="F392" s="375" t="s">
        <v>776</v>
      </c>
    </row>
    <row r="393" spans="1:6">
      <c r="A393" s="375" t="s">
        <v>1967</v>
      </c>
      <c r="B393" s="375" t="s">
        <v>755</v>
      </c>
      <c r="C393" s="375" t="s">
        <v>1967</v>
      </c>
      <c r="D393" s="375" t="s">
        <v>1431</v>
      </c>
      <c r="E393" s="375" t="s">
        <v>1972</v>
      </c>
      <c r="F393" s="375" t="s">
        <v>777</v>
      </c>
    </row>
    <row r="394" spans="1:6">
      <c r="A394" s="375" t="s">
        <v>1967</v>
      </c>
      <c r="B394" s="375" t="s">
        <v>755</v>
      </c>
      <c r="C394" s="375" t="s">
        <v>1967</v>
      </c>
      <c r="D394" s="375" t="s">
        <v>1431</v>
      </c>
      <c r="E394" s="375" t="s">
        <v>1973</v>
      </c>
      <c r="F394" s="375" t="s">
        <v>778</v>
      </c>
    </row>
    <row r="395" spans="1:6">
      <c r="A395" s="375" t="s">
        <v>1967</v>
      </c>
      <c r="B395" s="375" t="s">
        <v>755</v>
      </c>
      <c r="C395" s="375" t="s">
        <v>1967</v>
      </c>
      <c r="D395" s="375" t="s">
        <v>1431</v>
      </c>
      <c r="E395" s="375" t="s">
        <v>1974</v>
      </c>
      <c r="F395" s="375" t="s">
        <v>779</v>
      </c>
    </row>
    <row r="396" spans="1:6">
      <c r="A396" s="375" t="s">
        <v>1967</v>
      </c>
      <c r="B396" s="375" t="s">
        <v>755</v>
      </c>
      <c r="C396" s="375" t="s">
        <v>1967</v>
      </c>
      <c r="D396" s="375" t="s">
        <v>1431</v>
      </c>
      <c r="E396" s="375" t="s">
        <v>1975</v>
      </c>
      <c r="F396" s="375" t="s">
        <v>3169</v>
      </c>
    </row>
    <row r="397" spans="1:6">
      <c r="A397" s="375" t="s">
        <v>1967</v>
      </c>
      <c r="B397" s="375" t="s">
        <v>755</v>
      </c>
      <c r="C397" s="375" t="s">
        <v>1967</v>
      </c>
      <c r="D397" s="375" t="s">
        <v>1431</v>
      </c>
      <c r="E397" s="375" t="s">
        <v>1976</v>
      </c>
      <c r="F397" s="375" t="s">
        <v>1215</v>
      </c>
    </row>
    <row r="398" spans="1:6">
      <c r="A398" s="375" t="s">
        <v>1967</v>
      </c>
      <c r="B398" s="375" t="s">
        <v>755</v>
      </c>
      <c r="C398" s="375" t="s">
        <v>1967</v>
      </c>
      <c r="D398" s="375" t="s">
        <v>1431</v>
      </c>
      <c r="E398" s="375" t="s">
        <v>1977</v>
      </c>
      <c r="F398" s="375" t="s">
        <v>1216</v>
      </c>
    </row>
    <row r="399" spans="1:6">
      <c r="A399" s="375" t="s">
        <v>1967</v>
      </c>
      <c r="B399" s="375" t="s">
        <v>755</v>
      </c>
      <c r="C399" s="375" t="s">
        <v>1968</v>
      </c>
      <c r="D399" s="375" t="s">
        <v>1217</v>
      </c>
      <c r="E399" s="375" t="s">
        <v>1964</v>
      </c>
      <c r="F399" s="375" t="s">
        <v>1218</v>
      </c>
    </row>
    <row r="400" spans="1:6">
      <c r="A400" s="375" t="s">
        <v>1967</v>
      </c>
      <c r="B400" s="375" t="s">
        <v>755</v>
      </c>
      <c r="C400" s="375" t="s">
        <v>1968</v>
      </c>
      <c r="D400" s="375" t="s">
        <v>1217</v>
      </c>
      <c r="E400" s="375" t="s">
        <v>1965</v>
      </c>
      <c r="F400" s="375" t="s">
        <v>1219</v>
      </c>
    </row>
    <row r="401" spans="1:6">
      <c r="A401" s="375" t="s">
        <v>1967</v>
      </c>
      <c r="B401" s="375" t="s">
        <v>755</v>
      </c>
      <c r="C401" s="375" t="s">
        <v>1968</v>
      </c>
      <c r="D401" s="375" t="s">
        <v>1217</v>
      </c>
      <c r="E401" s="375" t="s">
        <v>1966</v>
      </c>
      <c r="F401" s="375" t="s">
        <v>1220</v>
      </c>
    </row>
    <row r="402" spans="1:6">
      <c r="A402" s="375" t="s">
        <v>1967</v>
      </c>
      <c r="B402" s="375" t="s">
        <v>755</v>
      </c>
      <c r="C402" s="375" t="s">
        <v>1968</v>
      </c>
      <c r="D402" s="375" t="s">
        <v>1217</v>
      </c>
      <c r="E402" s="375" t="s">
        <v>1967</v>
      </c>
      <c r="F402" s="375" t="s">
        <v>4222</v>
      </c>
    </row>
    <row r="403" spans="1:6">
      <c r="A403" s="375" t="s">
        <v>1967</v>
      </c>
      <c r="B403" s="375" t="s">
        <v>755</v>
      </c>
      <c r="C403" s="375" t="s">
        <v>1968</v>
      </c>
      <c r="D403" s="375" t="s">
        <v>1217</v>
      </c>
      <c r="E403" s="375" t="s">
        <v>1968</v>
      </c>
      <c r="F403" s="375" t="s">
        <v>1217</v>
      </c>
    </row>
    <row r="404" spans="1:6">
      <c r="A404" s="375" t="s">
        <v>1967</v>
      </c>
      <c r="B404" s="375" t="s">
        <v>755</v>
      </c>
      <c r="C404" s="375" t="s">
        <v>1968</v>
      </c>
      <c r="D404" s="375" t="s">
        <v>1217</v>
      </c>
      <c r="E404" s="375" t="s">
        <v>1969</v>
      </c>
      <c r="F404" s="375" t="s">
        <v>4223</v>
      </c>
    </row>
    <row r="405" spans="1:6">
      <c r="A405" s="375" t="s">
        <v>1967</v>
      </c>
      <c r="B405" s="375" t="s">
        <v>755</v>
      </c>
      <c r="C405" s="375" t="s">
        <v>1968</v>
      </c>
      <c r="D405" s="375" t="s">
        <v>1217</v>
      </c>
      <c r="E405" s="375" t="s">
        <v>1970</v>
      </c>
      <c r="F405" s="375" t="s">
        <v>781</v>
      </c>
    </row>
    <row r="406" spans="1:6">
      <c r="A406" s="375" t="s">
        <v>1967</v>
      </c>
      <c r="B406" s="375" t="s">
        <v>755</v>
      </c>
      <c r="C406" s="375" t="s">
        <v>1968</v>
      </c>
      <c r="D406" s="375" t="s">
        <v>1217</v>
      </c>
      <c r="E406" s="375" t="s">
        <v>1971</v>
      </c>
      <c r="F406" s="375" t="s">
        <v>4224</v>
      </c>
    </row>
    <row r="407" spans="1:6">
      <c r="A407" s="375" t="s">
        <v>1967</v>
      </c>
      <c r="B407" s="375" t="s">
        <v>755</v>
      </c>
      <c r="C407" s="375" t="s">
        <v>1968</v>
      </c>
      <c r="D407" s="375" t="s">
        <v>1217</v>
      </c>
      <c r="E407" s="375" t="s">
        <v>1972</v>
      </c>
      <c r="F407" s="375" t="s">
        <v>514</v>
      </c>
    </row>
    <row r="408" spans="1:6">
      <c r="A408" s="375" t="s">
        <v>1967</v>
      </c>
      <c r="B408" s="375" t="s">
        <v>755</v>
      </c>
      <c r="C408" s="375" t="s">
        <v>1968</v>
      </c>
      <c r="D408" s="375" t="s">
        <v>1217</v>
      </c>
      <c r="E408" s="375" t="s">
        <v>1973</v>
      </c>
      <c r="F408" s="375" t="s">
        <v>515</v>
      </c>
    </row>
    <row r="409" spans="1:6">
      <c r="A409" s="375" t="s">
        <v>1967</v>
      </c>
      <c r="B409" s="375" t="s">
        <v>755</v>
      </c>
      <c r="C409" s="375" t="s">
        <v>1968</v>
      </c>
      <c r="D409" s="375" t="s">
        <v>1217</v>
      </c>
      <c r="E409" s="375" t="s">
        <v>1974</v>
      </c>
      <c r="F409" s="375" t="s">
        <v>516</v>
      </c>
    </row>
    <row r="410" spans="1:6">
      <c r="A410" s="375" t="s">
        <v>1967</v>
      </c>
      <c r="B410" s="375" t="s">
        <v>755</v>
      </c>
      <c r="C410" s="375" t="s">
        <v>1968</v>
      </c>
      <c r="D410" s="375" t="s">
        <v>1217</v>
      </c>
      <c r="E410" s="375" t="s">
        <v>1975</v>
      </c>
      <c r="F410" s="375" t="s">
        <v>517</v>
      </c>
    </row>
    <row r="411" spans="1:6">
      <c r="A411" s="375" t="s">
        <v>1967</v>
      </c>
      <c r="B411" s="375" t="s">
        <v>755</v>
      </c>
      <c r="C411" s="375" t="s">
        <v>1968</v>
      </c>
      <c r="D411" s="375" t="s">
        <v>1217</v>
      </c>
      <c r="E411" s="375" t="s">
        <v>1976</v>
      </c>
      <c r="F411" s="375" t="s">
        <v>518</v>
      </c>
    </row>
    <row r="412" spans="1:6">
      <c r="A412" s="375" t="s">
        <v>1967</v>
      </c>
      <c r="B412" s="375" t="s">
        <v>755</v>
      </c>
      <c r="C412" s="375" t="s">
        <v>1968</v>
      </c>
      <c r="D412" s="375" t="s">
        <v>1217</v>
      </c>
      <c r="E412" s="375" t="s">
        <v>1977</v>
      </c>
      <c r="F412" s="375" t="s">
        <v>227</v>
      </c>
    </row>
    <row r="413" spans="1:6">
      <c r="A413" s="375" t="s">
        <v>1967</v>
      </c>
      <c r="B413" s="375" t="s">
        <v>755</v>
      </c>
      <c r="C413" s="375" t="s">
        <v>1968</v>
      </c>
      <c r="D413" s="375" t="s">
        <v>1217</v>
      </c>
      <c r="E413" s="375" t="s">
        <v>1978</v>
      </c>
      <c r="F413" s="375" t="s">
        <v>519</v>
      </c>
    </row>
    <row r="414" spans="1:6">
      <c r="A414" s="375" t="s">
        <v>1967</v>
      </c>
      <c r="B414" s="375" t="s">
        <v>755</v>
      </c>
      <c r="C414" s="375" t="s">
        <v>1968</v>
      </c>
      <c r="D414" s="375" t="s">
        <v>1217</v>
      </c>
      <c r="E414" s="375" t="s">
        <v>1979</v>
      </c>
      <c r="F414" s="375" t="s">
        <v>520</v>
      </c>
    </row>
    <row r="415" spans="1:6">
      <c r="A415" s="375" t="s">
        <v>1967</v>
      </c>
      <c r="B415" s="375" t="s">
        <v>755</v>
      </c>
      <c r="C415" s="375" t="s">
        <v>1968</v>
      </c>
      <c r="D415" s="375" t="s">
        <v>1217</v>
      </c>
      <c r="E415" s="375" t="s">
        <v>1980</v>
      </c>
      <c r="F415" s="375" t="s">
        <v>521</v>
      </c>
    </row>
    <row r="416" spans="1:6">
      <c r="A416" s="375" t="s">
        <v>1967</v>
      </c>
      <c r="B416" s="375" t="s">
        <v>755</v>
      </c>
      <c r="C416" s="375" t="s">
        <v>1968</v>
      </c>
      <c r="D416" s="375" t="s">
        <v>1217</v>
      </c>
      <c r="E416" s="375" t="s">
        <v>1981</v>
      </c>
      <c r="F416" s="375" t="s">
        <v>522</v>
      </c>
    </row>
    <row r="417" spans="1:6">
      <c r="A417" s="375" t="s">
        <v>1967</v>
      </c>
      <c r="B417" s="375" t="s">
        <v>755</v>
      </c>
      <c r="C417" s="375" t="s">
        <v>1968</v>
      </c>
      <c r="D417" s="375" t="s">
        <v>1217</v>
      </c>
      <c r="E417" s="375" t="s">
        <v>1982</v>
      </c>
      <c r="F417" s="375" t="s">
        <v>2322</v>
      </c>
    </row>
    <row r="418" spans="1:6">
      <c r="A418" s="375" t="s">
        <v>1967</v>
      </c>
      <c r="B418" s="375" t="s">
        <v>755</v>
      </c>
      <c r="C418" s="375" t="s">
        <v>1968</v>
      </c>
      <c r="D418" s="375" t="s">
        <v>1217</v>
      </c>
      <c r="E418" s="375" t="s">
        <v>4150</v>
      </c>
      <c r="F418" s="375" t="s">
        <v>228</v>
      </c>
    </row>
    <row r="419" spans="1:6">
      <c r="A419" s="375" t="s">
        <v>1967</v>
      </c>
      <c r="B419" s="375" t="s">
        <v>755</v>
      </c>
      <c r="C419" s="375" t="s">
        <v>1969</v>
      </c>
      <c r="D419" s="375" t="s">
        <v>2323</v>
      </c>
      <c r="E419" s="375" t="s">
        <v>1964</v>
      </c>
      <c r="F419" s="375" t="s">
        <v>580</v>
      </c>
    </row>
    <row r="420" spans="1:6">
      <c r="A420" s="375" t="s">
        <v>1967</v>
      </c>
      <c r="B420" s="375" t="s">
        <v>755</v>
      </c>
      <c r="C420" s="375" t="s">
        <v>1969</v>
      </c>
      <c r="D420" s="375" t="s">
        <v>2323</v>
      </c>
      <c r="E420" s="375" t="s">
        <v>1965</v>
      </c>
      <c r="F420" s="375" t="s">
        <v>2242</v>
      </c>
    </row>
    <row r="421" spans="1:6">
      <c r="A421" s="375" t="s">
        <v>1967</v>
      </c>
      <c r="B421" s="375" t="s">
        <v>755</v>
      </c>
      <c r="C421" s="375" t="s">
        <v>1969</v>
      </c>
      <c r="D421" s="375" t="s">
        <v>2323</v>
      </c>
      <c r="E421" s="375" t="s">
        <v>1966</v>
      </c>
      <c r="F421" s="375" t="s">
        <v>2243</v>
      </c>
    </row>
    <row r="422" spans="1:6">
      <c r="A422" s="375" t="s">
        <v>1967</v>
      </c>
      <c r="B422" s="375" t="s">
        <v>755</v>
      </c>
      <c r="C422" s="375" t="s">
        <v>1969</v>
      </c>
      <c r="D422" s="375" t="s">
        <v>2323</v>
      </c>
      <c r="E422" s="375" t="s">
        <v>1967</v>
      </c>
      <c r="F422" s="375" t="s">
        <v>2244</v>
      </c>
    </row>
    <row r="423" spans="1:6">
      <c r="A423" s="375" t="s">
        <v>1967</v>
      </c>
      <c r="B423" s="375" t="s">
        <v>755</v>
      </c>
      <c r="C423" s="375" t="s">
        <v>1969</v>
      </c>
      <c r="D423" s="375" t="s">
        <v>2323</v>
      </c>
      <c r="E423" s="375" t="s">
        <v>1968</v>
      </c>
      <c r="F423" s="375" t="s">
        <v>2245</v>
      </c>
    </row>
    <row r="424" spans="1:6">
      <c r="A424" s="375" t="s">
        <v>1967</v>
      </c>
      <c r="B424" s="375" t="s">
        <v>755</v>
      </c>
      <c r="C424" s="375" t="s">
        <v>1969</v>
      </c>
      <c r="D424" s="375" t="s">
        <v>2323</v>
      </c>
      <c r="E424" s="375" t="s">
        <v>1969</v>
      </c>
      <c r="F424" s="375" t="s">
        <v>2246</v>
      </c>
    </row>
    <row r="425" spans="1:6">
      <c r="A425" s="375" t="s">
        <v>1967</v>
      </c>
      <c r="B425" s="375" t="s">
        <v>755</v>
      </c>
      <c r="C425" s="375" t="s">
        <v>1969</v>
      </c>
      <c r="D425" s="375" t="s">
        <v>2323</v>
      </c>
      <c r="E425" s="375" t="s">
        <v>1970</v>
      </c>
      <c r="F425" s="375" t="s">
        <v>609</v>
      </c>
    </row>
    <row r="426" spans="1:6">
      <c r="A426" s="375" t="s">
        <v>1967</v>
      </c>
      <c r="B426" s="375" t="s">
        <v>755</v>
      </c>
      <c r="C426" s="375" t="s">
        <v>1969</v>
      </c>
      <c r="D426" s="375" t="s">
        <v>2323</v>
      </c>
      <c r="E426" s="375" t="s">
        <v>1971</v>
      </c>
      <c r="F426" s="375" t="s">
        <v>767</v>
      </c>
    </row>
    <row r="427" spans="1:6">
      <c r="A427" s="375" t="s">
        <v>1967</v>
      </c>
      <c r="B427" s="375" t="s">
        <v>755</v>
      </c>
      <c r="C427" s="375" t="s">
        <v>1970</v>
      </c>
      <c r="D427" s="375" t="s">
        <v>768</v>
      </c>
      <c r="E427" s="375" t="s">
        <v>1964</v>
      </c>
      <c r="F427" s="375" t="s">
        <v>769</v>
      </c>
    </row>
    <row r="428" spans="1:6">
      <c r="A428" s="375" t="s">
        <v>1967</v>
      </c>
      <c r="B428" s="375" t="s">
        <v>755</v>
      </c>
      <c r="C428" s="375" t="s">
        <v>1970</v>
      </c>
      <c r="D428" s="375" t="s">
        <v>768</v>
      </c>
      <c r="E428" s="375" t="s">
        <v>1965</v>
      </c>
      <c r="F428" s="375" t="s">
        <v>3871</v>
      </c>
    </row>
    <row r="429" spans="1:6">
      <c r="A429" s="375" t="s">
        <v>1967</v>
      </c>
      <c r="B429" s="375" t="s">
        <v>755</v>
      </c>
      <c r="C429" s="375" t="s">
        <v>1970</v>
      </c>
      <c r="D429" s="375" t="s">
        <v>768</v>
      </c>
      <c r="E429" s="375" t="s">
        <v>1966</v>
      </c>
      <c r="F429" s="375" t="s">
        <v>1531</v>
      </c>
    </row>
    <row r="430" spans="1:6">
      <c r="A430" s="375" t="s">
        <v>1967</v>
      </c>
      <c r="B430" s="375" t="s">
        <v>755</v>
      </c>
      <c r="C430" s="375" t="s">
        <v>1970</v>
      </c>
      <c r="D430" s="375" t="s">
        <v>768</v>
      </c>
      <c r="E430" s="375" t="s">
        <v>1967</v>
      </c>
      <c r="F430" s="375" t="s">
        <v>768</v>
      </c>
    </row>
    <row r="431" spans="1:6">
      <c r="A431" s="375" t="s">
        <v>1967</v>
      </c>
      <c r="B431" s="375" t="s">
        <v>755</v>
      </c>
      <c r="C431" s="375" t="s">
        <v>1970</v>
      </c>
      <c r="D431" s="375" t="s">
        <v>768</v>
      </c>
      <c r="E431" s="375" t="s">
        <v>1968</v>
      </c>
      <c r="F431" s="375" t="s">
        <v>1532</v>
      </c>
    </row>
    <row r="432" spans="1:6">
      <c r="A432" s="375" t="s">
        <v>1967</v>
      </c>
      <c r="B432" s="375" t="s">
        <v>755</v>
      </c>
      <c r="C432" s="375" t="s">
        <v>1970</v>
      </c>
      <c r="D432" s="375" t="s">
        <v>768</v>
      </c>
      <c r="E432" s="375" t="s">
        <v>1969</v>
      </c>
      <c r="F432" s="375" t="s">
        <v>2175</v>
      </c>
    </row>
    <row r="433" spans="1:6">
      <c r="A433" s="375" t="s">
        <v>1967</v>
      </c>
      <c r="B433" s="375" t="s">
        <v>755</v>
      </c>
      <c r="C433" s="375" t="s">
        <v>1971</v>
      </c>
      <c r="D433" s="375" t="s">
        <v>2176</v>
      </c>
      <c r="E433" s="375" t="s">
        <v>1964</v>
      </c>
      <c r="F433" s="375" t="s">
        <v>2177</v>
      </c>
    </row>
    <row r="434" spans="1:6">
      <c r="A434" s="375" t="s">
        <v>1967</v>
      </c>
      <c r="B434" s="375" t="s">
        <v>755</v>
      </c>
      <c r="C434" s="375" t="s">
        <v>1971</v>
      </c>
      <c r="D434" s="375" t="s">
        <v>2176</v>
      </c>
      <c r="E434" s="375" t="s">
        <v>1965</v>
      </c>
      <c r="F434" s="375" t="s">
        <v>2178</v>
      </c>
    </row>
    <row r="435" spans="1:6">
      <c r="A435" s="375" t="s">
        <v>1967</v>
      </c>
      <c r="B435" s="375" t="s">
        <v>755</v>
      </c>
      <c r="C435" s="375" t="s">
        <v>1971</v>
      </c>
      <c r="D435" s="375" t="s">
        <v>2176</v>
      </c>
      <c r="E435" s="375" t="s">
        <v>1966</v>
      </c>
      <c r="F435" s="375" t="s">
        <v>2547</v>
      </c>
    </row>
    <row r="436" spans="1:6">
      <c r="A436" s="375" t="s">
        <v>1967</v>
      </c>
      <c r="B436" s="375" t="s">
        <v>755</v>
      </c>
      <c r="C436" s="375" t="s">
        <v>1971</v>
      </c>
      <c r="D436" s="375" t="s">
        <v>2176</v>
      </c>
      <c r="E436" s="375" t="s">
        <v>1967</v>
      </c>
      <c r="F436" s="375" t="s">
        <v>2548</v>
      </c>
    </row>
    <row r="437" spans="1:6">
      <c r="A437" s="375" t="s">
        <v>1967</v>
      </c>
      <c r="B437" s="375" t="s">
        <v>755</v>
      </c>
      <c r="C437" s="375" t="s">
        <v>1971</v>
      </c>
      <c r="D437" s="375" t="s">
        <v>2176</v>
      </c>
      <c r="E437" s="375" t="s">
        <v>1968</v>
      </c>
      <c r="F437" s="375" t="s">
        <v>2549</v>
      </c>
    </row>
    <row r="438" spans="1:6">
      <c r="A438" s="375" t="s">
        <v>1967</v>
      </c>
      <c r="B438" s="375" t="s">
        <v>755</v>
      </c>
      <c r="C438" s="375" t="s">
        <v>1971</v>
      </c>
      <c r="D438" s="375" t="s">
        <v>2176</v>
      </c>
      <c r="E438" s="375" t="s">
        <v>1969</v>
      </c>
      <c r="F438" s="375" t="s">
        <v>2550</v>
      </c>
    </row>
    <row r="439" spans="1:6">
      <c r="A439" s="375" t="s">
        <v>1967</v>
      </c>
      <c r="B439" s="375" t="s">
        <v>755</v>
      </c>
      <c r="C439" s="375" t="s">
        <v>1971</v>
      </c>
      <c r="D439" s="375" t="s">
        <v>2176</v>
      </c>
      <c r="E439" s="375" t="s">
        <v>1970</v>
      </c>
      <c r="F439" s="375" t="s">
        <v>2551</v>
      </c>
    </row>
    <row r="440" spans="1:6">
      <c r="A440" s="375" t="s">
        <v>1967</v>
      </c>
      <c r="B440" s="375" t="s">
        <v>755</v>
      </c>
      <c r="C440" s="375" t="s">
        <v>1971</v>
      </c>
      <c r="D440" s="375" t="s">
        <v>2176</v>
      </c>
      <c r="E440" s="375" t="s">
        <v>1971</v>
      </c>
      <c r="F440" s="375" t="s">
        <v>2552</v>
      </c>
    </row>
    <row r="441" spans="1:6">
      <c r="A441" s="375" t="s">
        <v>1967</v>
      </c>
      <c r="B441" s="375" t="s">
        <v>755</v>
      </c>
      <c r="C441" s="375" t="s">
        <v>1971</v>
      </c>
      <c r="D441" s="375" t="s">
        <v>2176</v>
      </c>
      <c r="E441" s="375" t="s">
        <v>1972</v>
      </c>
      <c r="F441" s="375" t="s">
        <v>2553</v>
      </c>
    </row>
    <row r="442" spans="1:6">
      <c r="A442" s="375" t="s">
        <v>1967</v>
      </c>
      <c r="B442" s="375" t="s">
        <v>755</v>
      </c>
      <c r="C442" s="375" t="s">
        <v>1971</v>
      </c>
      <c r="D442" s="375" t="s">
        <v>2176</v>
      </c>
      <c r="E442" s="375" t="s">
        <v>1973</v>
      </c>
      <c r="F442" s="375" t="s">
        <v>2240</v>
      </c>
    </row>
    <row r="443" spans="1:6">
      <c r="A443" s="375" t="s">
        <v>1967</v>
      </c>
      <c r="B443" s="375" t="s">
        <v>755</v>
      </c>
      <c r="C443" s="375" t="s">
        <v>1971</v>
      </c>
      <c r="D443" s="375" t="s">
        <v>2176</v>
      </c>
      <c r="E443" s="375" t="s">
        <v>1974</v>
      </c>
      <c r="F443" s="375" t="s">
        <v>2241</v>
      </c>
    </row>
    <row r="444" spans="1:6">
      <c r="A444" s="375" t="s">
        <v>1968</v>
      </c>
      <c r="B444" s="375" t="s">
        <v>1496</v>
      </c>
      <c r="C444" s="375" t="s">
        <v>1964</v>
      </c>
      <c r="D444" s="375" t="s">
        <v>1497</v>
      </c>
      <c r="E444" s="375" t="s">
        <v>1964</v>
      </c>
      <c r="F444" s="375" t="s">
        <v>1496</v>
      </c>
    </row>
    <row r="445" spans="1:6">
      <c r="A445" s="375" t="s">
        <v>1968</v>
      </c>
      <c r="B445" s="375" t="s">
        <v>1496</v>
      </c>
      <c r="C445" s="375" t="s">
        <v>1964</v>
      </c>
      <c r="D445" s="375" t="s">
        <v>1497</v>
      </c>
      <c r="E445" s="375" t="s">
        <v>1965</v>
      </c>
      <c r="F445" s="375" t="s">
        <v>1498</v>
      </c>
    </row>
    <row r="446" spans="1:6">
      <c r="A446" s="375" t="s">
        <v>1968</v>
      </c>
      <c r="B446" s="375" t="s">
        <v>1496</v>
      </c>
      <c r="C446" s="375" t="s">
        <v>1964</v>
      </c>
      <c r="D446" s="375" t="s">
        <v>1497</v>
      </c>
      <c r="E446" s="375" t="s">
        <v>1966</v>
      </c>
      <c r="F446" s="375" t="s">
        <v>1499</v>
      </c>
    </row>
    <row r="447" spans="1:6">
      <c r="A447" s="375" t="s">
        <v>1968</v>
      </c>
      <c r="B447" s="375" t="s">
        <v>1496</v>
      </c>
      <c r="C447" s="375" t="s">
        <v>1964</v>
      </c>
      <c r="D447" s="375" t="s">
        <v>1497</v>
      </c>
      <c r="E447" s="375" t="s">
        <v>1967</v>
      </c>
      <c r="F447" s="375" t="s">
        <v>1500</v>
      </c>
    </row>
    <row r="448" spans="1:6">
      <c r="A448" s="375" t="s">
        <v>1968</v>
      </c>
      <c r="B448" s="375" t="s">
        <v>1496</v>
      </c>
      <c r="C448" s="375" t="s">
        <v>1964</v>
      </c>
      <c r="D448" s="375" t="s">
        <v>1497</v>
      </c>
      <c r="E448" s="375" t="s">
        <v>1968</v>
      </c>
      <c r="F448" s="375" t="s">
        <v>2621</v>
      </c>
    </row>
    <row r="449" spans="1:6">
      <c r="A449" s="375" t="s">
        <v>1968</v>
      </c>
      <c r="B449" s="375" t="s">
        <v>1496</v>
      </c>
      <c r="C449" s="375" t="s">
        <v>1964</v>
      </c>
      <c r="D449" s="375" t="s">
        <v>1497</v>
      </c>
      <c r="E449" s="375" t="s">
        <v>1969</v>
      </c>
      <c r="F449" s="375" t="s">
        <v>3088</v>
      </c>
    </row>
    <row r="450" spans="1:6">
      <c r="A450" s="375" t="s">
        <v>1968</v>
      </c>
      <c r="B450" s="375" t="s">
        <v>1496</v>
      </c>
      <c r="C450" s="375" t="s">
        <v>1964</v>
      </c>
      <c r="D450" s="375" t="s">
        <v>1497</v>
      </c>
      <c r="E450" s="375" t="s">
        <v>1970</v>
      </c>
      <c r="F450" s="375" t="s">
        <v>1501</v>
      </c>
    </row>
    <row r="451" spans="1:6">
      <c r="A451" s="375" t="s">
        <v>1968</v>
      </c>
      <c r="B451" s="375" t="s">
        <v>1496</v>
      </c>
      <c r="C451" s="375" t="s">
        <v>1964</v>
      </c>
      <c r="D451" s="375" t="s">
        <v>1497</v>
      </c>
      <c r="E451" s="375" t="s">
        <v>1971</v>
      </c>
      <c r="F451" s="375" t="s">
        <v>2023</v>
      </c>
    </row>
    <row r="452" spans="1:6">
      <c r="A452" s="375" t="s">
        <v>1968</v>
      </c>
      <c r="B452" s="375" t="s">
        <v>1496</v>
      </c>
      <c r="C452" s="375" t="s">
        <v>1964</v>
      </c>
      <c r="D452" s="375" t="s">
        <v>1497</v>
      </c>
      <c r="E452" s="375" t="s">
        <v>1972</v>
      </c>
      <c r="F452" s="375" t="s">
        <v>2024</v>
      </c>
    </row>
    <row r="453" spans="1:6">
      <c r="A453" s="375" t="s">
        <v>1968</v>
      </c>
      <c r="B453" s="375" t="s">
        <v>1496</v>
      </c>
      <c r="C453" s="375" t="s">
        <v>1964</v>
      </c>
      <c r="D453" s="375" t="s">
        <v>1497</v>
      </c>
      <c r="E453" s="375" t="s">
        <v>1973</v>
      </c>
      <c r="F453" s="375" t="s">
        <v>2025</v>
      </c>
    </row>
    <row r="454" spans="1:6">
      <c r="A454" s="375" t="s">
        <v>1968</v>
      </c>
      <c r="B454" s="375" t="s">
        <v>1496</v>
      </c>
      <c r="C454" s="375" t="s">
        <v>1964</v>
      </c>
      <c r="D454" s="375" t="s">
        <v>1497</v>
      </c>
      <c r="E454" s="375" t="s">
        <v>1974</v>
      </c>
      <c r="F454" s="375" t="s">
        <v>2026</v>
      </c>
    </row>
    <row r="455" spans="1:6">
      <c r="A455" s="375" t="s">
        <v>1968</v>
      </c>
      <c r="B455" s="375" t="s">
        <v>1496</v>
      </c>
      <c r="C455" s="375" t="s">
        <v>1964</v>
      </c>
      <c r="D455" s="375" t="s">
        <v>1497</v>
      </c>
      <c r="E455" s="375" t="s">
        <v>1975</v>
      </c>
      <c r="F455" s="375" t="s">
        <v>2027</v>
      </c>
    </row>
    <row r="456" spans="1:6">
      <c r="A456" s="375" t="s">
        <v>1968</v>
      </c>
      <c r="B456" s="375" t="s">
        <v>1496</v>
      </c>
      <c r="C456" s="375" t="s">
        <v>1964</v>
      </c>
      <c r="D456" s="375" t="s">
        <v>1497</v>
      </c>
      <c r="E456" s="375" t="s">
        <v>1976</v>
      </c>
      <c r="F456" s="375" t="s">
        <v>2028</v>
      </c>
    </row>
    <row r="457" spans="1:6">
      <c r="A457" s="375" t="s">
        <v>1968</v>
      </c>
      <c r="B457" s="375" t="s">
        <v>1496</v>
      </c>
      <c r="C457" s="375" t="s">
        <v>1964</v>
      </c>
      <c r="D457" s="375" t="s">
        <v>1497</v>
      </c>
      <c r="E457" s="375" t="s">
        <v>1977</v>
      </c>
      <c r="F457" s="375" t="s">
        <v>2029</v>
      </c>
    </row>
    <row r="458" spans="1:6">
      <c r="A458" s="375" t="s">
        <v>1968</v>
      </c>
      <c r="B458" s="375" t="s">
        <v>1496</v>
      </c>
      <c r="C458" s="375" t="s">
        <v>1964</v>
      </c>
      <c r="D458" s="375" t="s">
        <v>1497</v>
      </c>
      <c r="E458" s="375" t="s">
        <v>1978</v>
      </c>
      <c r="F458" s="375" t="s">
        <v>229</v>
      </c>
    </row>
    <row r="459" spans="1:6">
      <c r="A459" s="375" t="s">
        <v>1968</v>
      </c>
      <c r="B459" s="375" t="s">
        <v>1496</v>
      </c>
      <c r="C459" s="375" t="s">
        <v>1965</v>
      </c>
      <c r="D459" s="375" t="s">
        <v>2030</v>
      </c>
      <c r="E459" s="375" t="s">
        <v>1964</v>
      </c>
      <c r="F459" s="375" t="s">
        <v>2030</v>
      </c>
    </row>
    <row r="460" spans="1:6">
      <c r="A460" s="375" t="s">
        <v>1968</v>
      </c>
      <c r="B460" s="375" t="s">
        <v>1496</v>
      </c>
      <c r="C460" s="375" t="s">
        <v>1965</v>
      </c>
      <c r="D460" s="375" t="s">
        <v>2030</v>
      </c>
      <c r="E460" s="375" t="s">
        <v>1965</v>
      </c>
      <c r="F460" s="375" t="s">
        <v>2031</v>
      </c>
    </row>
    <row r="461" spans="1:6">
      <c r="A461" s="375" t="s">
        <v>1968</v>
      </c>
      <c r="B461" s="375" t="s">
        <v>1496</v>
      </c>
      <c r="C461" s="375" t="s">
        <v>1965</v>
      </c>
      <c r="D461" s="375" t="s">
        <v>2030</v>
      </c>
      <c r="E461" s="375" t="s">
        <v>1966</v>
      </c>
      <c r="F461" s="375" t="s">
        <v>2032</v>
      </c>
    </row>
    <row r="462" spans="1:6">
      <c r="A462" s="375" t="s">
        <v>1968</v>
      </c>
      <c r="B462" s="375" t="s">
        <v>1496</v>
      </c>
      <c r="C462" s="375" t="s">
        <v>1965</v>
      </c>
      <c r="D462" s="375" t="s">
        <v>2030</v>
      </c>
      <c r="E462" s="375" t="s">
        <v>1967</v>
      </c>
      <c r="F462" s="375" t="s">
        <v>2033</v>
      </c>
    </row>
    <row r="463" spans="1:6">
      <c r="A463" s="375" t="s">
        <v>1968</v>
      </c>
      <c r="B463" s="375" t="s">
        <v>1496</v>
      </c>
      <c r="C463" s="375" t="s">
        <v>1965</v>
      </c>
      <c r="D463" s="375" t="s">
        <v>2030</v>
      </c>
      <c r="E463" s="375" t="s">
        <v>1968</v>
      </c>
      <c r="F463" s="375" t="s">
        <v>2034</v>
      </c>
    </row>
    <row r="464" spans="1:6">
      <c r="A464" s="375" t="s">
        <v>1968</v>
      </c>
      <c r="B464" s="375" t="s">
        <v>1496</v>
      </c>
      <c r="C464" s="375" t="s">
        <v>1965</v>
      </c>
      <c r="D464" s="375" t="s">
        <v>2030</v>
      </c>
      <c r="E464" s="375" t="s">
        <v>1969</v>
      </c>
      <c r="F464" s="375" t="s">
        <v>2035</v>
      </c>
    </row>
    <row r="465" spans="1:6">
      <c r="A465" s="375" t="s">
        <v>1968</v>
      </c>
      <c r="B465" s="375" t="s">
        <v>1496</v>
      </c>
      <c r="C465" s="375" t="s">
        <v>1966</v>
      </c>
      <c r="D465" s="375" t="s">
        <v>2036</v>
      </c>
      <c r="E465" s="375" t="s">
        <v>1964</v>
      </c>
      <c r="F465" s="375" t="s">
        <v>2037</v>
      </c>
    </row>
    <row r="466" spans="1:6">
      <c r="A466" s="375" t="s">
        <v>1968</v>
      </c>
      <c r="B466" s="375" t="s">
        <v>1496</v>
      </c>
      <c r="C466" s="375" t="s">
        <v>1966</v>
      </c>
      <c r="D466" s="375" t="s">
        <v>2036</v>
      </c>
      <c r="E466" s="375" t="s">
        <v>1965</v>
      </c>
      <c r="F466" s="375" t="s">
        <v>2038</v>
      </c>
    </row>
    <row r="467" spans="1:6">
      <c r="A467" s="375" t="s">
        <v>1968</v>
      </c>
      <c r="B467" s="375" t="s">
        <v>1496</v>
      </c>
      <c r="C467" s="375" t="s">
        <v>1966</v>
      </c>
      <c r="D467" s="375" t="s">
        <v>2036</v>
      </c>
      <c r="E467" s="375" t="s">
        <v>1966</v>
      </c>
      <c r="F467" s="375" t="s">
        <v>2039</v>
      </c>
    </row>
    <row r="468" spans="1:6">
      <c r="A468" s="375" t="s">
        <v>1968</v>
      </c>
      <c r="B468" s="375" t="s">
        <v>1496</v>
      </c>
      <c r="C468" s="375" t="s">
        <v>1966</v>
      </c>
      <c r="D468" s="375" t="s">
        <v>2036</v>
      </c>
      <c r="E468" s="375" t="s">
        <v>1967</v>
      </c>
      <c r="F468" s="375" t="s">
        <v>2040</v>
      </c>
    </row>
    <row r="469" spans="1:6">
      <c r="A469" s="375" t="s">
        <v>1968</v>
      </c>
      <c r="B469" s="375" t="s">
        <v>1496</v>
      </c>
      <c r="C469" s="375" t="s">
        <v>1967</v>
      </c>
      <c r="D469" s="375" t="s">
        <v>2041</v>
      </c>
      <c r="E469" s="375" t="s">
        <v>1964</v>
      </c>
      <c r="F469" s="375" t="s">
        <v>2041</v>
      </c>
    </row>
    <row r="470" spans="1:6">
      <c r="A470" s="375" t="s">
        <v>1968</v>
      </c>
      <c r="B470" s="375" t="s">
        <v>1496</v>
      </c>
      <c r="C470" s="375" t="s">
        <v>1967</v>
      </c>
      <c r="D470" s="375" t="s">
        <v>2041</v>
      </c>
      <c r="E470" s="375" t="s">
        <v>1965</v>
      </c>
      <c r="F470" s="375" t="s">
        <v>2042</v>
      </c>
    </row>
    <row r="471" spans="1:6">
      <c r="A471" s="375" t="s">
        <v>1968</v>
      </c>
      <c r="B471" s="375" t="s">
        <v>1496</v>
      </c>
      <c r="C471" s="375" t="s">
        <v>1967</v>
      </c>
      <c r="D471" s="375" t="s">
        <v>2041</v>
      </c>
      <c r="E471" s="375" t="s">
        <v>1966</v>
      </c>
      <c r="F471" s="375" t="s">
        <v>4027</v>
      </c>
    </row>
    <row r="472" spans="1:6">
      <c r="A472" s="375" t="s">
        <v>1968</v>
      </c>
      <c r="B472" s="375" t="s">
        <v>1496</v>
      </c>
      <c r="C472" s="375" t="s">
        <v>1967</v>
      </c>
      <c r="D472" s="375" t="s">
        <v>2041</v>
      </c>
      <c r="E472" s="375" t="s">
        <v>1967</v>
      </c>
      <c r="F472" s="375" t="s">
        <v>1225</v>
      </c>
    </row>
    <row r="473" spans="1:6">
      <c r="A473" s="375" t="s">
        <v>1968</v>
      </c>
      <c r="B473" s="375" t="s">
        <v>1496</v>
      </c>
      <c r="C473" s="375" t="s">
        <v>1967</v>
      </c>
      <c r="D473" s="375" t="s">
        <v>2041</v>
      </c>
      <c r="E473" s="375" t="s">
        <v>1968</v>
      </c>
      <c r="F473" s="375" t="s">
        <v>1226</v>
      </c>
    </row>
    <row r="474" spans="1:6">
      <c r="A474" s="375" t="s">
        <v>1968</v>
      </c>
      <c r="B474" s="375" t="s">
        <v>1496</v>
      </c>
      <c r="C474" s="375" t="s">
        <v>1967</v>
      </c>
      <c r="D474" s="375" t="s">
        <v>2041</v>
      </c>
      <c r="E474" s="375" t="s">
        <v>1969</v>
      </c>
      <c r="F474" s="375" t="s">
        <v>1227</v>
      </c>
    </row>
    <row r="475" spans="1:6">
      <c r="A475" s="375" t="s">
        <v>1968</v>
      </c>
      <c r="B475" s="375" t="s">
        <v>1496</v>
      </c>
      <c r="C475" s="375" t="s">
        <v>1967</v>
      </c>
      <c r="D475" s="375" t="s">
        <v>2041</v>
      </c>
      <c r="E475" s="375" t="s">
        <v>1970</v>
      </c>
      <c r="F475" s="375" t="s">
        <v>1228</v>
      </c>
    </row>
    <row r="476" spans="1:6">
      <c r="A476" s="375" t="s">
        <v>1968</v>
      </c>
      <c r="B476" s="375" t="s">
        <v>1496</v>
      </c>
      <c r="C476" s="375" t="s">
        <v>1967</v>
      </c>
      <c r="D476" s="375" t="s">
        <v>2041</v>
      </c>
      <c r="E476" s="375" t="s">
        <v>1971</v>
      </c>
      <c r="F476" s="375" t="s">
        <v>3830</v>
      </c>
    </row>
    <row r="477" spans="1:6">
      <c r="A477" s="375" t="s">
        <v>1968</v>
      </c>
      <c r="B477" s="375" t="s">
        <v>1496</v>
      </c>
      <c r="C477" s="375" t="s">
        <v>1968</v>
      </c>
      <c r="D477" s="375" t="s">
        <v>1229</v>
      </c>
      <c r="E477" s="375" t="s">
        <v>1964</v>
      </c>
      <c r="F477" s="375" t="s">
        <v>720</v>
      </c>
    </row>
    <row r="478" spans="1:6">
      <c r="A478" s="375" t="s">
        <v>1968</v>
      </c>
      <c r="B478" s="375" t="s">
        <v>1496</v>
      </c>
      <c r="C478" s="375" t="s">
        <v>1968</v>
      </c>
      <c r="D478" s="375" t="s">
        <v>1229</v>
      </c>
      <c r="E478" s="375" t="s">
        <v>1965</v>
      </c>
      <c r="F478" s="375" t="s">
        <v>721</v>
      </c>
    </row>
    <row r="479" spans="1:6">
      <c r="A479" s="375" t="s">
        <v>1968</v>
      </c>
      <c r="B479" s="375" t="s">
        <v>1496</v>
      </c>
      <c r="C479" s="375" t="s">
        <v>1968</v>
      </c>
      <c r="D479" s="375" t="s">
        <v>1229</v>
      </c>
      <c r="E479" s="375" t="s">
        <v>1966</v>
      </c>
      <c r="F479" s="375" t="s">
        <v>722</v>
      </c>
    </row>
    <row r="480" spans="1:6">
      <c r="A480" s="375" t="s">
        <v>1968</v>
      </c>
      <c r="B480" s="375" t="s">
        <v>1496</v>
      </c>
      <c r="C480" s="375" t="s">
        <v>1968</v>
      </c>
      <c r="D480" s="375" t="s">
        <v>1229</v>
      </c>
      <c r="E480" s="375" t="s">
        <v>1967</v>
      </c>
      <c r="F480" s="375" t="s">
        <v>723</v>
      </c>
    </row>
    <row r="481" spans="1:6">
      <c r="A481" s="375" t="s">
        <v>1968</v>
      </c>
      <c r="B481" s="375" t="s">
        <v>1496</v>
      </c>
      <c r="C481" s="375" t="s">
        <v>1968</v>
      </c>
      <c r="D481" s="375" t="s">
        <v>1229</v>
      </c>
      <c r="E481" s="375" t="s">
        <v>1968</v>
      </c>
      <c r="F481" s="375" t="s">
        <v>724</v>
      </c>
    </row>
    <row r="482" spans="1:6">
      <c r="A482" s="375" t="s">
        <v>1968</v>
      </c>
      <c r="B482" s="375" t="s">
        <v>1496</v>
      </c>
      <c r="C482" s="375" t="s">
        <v>1968</v>
      </c>
      <c r="D482" s="375" t="s">
        <v>1229</v>
      </c>
      <c r="E482" s="375" t="s">
        <v>1969</v>
      </c>
      <c r="F482" s="375" t="s">
        <v>725</v>
      </c>
    </row>
    <row r="483" spans="1:6">
      <c r="A483" s="375" t="s">
        <v>1968</v>
      </c>
      <c r="B483" s="375" t="s">
        <v>1496</v>
      </c>
      <c r="C483" s="375" t="s">
        <v>1968</v>
      </c>
      <c r="D483" s="375" t="s">
        <v>1229</v>
      </c>
      <c r="E483" s="375" t="s">
        <v>1970</v>
      </c>
      <c r="F483" s="375" t="s">
        <v>559</v>
      </c>
    </row>
    <row r="484" spans="1:6">
      <c r="A484" s="375" t="s">
        <v>1968</v>
      </c>
      <c r="B484" s="375" t="s">
        <v>1496</v>
      </c>
      <c r="C484" s="375" t="s">
        <v>1968</v>
      </c>
      <c r="D484" s="375" t="s">
        <v>1229</v>
      </c>
      <c r="E484" s="375" t="s">
        <v>1971</v>
      </c>
      <c r="F484" s="375" t="s">
        <v>726</v>
      </c>
    </row>
    <row r="485" spans="1:6">
      <c r="A485" s="375" t="s">
        <v>1968</v>
      </c>
      <c r="B485" s="375" t="s">
        <v>1496</v>
      </c>
      <c r="C485" s="375" t="s">
        <v>1969</v>
      </c>
      <c r="D485" s="375" t="s">
        <v>727</v>
      </c>
      <c r="E485" s="375" t="s">
        <v>1964</v>
      </c>
      <c r="F485" s="375" t="s">
        <v>2170</v>
      </c>
    </row>
    <row r="486" spans="1:6">
      <c r="A486" s="375" t="s">
        <v>1968</v>
      </c>
      <c r="B486" s="375" t="s">
        <v>1496</v>
      </c>
      <c r="C486" s="375" t="s">
        <v>1969</v>
      </c>
      <c r="D486" s="375" t="s">
        <v>727</v>
      </c>
      <c r="E486" s="375" t="s">
        <v>1965</v>
      </c>
      <c r="F486" s="375" t="s">
        <v>2171</v>
      </c>
    </row>
    <row r="487" spans="1:6">
      <c r="A487" s="375" t="s">
        <v>1968</v>
      </c>
      <c r="B487" s="375" t="s">
        <v>1496</v>
      </c>
      <c r="C487" s="375" t="s">
        <v>1969</v>
      </c>
      <c r="D487" s="375" t="s">
        <v>727</v>
      </c>
      <c r="E487" s="375" t="s">
        <v>1966</v>
      </c>
      <c r="F487" s="375" t="s">
        <v>4263</v>
      </c>
    </row>
    <row r="488" spans="1:6">
      <c r="A488" s="375" t="s">
        <v>1968</v>
      </c>
      <c r="B488" s="375" t="s">
        <v>1496</v>
      </c>
      <c r="C488" s="375" t="s">
        <v>1969</v>
      </c>
      <c r="D488" s="375" t="s">
        <v>727</v>
      </c>
      <c r="E488" s="375" t="s">
        <v>1967</v>
      </c>
      <c r="F488" s="375" t="s">
        <v>2172</v>
      </c>
    </row>
    <row r="489" spans="1:6">
      <c r="A489" s="375" t="s">
        <v>1968</v>
      </c>
      <c r="B489" s="375" t="s">
        <v>1496</v>
      </c>
      <c r="C489" s="375" t="s">
        <v>1969</v>
      </c>
      <c r="D489" s="375" t="s">
        <v>727</v>
      </c>
      <c r="E489" s="375" t="s">
        <v>1968</v>
      </c>
      <c r="F489" s="375" t="s">
        <v>798</v>
      </c>
    </row>
    <row r="490" spans="1:6">
      <c r="A490" s="375" t="s">
        <v>1968</v>
      </c>
      <c r="B490" s="375" t="s">
        <v>1496</v>
      </c>
      <c r="C490" s="375" t="s">
        <v>1969</v>
      </c>
      <c r="D490" s="375" t="s">
        <v>727</v>
      </c>
      <c r="E490" s="375" t="s">
        <v>1969</v>
      </c>
      <c r="F490" s="375" t="s">
        <v>2821</v>
      </c>
    </row>
    <row r="491" spans="1:6">
      <c r="A491" s="375" t="s">
        <v>1968</v>
      </c>
      <c r="B491" s="375" t="s">
        <v>1496</v>
      </c>
      <c r="C491" s="375" t="s">
        <v>1969</v>
      </c>
      <c r="D491" s="375" t="s">
        <v>727</v>
      </c>
      <c r="E491" s="375" t="s">
        <v>1970</v>
      </c>
      <c r="F491" s="375" t="s">
        <v>2822</v>
      </c>
    </row>
    <row r="492" spans="1:6">
      <c r="A492" s="375" t="s">
        <v>1968</v>
      </c>
      <c r="B492" s="375" t="s">
        <v>1496</v>
      </c>
      <c r="C492" s="375" t="s">
        <v>1969</v>
      </c>
      <c r="D492" s="375" t="s">
        <v>727</v>
      </c>
      <c r="E492" s="375" t="s">
        <v>1971</v>
      </c>
      <c r="F492" s="375" t="s">
        <v>1199</v>
      </c>
    </row>
    <row r="493" spans="1:6">
      <c r="A493" s="375" t="s">
        <v>1968</v>
      </c>
      <c r="B493" s="375" t="s">
        <v>1496</v>
      </c>
      <c r="C493" s="375" t="s">
        <v>1969</v>
      </c>
      <c r="D493" s="375" t="s">
        <v>727</v>
      </c>
      <c r="E493" s="375" t="s">
        <v>1972</v>
      </c>
      <c r="F493" s="375" t="s">
        <v>1156</v>
      </c>
    </row>
    <row r="494" spans="1:6">
      <c r="A494" s="375" t="s">
        <v>1968</v>
      </c>
      <c r="B494" s="375" t="s">
        <v>1496</v>
      </c>
      <c r="C494" s="375" t="s">
        <v>1969</v>
      </c>
      <c r="D494" s="375" t="s">
        <v>727</v>
      </c>
      <c r="E494" s="375" t="s">
        <v>1973</v>
      </c>
      <c r="F494" s="375" t="s">
        <v>1208</v>
      </c>
    </row>
    <row r="495" spans="1:6">
      <c r="A495" s="375" t="s">
        <v>1968</v>
      </c>
      <c r="B495" s="375" t="s">
        <v>1496</v>
      </c>
      <c r="C495" s="375" t="s">
        <v>1969</v>
      </c>
      <c r="D495" s="375" t="s">
        <v>727</v>
      </c>
      <c r="E495" s="375" t="s">
        <v>1974</v>
      </c>
      <c r="F495" s="375" t="s">
        <v>727</v>
      </c>
    </row>
    <row r="496" spans="1:6">
      <c r="A496" s="375" t="s">
        <v>1968</v>
      </c>
      <c r="B496" s="375" t="s">
        <v>1496</v>
      </c>
      <c r="C496" s="375" t="s">
        <v>1969</v>
      </c>
      <c r="D496" s="375" t="s">
        <v>727</v>
      </c>
      <c r="E496" s="375" t="s">
        <v>1975</v>
      </c>
      <c r="F496" s="375" t="s">
        <v>799</v>
      </c>
    </row>
    <row r="497" spans="1:6">
      <c r="A497" s="375" t="s">
        <v>1968</v>
      </c>
      <c r="B497" s="375" t="s">
        <v>1496</v>
      </c>
      <c r="C497" s="375" t="s">
        <v>1969</v>
      </c>
      <c r="D497" s="375" t="s">
        <v>727</v>
      </c>
      <c r="E497" s="375" t="s">
        <v>1976</v>
      </c>
      <c r="F497" s="375" t="s">
        <v>1209</v>
      </c>
    </row>
    <row r="498" spans="1:6">
      <c r="A498" s="375" t="s">
        <v>1968</v>
      </c>
      <c r="B498" s="375" t="s">
        <v>1496</v>
      </c>
      <c r="C498" s="375" t="s">
        <v>1969</v>
      </c>
      <c r="D498" s="375" t="s">
        <v>727</v>
      </c>
      <c r="E498" s="375" t="s">
        <v>1977</v>
      </c>
      <c r="F498" s="375" t="s">
        <v>1187</v>
      </c>
    </row>
    <row r="499" spans="1:6">
      <c r="A499" s="375" t="s">
        <v>1968</v>
      </c>
      <c r="B499" s="375" t="s">
        <v>1496</v>
      </c>
      <c r="C499" s="375" t="s">
        <v>1969</v>
      </c>
      <c r="D499" s="375" t="s">
        <v>727</v>
      </c>
      <c r="E499" s="375" t="s">
        <v>1978</v>
      </c>
      <c r="F499" s="375" t="s">
        <v>1221</v>
      </c>
    </row>
    <row r="500" spans="1:6">
      <c r="A500" s="375" t="s">
        <v>1968</v>
      </c>
      <c r="B500" s="375" t="s">
        <v>1496</v>
      </c>
      <c r="C500" s="375" t="s">
        <v>1969</v>
      </c>
      <c r="D500" s="375" t="s">
        <v>727</v>
      </c>
      <c r="E500" s="375" t="s">
        <v>1979</v>
      </c>
      <c r="F500" s="375" t="s">
        <v>1485</v>
      </c>
    </row>
    <row r="501" spans="1:6">
      <c r="A501" s="375" t="s">
        <v>1968</v>
      </c>
      <c r="B501" s="375" t="s">
        <v>1496</v>
      </c>
      <c r="C501" s="375" t="s">
        <v>1969</v>
      </c>
      <c r="D501" s="375" t="s">
        <v>727</v>
      </c>
      <c r="E501" s="375" t="s">
        <v>1980</v>
      </c>
      <c r="F501" s="375" t="s">
        <v>4260</v>
      </c>
    </row>
    <row r="502" spans="1:6">
      <c r="A502" s="375" t="s">
        <v>1968</v>
      </c>
      <c r="B502" s="375" t="s">
        <v>1496</v>
      </c>
      <c r="C502" s="375" t="s">
        <v>1969</v>
      </c>
      <c r="D502" s="375" t="s">
        <v>727</v>
      </c>
      <c r="E502" s="375" t="s">
        <v>1981</v>
      </c>
      <c r="F502" s="375" t="s">
        <v>1188</v>
      </c>
    </row>
    <row r="503" spans="1:6">
      <c r="A503" s="375" t="s">
        <v>1968</v>
      </c>
      <c r="B503" s="375" t="s">
        <v>1496</v>
      </c>
      <c r="C503" s="375" t="s">
        <v>1969</v>
      </c>
      <c r="D503" s="375" t="s">
        <v>727</v>
      </c>
      <c r="E503" s="375" t="s">
        <v>1982</v>
      </c>
      <c r="F503" s="375" t="s">
        <v>2037</v>
      </c>
    </row>
    <row r="504" spans="1:6">
      <c r="A504" s="375" t="s">
        <v>1968</v>
      </c>
      <c r="B504" s="375" t="s">
        <v>1496</v>
      </c>
      <c r="C504" s="375" t="s">
        <v>1969</v>
      </c>
      <c r="D504" s="375" t="s">
        <v>727</v>
      </c>
      <c r="E504" s="375" t="s">
        <v>4150</v>
      </c>
      <c r="F504" s="375" t="s">
        <v>1189</v>
      </c>
    </row>
    <row r="505" spans="1:6">
      <c r="A505" s="375" t="s">
        <v>1968</v>
      </c>
      <c r="B505" s="375" t="s">
        <v>1496</v>
      </c>
      <c r="C505" s="375" t="s">
        <v>1969</v>
      </c>
      <c r="D505" s="375" t="s">
        <v>727</v>
      </c>
      <c r="E505" s="375" t="s">
        <v>4151</v>
      </c>
      <c r="F505" s="375" t="s">
        <v>1034</v>
      </c>
    </row>
    <row r="506" spans="1:6">
      <c r="A506" s="375" t="s">
        <v>1968</v>
      </c>
      <c r="B506" s="375" t="s">
        <v>1496</v>
      </c>
      <c r="C506" s="375" t="s">
        <v>1970</v>
      </c>
      <c r="D506" s="375" t="s">
        <v>1838</v>
      </c>
      <c r="E506" s="375" t="s">
        <v>1964</v>
      </c>
      <c r="F506" s="375" t="s">
        <v>1839</v>
      </c>
    </row>
    <row r="507" spans="1:6">
      <c r="A507" s="375" t="s">
        <v>1968</v>
      </c>
      <c r="B507" s="375" t="s">
        <v>1496</v>
      </c>
      <c r="C507" s="375" t="s">
        <v>1970</v>
      </c>
      <c r="D507" s="375" t="s">
        <v>1838</v>
      </c>
      <c r="E507" s="375" t="s">
        <v>1965</v>
      </c>
      <c r="F507" s="375" t="s">
        <v>1840</v>
      </c>
    </row>
    <row r="508" spans="1:6">
      <c r="A508" s="375" t="s">
        <v>1968</v>
      </c>
      <c r="B508" s="375" t="s">
        <v>1496</v>
      </c>
      <c r="C508" s="375" t="s">
        <v>1970</v>
      </c>
      <c r="D508" s="375" t="s">
        <v>1838</v>
      </c>
      <c r="E508" s="375" t="s">
        <v>1966</v>
      </c>
      <c r="F508" s="375" t="s">
        <v>800</v>
      </c>
    </row>
    <row r="509" spans="1:6">
      <c r="A509" s="375" t="s">
        <v>1968</v>
      </c>
      <c r="B509" s="375" t="s">
        <v>1496</v>
      </c>
      <c r="C509" s="375" t="s">
        <v>1970</v>
      </c>
      <c r="D509" s="375" t="s">
        <v>1838</v>
      </c>
      <c r="E509" s="375" t="s">
        <v>1967</v>
      </c>
      <c r="F509" s="375" t="s">
        <v>1841</v>
      </c>
    </row>
    <row r="510" spans="1:6">
      <c r="A510" s="375" t="s">
        <v>1968</v>
      </c>
      <c r="B510" s="375" t="s">
        <v>1496</v>
      </c>
      <c r="C510" s="375" t="s">
        <v>1970</v>
      </c>
      <c r="D510" s="375" t="s">
        <v>1838</v>
      </c>
      <c r="E510" s="375" t="s">
        <v>1968</v>
      </c>
      <c r="F510" s="375" t="s">
        <v>2559</v>
      </c>
    </row>
    <row r="511" spans="1:6">
      <c r="A511" s="375" t="s">
        <v>1968</v>
      </c>
      <c r="B511" s="375" t="s">
        <v>1496</v>
      </c>
      <c r="C511" s="375" t="s">
        <v>1970</v>
      </c>
      <c r="D511" s="375" t="s">
        <v>1838</v>
      </c>
      <c r="E511" s="375" t="s">
        <v>1969</v>
      </c>
      <c r="F511" s="375" t="s">
        <v>2560</v>
      </c>
    </row>
    <row r="512" spans="1:6">
      <c r="A512" s="375" t="s">
        <v>1968</v>
      </c>
      <c r="B512" s="375" t="s">
        <v>1496</v>
      </c>
      <c r="C512" s="375" t="s">
        <v>1970</v>
      </c>
      <c r="D512" s="375" t="s">
        <v>1838</v>
      </c>
      <c r="E512" s="375" t="s">
        <v>1970</v>
      </c>
      <c r="F512" s="375" t="s">
        <v>1102</v>
      </c>
    </row>
    <row r="513" spans="1:6">
      <c r="A513" s="375" t="s">
        <v>1968</v>
      </c>
      <c r="B513" s="375" t="s">
        <v>1496</v>
      </c>
      <c r="C513" s="375" t="s">
        <v>1970</v>
      </c>
      <c r="D513" s="375" t="s">
        <v>1838</v>
      </c>
      <c r="E513" s="375" t="s">
        <v>1971</v>
      </c>
      <c r="F513" s="375" t="s">
        <v>1103</v>
      </c>
    </row>
    <row r="514" spans="1:6">
      <c r="A514" s="375" t="s">
        <v>1968</v>
      </c>
      <c r="B514" s="375" t="s">
        <v>1496</v>
      </c>
      <c r="C514" s="375" t="s">
        <v>1971</v>
      </c>
      <c r="D514" s="375" t="s">
        <v>1104</v>
      </c>
      <c r="E514" s="375" t="s">
        <v>1964</v>
      </c>
      <c r="F514" s="375" t="s">
        <v>1105</v>
      </c>
    </row>
    <row r="515" spans="1:6">
      <c r="A515" s="375" t="s">
        <v>1968</v>
      </c>
      <c r="B515" s="375" t="s">
        <v>1496</v>
      </c>
      <c r="C515" s="375" t="s">
        <v>1971</v>
      </c>
      <c r="D515" s="375" t="s">
        <v>1104</v>
      </c>
      <c r="E515" s="375" t="s">
        <v>1965</v>
      </c>
      <c r="F515" s="375" t="s">
        <v>1106</v>
      </c>
    </row>
    <row r="516" spans="1:6">
      <c r="A516" s="375" t="s">
        <v>1968</v>
      </c>
      <c r="B516" s="375" t="s">
        <v>1496</v>
      </c>
      <c r="C516" s="375" t="s">
        <v>1971</v>
      </c>
      <c r="D516" s="375" t="s">
        <v>1104</v>
      </c>
      <c r="E516" s="375" t="s">
        <v>1966</v>
      </c>
      <c r="F516" s="375" t="s">
        <v>1019</v>
      </c>
    </row>
    <row r="517" spans="1:6">
      <c r="A517" s="375" t="s">
        <v>1968</v>
      </c>
      <c r="B517" s="375" t="s">
        <v>1496</v>
      </c>
      <c r="C517" s="375" t="s">
        <v>1971</v>
      </c>
      <c r="D517" s="375" t="s">
        <v>1104</v>
      </c>
      <c r="E517" s="375" t="s">
        <v>1967</v>
      </c>
      <c r="F517" s="375" t="s">
        <v>1020</v>
      </c>
    </row>
    <row r="518" spans="1:6">
      <c r="A518" s="375" t="s">
        <v>1968</v>
      </c>
      <c r="B518" s="375" t="s">
        <v>1496</v>
      </c>
      <c r="C518" s="375" t="s">
        <v>1971</v>
      </c>
      <c r="D518" s="375" t="s">
        <v>1104</v>
      </c>
      <c r="E518" s="375" t="s">
        <v>1968</v>
      </c>
      <c r="F518" s="375" t="s">
        <v>1021</v>
      </c>
    </row>
    <row r="519" spans="1:6">
      <c r="A519" s="375" t="s">
        <v>1968</v>
      </c>
      <c r="B519" s="375" t="s">
        <v>1496</v>
      </c>
      <c r="C519" s="375" t="s">
        <v>1971</v>
      </c>
      <c r="D519" s="375" t="s">
        <v>1104</v>
      </c>
      <c r="E519" s="375" t="s">
        <v>1969</v>
      </c>
      <c r="F519" s="375" t="s">
        <v>1022</v>
      </c>
    </row>
    <row r="520" spans="1:6">
      <c r="A520" s="375" t="s">
        <v>1968</v>
      </c>
      <c r="B520" s="375" t="s">
        <v>1496</v>
      </c>
      <c r="C520" s="375" t="s">
        <v>1971</v>
      </c>
      <c r="D520" s="375" t="s">
        <v>1104</v>
      </c>
      <c r="E520" s="375" t="s">
        <v>1970</v>
      </c>
      <c r="F520" s="375" t="s">
        <v>1343</v>
      </c>
    </row>
    <row r="521" spans="1:6">
      <c r="A521" s="375" t="s">
        <v>1968</v>
      </c>
      <c r="B521" s="375" t="s">
        <v>1496</v>
      </c>
      <c r="C521" s="375" t="s">
        <v>1971</v>
      </c>
      <c r="D521" s="375" t="s">
        <v>1104</v>
      </c>
      <c r="E521" s="375" t="s">
        <v>1971</v>
      </c>
      <c r="F521" s="375" t="s">
        <v>1344</v>
      </c>
    </row>
    <row r="522" spans="1:6">
      <c r="A522" s="375" t="s">
        <v>1968</v>
      </c>
      <c r="B522" s="375" t="s">
        <v>1496</v>
      </c>
      <c r="C522" s="375" t="s">
        <v>1971</v>
      </c>
      <c r="D522" s="375" t="s">
        <v>1104</v>
      </c>
      <c r="E522" s="375" t="s">
        <v>1972</v>
      </c>
      <c r="F522" s="375" t="s">
        <v>758</v>
      </c>
    </row>
    <row r="523" spans="1:6">
      <c r="A523" s="375" t="s">
        <v>1968</v>
      </c>
      <c r="B523" s="375" t="s">
        <v>1496</v>
      </c>
      <c r="C523" s="375" t="s">
        <v>1971</v>
      </c>
      <c r="D523" s="375" t="s">
        <v>1104</v>
      </c>
      <c r="E523" s="375" t="s">
        <v>1973</v>
      </c>
      <c r="F523" s="375" t="s">
        <v>759</v>
      </c>
    </row>
    <row r="524" spans="1:6">
      <c r="A524" s="375" t="s">
        <v>1968</v>
      </c>
      <c r="B524" s="375" t="s">
        <v>1496</v>
      </c>
      <c r="C524" s="375" t="s">
        <v>1972</v>
      </c>
      <c r="D524" s="375" t="s">
        <v>760</v>
      </c>
      <c r="E524" s="375" t="s">
        <v>1964</v>
      </c>
      <c r="F524" s="375" t="s">
        <v>761</v>
      </c>
    </row>
    <row r="525" spans="1:6">
      <c r="A525" s="375" t="s">
        <v>1968</v>
      </c>
      <c r="B525" s="375" t="s">
        <v>1496</v>
      </c>
      <c r="C525" s="375" t="s">
        <v>1972</v>
      </c>
      <c r="D525" s="375" t="s">
        <v>760</v>
      </c>
      <c r="E525" s="375" t="s">
        <v>1965</v>
      </c>
      <c r="F525" s="375" t="s">
        <v>762</v>
      </c>
    </row>
    <row r="526" spans="1:6">
      <c r="A526" s="375" t="s">
        <v>1968</v>
      </c>
      <c r="B526" s="375" t="s">
        <v>1496</v>
      </c>
      <c r="C526" s="375" t="s">
        <v>1972</v>
      </c>
      <c r="D526" s="375" t="s">
        <v>760</v>
      </c>
      <c r="E526" s="375" t="s">
        <v>1966</v>
      </c>
      <c r="F526" s="375" t="s">
        <v>763</v>
      </c>
    </row>
    <row r="527" spans="1:6">
      <c r="A527" s="375" t="s">
        <v>1968</v>
      </c>
      <c r="B527" s="375" t="s">
        <v>1496</v>
      </c>
      <c r="C527" s="375" t="s">
        <v>1972</v>
      </c>
      <c r="D527" s="375" t="s">
        <v>760</v>
      </c>
      <c r="E527" s="375" t="s">
        <v>1967</v>
      </c>
      <c r="F527" s="375" t="s">
        <v>764</v>
      </c>
    </row>
    <row r="528" spans="1:6">
      <c r="A528" s="375" t="s">
        <v>1968</v>
      </c>
      <c r="B528" s="375" t="s">
        <v>1496</v>
      </c>
      <c r="C528" s="375" t="s">
        <v>1972</v>
      </c>
      <c r="D528" s="375" t="s">
        <v>760</v>
      </c>
      <c r="E528" s="375" t="s">
        <v>1968</v>
      </c>
      <c r="F528" s="375" t="s">
        <v>801</v>
      </c>
    </row>
    <row r="529" spans="1:6">
      <c r="A529" s="375" t="s">
        <v>1968</v>
      </c>
      <c r="B529" s="375" t="s">
        <v>1496</v>
      </c>
      <c r="C529" s="375" t="s">
        <v>1972</v>
      </c>
      <c r="D529" s="375" t="s">
        <v>760</v>
      </c>
      <c r="E529" s="375" t="s">
        <v>1969</v>
      </c>
      <c r="F529" s="375" t="s">
        <v>237</v>
      </c>
    </row>
    <row r="530" spans="1:6">
      <c r="A530" s="375" t="s">
        <v>1968</v>
      </c>
      <c r="B530" s="375" t="s">
        <v>1496</v>
      </c>
      <c r="C530" s="375" t="s">
        <v>1972</v>
      </c>
      <c r="D530" s="375" t="s">
        <v>760</v>
      </c>
      <c r="E530" s="375" t="s">
        <v>1970</v>
      </c>
      <c r="F530" s="375" t="s">
        <v>238</v>
      </c>
    </row>
    <row r="531" spans="1:6">
      <c r="A531" s="375" t="s">
        <v>1968</v>
      </c>
      <c r="B531" s="375" t="s">
        <v>1496</v>
      </c>
      <c r="C531" s="375" t="s">
        <v>1972</v>
      </c>
      <c r="D531" s="375" t="s">
        <v>760</v>
      </c>
      <c r="E531" s="375" t="s">
        <v>1971</v>
      </c>
      <c r="F531" s="375" t="s">
        <v>239</v>
      </c>
    </row>
    <row r="532" spans="1:6">
      <c r="A532" s="375" t="s">
        <v>1968</v>
      </c>
      <c r="B532" s="375" t="s">
        <v>1496</v>
      </c>
      <c r="C532" s="375" t="s">
        <v>1972</v>
      </c>
      <c r="D532" s="375" t="s">
        <v>760</v>
      </c>
      <c r="E532" s="375" t="s">
        <v>1972</v>
      </c>
      <c r="F532" s="375" t="s">
        <v>4416</v>
      </c>
    </row>
    <row r="533" spans="1:6">
      <c r="A533" s="375" t="s">
        <v>1968</v>
      </c>
      <c r="B533" s="375" t="s">
        <v>1496</v>
      </c>
      <c r="C533" s="375" t="s">
        <v>1972</v>
      </c>
      <c r="D533" s="375" t="s">
        <v>760</v>
      </c>
      <c r="E533" s="375" t="s">
        <v>1973</v>
      </c>
      <c r="F533" s="375" t="s">
        <v>2626</v>
      </c>
    </row>
    <row r="534" spans="1:6">
      <c r="A534" s="375" t="s">
        <v>1968</v>
      </c>
      <c r="B534" s="375" t="s">
        <v>1496</v>
      </c>
      <c r="C534" s="375" t="s">
        <v>1972</v>
      </c>
      <c r="D534" s="375" t="s">
        <v>760</v>
      </c>
      <c r="E534" s="375" t="s">
        <v>1974</v>
      </c>
      <c r="F534" s="375" t="s">
        <v>2627</v>
      </c>
    </row>
    <row r="535" spans="1:6">
      <c r="A535" s="375" t="s">
        <v>1968</v>
      </c>
      <c r="B535" s="375" t="s">
        <v>1496</v>
      </c>
      <c r="C535" s="375" t="s">
        <v>1973</v>
      </c>
      <c r="D535" s="375" t="s">
        <v>2628</v>
      </c>
      <c r="E535" s="375" t="s">
        <v>1964</v>
      </c>
      <c r="F535" s="375" t="s">
        <v>2629</v>
      </c>
    </row>
    <row r="536" spans="1:6">
      <c r="A536" s="375" t="s">
        <v>1968</v>
      </c>
      <c r="B536" s="375" t="s">
        <v>1496</v>
      </c>
      <c r="C536" s="375" t="s">
        <v>1973</v>
      </c>
      <c r="D536" s="375" t="s">
        <v>2628</v>
      </c>
      <c r="E536" s="375" t="s">
        <v>1965</v>
      </c>
      <c r="F536" s="375" t="s">
        <v>2630</v>
      </c>
    </row>
    <row r="537" spans="1:6">
      <c r="A537" s="375" t="s">
        <v>1968</v>
      </c>
      <c r="B537" s="375" t="s">
        <v>1496</v>
      </c>
      <c r="C537" s="375" t="s">
        <v>1973</v>
      </c>
      <c r="D537" s="375" t="s">
        <v>2628</v>
      </c>
      <c r="E537" s="375" t="s">
        <v>1966</v>
      </c>
      <c r="F537" s="375" t="s">
        <v>895</v>
      </c>
    </row>
    <row r="538" spans="1:6">
      <c r="A538" s="375" t="s">
        <v>1968</v>
      </c>
      <c r="B538" s="375" t="s">
        <v>1496</v>
      </c>
      <c r="C538" s="375" t="s">
        <v>1973</v>
      </c>
      <c r="D538" s="375" t="s">
        <v>2628</v>
      </c>
      <c r="E538" s="375" t="s">
        <v>1967</v>
      </c>
      <c r="F538" s="375" t="s">
        <v>896</v>
      </c>
    </row>
    <row r="539" spans="1:6">
      <c r="A539" s="375" t="s">
        <v>1968</v>
      </c>
      <c r="B539" s="375" t="s">
        <v>1496</v>
      </c>
      <c r="C539" s="375" t="s">
        <v>1973</v>
      </c>
      <c r="D539" s="375" t="s">
        <v>2628</v>
      </c>
      <c r="E539" s="375" t="s">
        <v>1968</v>
      </c>
      <c r="F539" s="375" t="s">
        <v>897</v>
      </c>
    </row>
    <row r="540" spans="1:6">
      <c r="A540" s="375" t="s">
        <v>1968</v>
      </c>
      <c r="B540" s="375" t="s">
        <v>1496</v>
      </c>
      <c r="C540" s="375" t="s">
        <v>1973</v>
      </c>
      <c r="D540" s="375" t="s">
        <v>2628</v>
      </c>
      <c r="E540" s="375" t="s">
        <v>1969</v>
      </c>
      <c r="F540" s="375" t="s">
        <v>898</v>
      </c>
    </row>
    <row r="541" spans="1:6">
      <c r="A541" s="375" t="s">
        <v>1968</v>
      </c>
      <c r="B541" s="375" t="s">
        <v>1496</v>
      </c>
      <c r="C541" s="375" t="s">
        <v>1973</v>
      </c>
      <c r="D541" s="375" t="s">
        <v>2628</v>
      </c>
      <c r="E541" s="375" t="s">
        <v>1970</v>
      </c>
      <c r="F541" s="375" t="s">
        <v>899</v>
      </c>
    </row>
    <row r="542" spans="1:6">
      <c r="A542" s="375" t="s">
        <v>1968</v>
      </c>
      <c r="B542" s="375" t="s">
        <v>1496</v>
      </c>
      <c r="C542" s="375" t="s">
        <v>1973</v>
      </c>
      <c r="D542" s="375" t="s">
        <v>2628</v>
      </c>
      <c r="E542" s="375" t="s">
        <v>1971</v>
      </c>
      <c r="F542" s="375" t="s">
        <v>900</v>
      </c>
    </row>
    <row r="543" spans="1:6">
      <c r="A543" s="375" t="s">
        <v>1968</v>
      </c>
      <c r="B543" s="375" t="s">
        <v>1496</v>
      </c>
      <c r="C543" s="375" t="s">
        <v>1973</v>
      </c>
      <c r="D543" s="375" t="s">
        <v>2628</v>
      </c>
      <c r="E543" s="375" t="s">
        <v>1972</v>
      </c>
      <c r="F543" s="375" t="s">
        <v>901</v>
      </c>
    </row>
    <row r="544" spans="1:6">
      <c r="A544" s="375" t="s">
        <v>1968</v>
      </c>
      <c r="B544" s="375" t="s">
        <v>1496</v>
      </c>
      <c r="C544" s="375" t="s">
        <v>1973</v>
      </c>
      <c r="D544" s="375" t="s">
        <v>2628</v>
      </c>
      <c r="E544" s="375" t="s">
        <v>1973</v>
      </c>
      <c r="F544" s="375" t="s">
        <v>902</v>
      </c>
    </row>
    <row r="545" spans="1:6">
      <c r="A545" s="375" t="s">
        <v>1968</v>
      </c>
      <c r="B545" s="375" t="s">
        <v>1496</v>
      </c>
      <c r="C545" s="375" t="s">
        <v>1973</v>
      </c>
      <c r="D545" s="375" t="s">
        <v>2628</v>
      </c>
      <c r="E545" s="375" t="s">
        <v>1974</v>
      </c>
      <c r="F545" s="375" t="s">
        <v>903</v>
      </c>
    </row>
    <row r="546" spans="1:6">
      <c r="A546" s="375" t="s">
        <v>1968</v>
      </c>
      <c r="B546" s="375" t="s">
        <v>1496</v>
      </c>
      <c r="C546" s="375" t="s">
        <v>1973</v>
      </c>
      <c r="D546" s="375" t="s">
        <v>2628</v>
      </c>
      <c r="E546" s="375" t="s">
        <v>1975</v>
      </c>
      <c r="F546" s="375" t="s">
        <v>904</v>
      </c>
    </row>
    <row r="547" spans="1:6">
      <c r="A547" s="375" t="s">
        <v>1968</v>
      </c>
      <c r="B547" s="375" t="s">
        <v>1496</v>
      </c>
      <c r="C547" s="375" t="s">
        <v>1974</v>
      </c>
      <c r="D547" s="375" t="s">
        <v>905</v>
      </c>
      <c r="E547" s="375" t="s">
        <v>1964</v>
      </c>
      <c r="F547" s="375" t="s">
        <v>905</v>
      </c>
    </row>
    <row r="548" spans="1:6">
      <c r="A548" s="375" t="s">
        <v>1968</v>
      </c>
      <c r="B548" s="375" t="s">
        <v>1496</v>
      </c>
      <c r="C548" s="375" t="s">
        <v>1974</v>
      </c>
      <c r="D548" s="375" t="s">
        <v>905</v>
      </c>
      <c r="E548" s="375" t="s">
        <v>1965</v>
      </c>
      <c r="F548" s="375" t="s">
        <v>906</v>
      </c>
    </row>
    <row r="549" spans="1:6">
      <c r="A549" s="375" t="s">
        <v>1968</v>
      </c>
      <c r="B549" s="375" t="s">
        <v>1496</v>
      </c>
      <c r="C549" s="375" t="s">
        <v>1974</v>
      </c>
      <c r="D549" s="375" t="s">
        <v>905</v>
      </c>
      <c r="E549" s="375" t="s">
        <v>1966</v>
      </c>
      <c r="F549" s="375" t="s">
        <v>907</v>
      </c>
    </row>
    <row r="550" spans="1:6">
      <c r="A550" s="375" t="s">
        <v>1968</v>
      </c>
      <c r="B550" s="375" t="s">
        <v>1496</v>
      </c>
      <c r="C550" s="375" t="s">
        <v>1974</v>
      </c>
      <c r="D550" s="375" t="s">
        <v>905</v>
      </c>
      <c r="E550" s="375" t="s">
        <v>1967</v>
      </c>
      <c r="F550" s="375" t="s">
        <v>908</v>
      </c>
    </row>
    <row r="551" spans="1:6">
      <c r="A551" s="375" t="s">
        <v>1968</v>
      </c>
      <c r="B551" s="375" t="s">
        <v>1496</v>
      </c>
      <c r="C551" s="375" t="s">
        <v>1974</v>
      </c>
      <c r="D551" s="375" t="s">
        <v>905</v>
      </c>
      <c r="E551" s="375" t="s">
        <v>1968</v>
      </c>
      <c r="F551" s="375" t="s">
        <v>909</v>
      </c>
    </row>
    <row r="552" spans="1:6">
      <c r="A552" s="375" t="s">
        <v>1968</v>
      </c>
      <c r="B552" s="375" t="s">
        <v>1496</v>
      </c>
      <c r="C552" s="375" t="s">
        <v>1974</v>
      </c>
      <c r="D552" s="375" t="s">
        <v>905</v>
      </c>
      <c r="E552" s="375" t="s">
        <v>1969</v>
      </c>
      <c r="F552" s="375" t="s">
        <v>3599</v>
      </c>
    </row>
    <row r="553" spans="1:6">
      <c r="A553" s="375" t="s">
        <v>1968</v>
      </c>
      <c r="B553" s="375" t="s">
        <v>1496</v>
      </c>
      <c r="C553" s="375" t="s">
        <v>1974</v>
      </c>
      <c r="D553" s="375" t="s">
        <v>905</v>
      </c>
      <c r="E553" s="375" t="s">
        <v>1970</v>
      </c>
      <c r="F553" s="375" t="s">
        <v>910</v>
      </c>
    </row>
    <row r="554" spans="1:6">
      <c r="A554" s="375" t="s">
        <v>1968</v>
      </c>
      <c r="B554" s="375" t="s">
        <v>1496</v>
      </c>
      <c r="C554" s="375" t="s">
        <v>1974</v>
      </c>
      <c r="D554" s="375" t="s">
        <v>905</v>
      </c>
      <c r="E554" s="375" t="s">
        <v>1971</v>
      </c>
      <c r="F554" s="375" t="s">
        <v>911</v>
      </c>
    </row>
    <row r="555" spans="1:6">
      <c r="A555" s="375" t="s">
        <v>1969</v>
      </c>
      <c r="B555" s="375" t="s">
        <v>912</v>
      </c>
      <c r="C555" s="375" t="s">
        <v>1964</v>
      </c>
      <c r="D555" s="375" t="s">
        <v>912</v>
      </c>
      <c r="E555" s="375" t="s">
        <v>1964</v>
      </c>
      <c r="F555" s="375" t="s">
        <v>912</v>
      </c>
    </row>
    <row r="556" spans="1:6">
      <c r="A556" s="375" t="s">
        <v>1969</v>
      </c>
      <c r="B556" s="375" t="s">
        <v>912</v>
      </c>
      <c r="C556" s="375" t="s">
        <v>1964</v>
      </c>
      <c r="D556" s="375" t="s">
        <v>912</v>
      </c>
      <c r="E556" s="375" t="s">
        <v>1965</v>
      </c>
      <c r="F556" s="375" t="s">
        <v>576</v>
      </c>
    </row>
    <row r="557" spans="1:6">
      <c r="A557" s="375" t="s">
        <v>1969</v>
      </c>
      <c r="B557" s="375" t="s">
        <v>912</v>
      </c>
      <c r="C557" s="375" t="s">
        <v>1964</v>
      </c>
      <c r="D557" s="375" t="s">
        <v>912</v>
      </c>
      <c r="E557" s="375" t="s">
        <v>1966</v>
      </c>
      <c r="F557" s="375" t="s">
        <v>913</v>
      </c>
    </row>
    <row r="558" spans="1:6">
      <c r="A558" s="375" t="s">
        <v>1969</v>
      </c>
      <c r="B558" s="375" t="s">
        <v>912</v>
      </c>
      <c r="C558" s="375" t="s">
        <v>1964</v>
      </c>
      <c r="D558" s="375" t="s">
        <v>912</v>
      </c>
      <c r="E558" s="375" t="s">
        <v>1967</v>
      </c>
      <c r="F558" s="375" t="s">
        <v>914</v>
      </c>
    </row>
    <row r="559" spans="1:6">
      <c r="A559" s="375" t="s">
        <v>1969</v>
      </c>
      <c r="B559" s="375" t="s">
        <v>912</v>
      </c>
      <c r="C559" s="375" t="s">
        <v>1964</v>
      </c>
      <c r="D559" s="375" t="s">
        <v>912</v>
      </c>
      <c r="E559" s="375" t="s">
        <v>1968</v>
      </c>
      <c r="F559" s="375" t="s">
        <v>802</v>
      </c>
    </row>
    <row r="560" spans="1:6">
      <c r="A560" s="375" t="s">
        <v>1969</v>
      </c>
      <c r="B560" s="375" t="s">
        <v>912</v>
      </c>
      <c r="C560" s="375" t="s">
        <v>1964</v>
      </c>
      <c r="D560" s="375" t="s">
        <v>912</v>
      </c>
      <c r="E560" s="375" t="s">
        <v>1969</v>
      </c>
      <c r="F560" s="375" t="s">
        <v>915</v>
      </c>
    </row>
    <row r="561" spans="1:6">
      <c r="A561" s="375" t="s">
        <v>1969</v>
      </c>
      <c r="B561" s="375" t="s">
        <v>912</v>
      </c>
      <c r="C561" s="375" t="s">
        <v>1964</v>
      </c>
      <c r="D561" s="375" t="s">
        <v>912</v>
      </c>
      <c r="E561" s="375" t="s">
        <v>1970</v>
      </c>
      <c r="F561" s="375" t="s">
        <v>916</v>
      </c>
    </row>
    <row r="562" spans="1:6">
      <c r="A562" s="375" t="s">
        <v>1969</v>
      </c>
      <c r="B562" s="375" t="s">
        <v>912</v>
      </c>
      <c r="C562" s="375" t="s">
        <v>1964</v>
      </c>
      <c r="D562" s="375" t="s">
        <v>912</v>
      </c>
      <c r="E562" s="375" t="s">
        <v>1971</v>
      </c>
      <c r="F562" s="375" t="s">
        <v>1397</v>
      </c>
    </row>
    <row r="563" spans="1:6">
      <c r="A563" s="375" t="s">
        <v>1969</v>
      </c>
      <c r="B563" s="375" t="s">
        <v>912</v>
      </c>
      <c r="C563" s="375" t="s">
        <v>1964</v>
      </c>
      <c r="D563" s="375" t="s">
        <v>912</v>
      </c>
      <c r="E563" s="375" t="s">
        <v>1972</v>
      </c>
      <c r="F563" s="375" t="s">
        <v>962</v>
      </c>
    </row>
    <row r="564" spans="1:6">
      <c r="A564" s="375" t="s">
        <v>1969</v>
      </c>
      <c r="B564" s="375" t="s">
        <v>912</v>
      </c>
      <c r="C564" s="375" t="s">
        <v>1964</v>
      </c>
      <c r="D564" s="375" t="s">
        <v>912</v>
      </c>
      <c r="E564" s="375" t="s">
        <v>1973</v>
      </c>
      <c r="F564" s="375" t="s">
        <v>917</v>
      </c>
    </row>
    <row r="565" spans="1:6">
      <c r="A565" s="375" t="s">
        <v>1969</v>
      </c>
      <c r="B565" s="375" t="s">
        <v>912</v>
      </c>
      <c r="C565" s="375" t="s">
        <v>1964</v>
      </c>
      <c r="D565" s="375" t="s">
        <v>912</v>
      </c>
      <c r="E565" s="375" t="s">
        <v>1974</v>
      </c>
      <c r="F565" s="375" t="s">
        <v>918</v>
      </c>
    </row>
    <row r="566" spans="1:6">
      <c r="A566" s="375" t="s">
        <v>1969</v>
      </c>
      <c r="B566" s="375" t="s">
        <v>912</v>
      </c>
      <c r="C566" s="375" t="s">
        <v>1964</v>
      </c>
      <c r="D566" s="375" t="s">
        <v>912</v>
      </c>
      <c r="E566" s="375" t="s">
        <v>1975</v>
      </c>
      <c r="F566" s="375" t="s">
        <v>1485</v>
      </c>
    </row>
    <row r="567" spans="1:6">
      <c r="A567" s="375" t="s">
        <v>1969</v>
      </c>
      <c r="B567" s="375" t="s">
        <v>912</v>
      </c>
      <c r="C567" s="375" t="s">
        <v>1965</v>
      </c>
      <c r="D567" s="375" t="s">
        <v>919</v>
      </c>
      <c r="E567" s="375" t="s">
        <v>1964</v>
      </c>
      <c r="F567" s="375" t="s">
        <v>919</v>
      </c>
    </row>
    <row r="568" spans="1:6">
      <c r="A568" s="375" t="s">
        <v>1969</v>
      </c>
      <c r="B568" s="375" t="s">
        <v>912</v>
      </c>
      <c r="C568" s="375" t="s">
        <v>1965</v>
      </c>
      <c r="D568" s="375" t="s">
        <v>919</v>
      </c>
      <c r="E568" s="375" t="s">
        <v>1965</v>
      </c>
      <c r="F568" s="375" t="s">
        <v>920</v>
      </c>
    </row>
    <row r="569" spans="1:6">
      <c r="A569" s="375" t="s">
        <v>1969</v>
      </c>
      <c r="B569" s="375" t="s">
        <v>912</v>
      </c>
      <c r="C569" s="375" t="s">
        <v>1965</v>
      </c>
      <c r="D569" s="375" t="s">
        <v>919</v>
      </c>
      <c r="E569" s="375" t="s">
        <v>1966</v>
      </c>
      <c r="F569" s="375" t="s">
        <v>921</v>
      </c>
    </row>
    <row r="570" spans="1:6">
      <c r="A570" s="375" t="s">
        <v>1969</v>
      </c>
      <c r="B570" s="375" t="s">
        <v>912</v>
      </c>
      <c r="C570" s="375" t="s">
        <v>1965</v>
      </c>
      <c r="D570" s="375" t="s">
        <v>919</v>
      </c>
      <c r="E570" s="375" t="s">
        <v>1967</v>
      </c>
      <c r="F570" s="375" t="s">
        <v>922</v>
      </c>
    </row>
    <row r="571" spans="1:6">
      <c r="A571" s="375" t="s">
        <v>1969</v>
      </c>
      <c r="B571" s="375" t="s">
        <v>912</v>
      </c>
      <c r="C571" s="375" t="s">
        <v>1966</v>
      </c>
      <c r="D571" s="375" t="s">
        <v>923</v>
      </c>
      <c r="E571" s="375" t="s">
        <v>1964</v>
      </c>
      <c r="F571" s="375" t="s">
        <v>923</v>
      </c>
    </row>
    <row r="572" spans="1:6">
      <c r="A572" s="375" t="s">
        <v>1969</v>
      </c>
      <c r="B572" s="375" t="s">
        <v>912</v>
      </c>
      <c r="C572" s="375" t="s">
        <v>1966</v>
      </c>
      <c r="D572" s="375" t="s">
        <v>923</v>
      </c>
      <c r="E572" s="375" t="s">
        <v>1965</v>
      </c>
      <c r="F572" s="375" t="s">
        <v>924</v>
      </c>
    </row>
    <row r="573" spans="1:6">
      <c r="A573" s="375" t="s">
        <v>1969</v>
      </c>
      <c r="B573" s="375" t="s">
        <v>912</v>
      </c>
      <c r="C573" s="375" t="s">
        <v>1966</v>
      </c>
      <c r="D573" s="375" t="s">
        <v>923</v>
      </c>
      <c r="E573" s="375" t="s">
        <v>1966</v>
      </c>
      <c r="F573" s="375" t="s">
        <v>925</v>
      </c>
    </row>
    <row r="574" spans="1:6">
      <c r="A574" s="375" t="s">
        <v>1969</v>
      </c>
      <c r="B574" s="375" t="s">
        <v>912</v>
      </c>
      <c r="C574" s="375" t="s">
        <v>1966</v>
      </c>
      <c r="D574" s="375" t="s">
        <v>923</v>
      </c>
      <c r="E574" s="375" t="s">
        <v>1967</v>
      </c>
      <c r="F574" s="375" t="s">
        <v>926</v>
      </c>
    </row>
    <row r="575" spans="1:6">
      <c r="A575" s="375" t="s">
        <v>1969</v>
      </c>
      <c r="B575" s="375" t="s">
        <v>912</v>
      </c>
      <c r="C575" s="375" t="s">
        <v>1966</v>
      </c>
      <c r="D575" s="375" t="s">
        <v>923</v>
      </c>
      <c r="E575" s="375" t="s">
        <v>1968</v>
      </c>
      <c r="F575" s="375" t="s">
        <v>927</v>
      </c>
    </row>
    <row r="576" spans="1:6">
      <c r="A576" s="375" t="s">
        <v>1969</v>
      </c>
      <c r="B576" s="375" t="s">
        <v>912</v>
      </c>
      <c r="C576" s="375" t="s">
        <v>1966</v>
      </c>
      <c r="D576" s="375" t="s">
        <v>923</v>
      </c>
      <c r="E576" s="375" t="s">
        <v>1969</v>
      </c>
      <c r="F576" s="375" t="s">
        <v>928</v>
      </c>
    </row>
    <row r="577" spans="1:6">
      <c r="A577" s="375" t="s">
        <v>1969</v>
      </c>
      <c r="B577" s="375" t="s">
        <v>912</v>
      </c>
      <c r="C577" s="375" t="s">
        <v>1966</v>
      </c>
      <c r="D577" s="375" t="s">
        <v>923</v>
      </c>
      <c r="E577" s="375" t="s">
        <v>1970</v>
      </c>
      <c r="F577" s="375" t="s">
        <v>4139</v>
      </c>
    </row>
    <row r="578" spans="1:6">
      <c r="A578" s="375" t="s">
        <v>1969</v>
      </c>
      <c r="B578" s="375" t="s">
        <v>912</v>
      </c>
      <c r="C578" s="375" t="s">
        <v>1966</v>
      </c>
      <c r="D578" s="375" t="s">
        <v>923</v>
      </c>
      <c r="E578" s="375" t="s">
        <v>1971</v>
      </c>
      <c r="F578" s="375" t="s">
        <v>4140</v>
      </c>
    </row>
    <row r="579" spans="1:6">
      <c r="A579" s="375" t="s">
        <v>1969</v>
      </c>
      <c r="B579" s="375" t="s">
        <v>912</v>
      </c>
      <c r="C579" s="375" t="s">
        <v>1966</v>
      </c>
      <c r="D579" s="375" t="s">
        <v>923</v>
      </c>
      <c r="E579" s="375" t="s">
        <v>1972</v>
      </c>
      <c r="F579" s="375" t="s">
        <v>4141</v>
      </c>
    </row>
    <row r="580" spans="1:6">
      <c r="A580" s="375" t="s">
        <v>1969</v>
      </c>
      <c r="B580" s="375" t="s">
        <v>912</v>
      </c>
      <c r="C580" s="375" t="s">
        <v>1966</v>
      </c>
      <c r="D580" s="375" t="s">
        <v>923</v>
      </c>
      <c r="E580" s="375" t="s">
        <v>1973</v>
      </c>
      <c r="F580" s="375" t="s">
        <v>760</v>
      </c>
    </row>
    <row r="581" spans="1:6">
      <c r="A581" s="375" t="s">
        <v>1969</v>
      </c>
      <c r="B581" s="375" t="s">
        <v>912</v>
      </c>
      <c r="C581" s="375" t="s">
        <v>1966</v>
      </c>
      <c r="D581" s="375" t="s">
        <v>923</v>
      </c>
      <c r="E581" s="375" t="s">
        <v>1974</v>
      </c>
      <c r="F581" s="375" t="s">
        <v>4142</v>
      </c>
    </row>
    <row r="582" spans="1:6">
      <c r="A582" s="375" t="s">
        <v>1969</v>
      </c>
      <c r="B582" s="375" t="s">
        <v>912</v>
      </c>
      <c r="C582" s="375" t="s">
        <v>1966</v>
      </c>
      <c r="D582" s="375" t="s">
        <v>923</v>
      </c>
      <c r="E582" s="375" t="s">
        <v>1975</v>
      </c>
      <c r="F582" s="375" t="s">
        <v>4143</v>
      </c>
    </row>
    <row r="583" spans="1:6">
      <c r="A583" s="375" t="s">
        <v>1969</v>
      </c>
      <c r="B583" s="375" t="s">
        <v>912</v>
      </c>
      <c r="C583" s="375" t="s">
        <v>1967</v>
      </c>
      <c r="D583" s="375" t="s">
        <v>4144</v>
      </c>
      <c r="E583" s="375" t="s">
        <v>1964</v>
      </c>
      <c r="F583" s="375" t="s">
        <v>4144</v>
      </c>
    </row>
    <row r="584" spans="1:6">
      <c r="A584" s="375" t="s">
        <v>1969</v>
      </c>
      <c r="B584" s="375" t="s">
        <v>912</v>
      </c>
      <c r="C584" s="375" t="s">
        <v>1967</v>
      </c>
      <c r="D584" s="375" t="s">
        <v>4144</v>
      </c>
      <c r="E584" s="375" t="s">
        <v>1965</v>
      </c>
      <c r="F584" s="375" t="s">
        <v>4145</v>
      </c>
    </row>
    <row r="585" spans="1:6">
      <c r="A585" s="375" t="s">
        <v>1969</v>
      </c>
      <c r="B585" s="375" t="s">
        <v>912</v>
      </c>
      <c r="C585" s="375" t="s">
        <v>1967</v>
      </c>
      <c r="D585" s="375" t="s">
        <v>4144</v>
      </c>
      <c r="E585" s="375" t="s">
        <v>1966</v>
      </c>
      <c r="F585" s="375" t="s">
        <v>4146</v>
      </c>
    </row>
    <row r="586" spans="1:6">
      <c r="A586" s="375" t="s">
        <v>1969</v>
      </c>
      <c r="B586" s="375" t="s">
        <v>912</v>
      </c>
      <c r="C586" s="375" t="s">
        <v>1967</v>
      </c>
      <c r="D586" s="375" t="s">
        <v>4144</v>
      </c>
      <c r="E586" s="375" t="s">
        <v>1967</v>
      </c>
      <c r="F586" s="375" t="s">
        <v>4147</v>
      </c>
    </row>
    <row r="587" spans="1:6">
      <c r="A587" s="375" t="s">
        <v>1969</v>
      </c>
      <c r="B587" s="375" t="s">
        <v>912</v>
      </c>
      <c r="C587" s="375" t="s">
        <v>1967</v>
      </c>
      <c r="D587" s="375" t="s">
        <v>4144</v>
      </c>
      <c r="E587" s="375" t="s">
        <v>1968</v>
      </c>
      <c r="F587" s="375" t="s">
        <v>831</v>
      </c>
    </row>
    <row r="588" spans="1:6">
      <c r="A588" s="375" t="s">
        <v>1969</v>
      </c>
      <c r="B588" s="375" t="s">
        <v>912</v>
      </c>
      <c r="C588" s="375" t="s">
        <v>1967</v>
      </c>
      <c r="D588" s="375" t="s">
        <v>4144</v>
      </c>
      <c r="E588" s="375" t="s">
        <v>1969</v>
      </c>
      <c r="F588" s="375" t="s">
        <v>832</v>
      </c>
    </row>
    <row r="589" spans="1:6">
      <c r="A589" s="375" t="s">
        <v>1969</v>
      </c>
      <c r="B589" s="375" t="s">
        <v>912</v>
      </c>
      <c r="C589" s="375" t="s">
        <v>1967</v>
      </c>
      <c r="D589" s="375" t="s">
        <v>4144</v>
      </c>
      <c r="E589" s="375" t="s">
        <v>1970</v>
      </c>
      <c r="F589" s="375" t="s">
        <v>51</v>
      </c>
    </row>
    <row r="590" spans="1:6">
      <c r="A590" s="375" t="s">
        <v>1969</v>
      </c>
      <c r="B590" s="375" t="s">
        <v>912</v>
      </c>
      <c r="C590" s="375" t="s">
        <v>1967</v>
      </c>
      <c r="D590" s="375" t="s">
        <v>4144</v>
      </c>
      <c r="E590" s="375" t="s">
        <v>1971</v>
      </c>
      <c r="F590" s="375" t="s">
        <v>833</v>
      </c>
    </row>
    <row r="591" spans="1:6">
      <c r="A591" s="375" t="s">
        <v>1969</v>
      </c>
      <c r="B591" s="375" t="s">
        <v>912</v>
      </c>
      <c r="C591" s="375" t="s">
        <v>1967</v>
      </c>
      <c r="D591" s="375" t="s">
        <v>4144</v>
      </c>
      <c r="E591" s="375" t="s">
        <v>1972</v>
      </c>
      <c r="F591" s="375" t="s">
        <v>834</v>
      </c>
    </row>
    <row r="592" spans="1:6">
      <c r="A592" s="375" t="s">
        <v>1969</v>
      </c>
      <c r="B592" s="375" t="s">
        <v>912</v>
      </c>
      <c r="C592" s="375" t="s">
        <v>1967</v>
      </c>
      <c r="D592" s="375" t="s">
        <v>4144</v>
      </c>
      <c r="E592" s="375" t="s">
        <v>1973</v>
      </c>
      <c r="F592" s="375" t="s">
        <v>835</v>
      </c>
    </row>
    <row r="593" spans="1:6">
      <c r="A593" s="375" t="s">
        <v>1969</v>
      </c>
      <c r="B593" s="375" t="s">
        <v>912</v>
      </c>
      <c r="C593" s="375" t="s">
        <v>1967</v>
      </c>
      <c r="D593" s="375" t="s">
        <v>4144</v>
      </c>
      <c r="E593" s="375" t="s">
        <v>1974</v>
      </c>
      <c r="F593" s="375" t="s">
        <v>4370</v>
      </c>
    </row>
    <row r="594" spans="1:6">
      <c r="A594" s="375" t="s">
        <v>1969</v>
      </c>
      <c r="B594" s="375" t="s">
        <v>912</v>
      </c>
      <c r="C594" s="375" t="s">
        <v>1967</v>
      </c>
      <c r="D594" s="375" t="s">
        <v>4144</v>
      </c>
      <c r="E594" s="375" t="s">
        <v>1975</v>
      </c>
      <c r="F594" s="375" t="s">
        <v>836</v>
      </c>
    </row>
    <row r="595" spans="1:6">
      <c r="A595" s="375" t="s">
        <v>1969</v>
      </c>
      <c r="B595" s="375" t="s">
        <v>912</v>
      </c>
      <c r="C595" s="375" t="s">
        <v>1967</v>
      </c>
      <c r="D595" s="375" t="s">
        <v>4144</v>
      </c>
      <c r="E595" s="375" t="s">
        <v>1976</v>
      </c>
      <c r="F595" s="375" t="s">
        <v>837</v>
      </c>
    </row>
    <row r="596" spans="1:6">
      <c r="A596" s="375" t="s">
        <v>1969</v>
      </c>
      <c r="B596" s="375" t="s">
        <v>912</v>
      </c>
      <c r="C596" s="375" t="s">
        <v>1967</v>
      </c>
      <c r="D596" s="375" t="s">
        <v>4144</v>
      </c>
      <c r="E596" s="375" t="s">
        <v>1977</v>
      </c>
      <c r="F596" s="375" t="s">
        <v>838</v>
      </c>
    </row>
    <row r="597" spans="1:6">
      <c r="A597" s="375" t="s">
        <v>1969</v>
      </c>
      <c r="B597" s="375" t="s">
        <v>912</v>
      </c>
      <c r="C597" s="375" t="s">
        <v>1967</v>
      </c>
      <c r="D597" s="375" t="s">
        <v>4144</v>
      </c>
      <c r="E597" s="375" t="s">
        <v>1978</v>
      </c>
      <c r="F597" s="375" t="s">
        <v>839</v>
      </c>
    </row>
    <row r="598" spans="1:6">
      <c r="A598" s="375" t="s">
        <v>1969</v>
      </c>
      <c r="B598" s="375" t="s">
        <v>912</v>
      </c>
      <c r="C598" s="375" t="s">
        <v>1967</v>
      </c>
      <c r="D598" s="375" t="s">
        <v>4144</v>
      </c>
      <c r="E598" s="375" t="s">
        <v>1979</v>
      </c>
      <c r="F598" s="375" t="s">
        <v>2618</v>
      </c>
    </row>
    <row r="599" spans="1:6">
      <c r="A599" s="375" t="s">
        <v>1969</v>
      </c>
      <c r="B599" s="375" t="s">
        <v>912</v>
      </c>
      <c r="C599" s="375" t="s">
        <v>1967</v>
      </c>
      <c r="D599" s="375" t="s">
        <v>4144</v>
      </c>
      <c r="E599" s="375" t="s">
        <v>1980</v>
      </c>
      <c r="F599" s="375" t="s">
        <v>2108</v>
      </c>
    </row>
    <row r="600" spans="1:6">
      <c r="A600" s="375" t="s">
        <v>1969</v>
      </c>
      <c r="B600" s="375" t="s">
        <v>912</v>
      </c>
      <c r="C600" s="375" t="s">
        <v>1967</v>
      </c>
      <c r="D600" s="375" t="s">
        <v>4144</v>
      </c>
      <c r="E600" s="375" t="s">
        <v>1981</v>
      </c>
      <c r="F600" s="375" t="s">
        <v>2109</v>
      </c>
    </row>
    <row r="601" spans="1:6">
      <c r="A601" s="375" t="s">
        <v>1969</v>
      </c>
      <c r="B601" s="375" t="s">
        <v>912</v>
      </c>
      <c r="C601" s="375" t="s">
        <v>1967</v>
      </c>
      <c r="D601" s="375" t="s">
        <v>4144</v>
      </c>
      <c r="E601" s="375" t="s">
        <v>1982</v>
      </c>
      <c r="F601" s="375" t="s">
        <v>2843</v>
      </c>
    </row>
    <row r="602" spans="1:6">
      <c r="A602" s="375" t="s">
        <v>1969</v>
      </c>
      <c r="B602" s="375" t="s">
        <v>912</v>
      </c>
      <c r="C602" s="375" t="s">
        <v>1968</v>
      </c>
      <c r="D602" s="375" t="s">
        <v>2844</v>
      </c>
      <c r="E602" s="375" t="s">
        <v>1964</v>
      </c>
      <c r="F602" s="375" t="s">
        <v>2844</v>
      </c>
    </row>
    <row r="603" spans="1:6">
      <c r="A603" s="375" t="s">
        <v>1969</v>
      </c>
      <c r="B603" s="375" t="s">
        <v>912</v>
      </c>
      <c r="C603" s="375" t="s">
        <v>1968</v>
      </c>
      <c r="D603" s="375" t="s">
        <v>2844</v>
      </c>
      <c r="E603" s="375" t="s">
        <v>1965</v>
      </c>
      <c r="F603" s="375" t="s">
        <v>2845</v>
      </c>
    </row>
    <row r="604" spans="1:6">
      <c r="A604" s="375" t="s">
        <v>1969</v>
      </c>
      <c r="B604" s="375" t="s">
        <v>912</v>
      </c>
      <c r="C604" s="375" t="s">
        <v>1968</v>
      </c>
      <c r="D604" s="375" t="s">
        <v>2844</v>
      </c>
      <c r="E604" s="375" t="s">
        <v>1966</v>
      </c>
      <c r="F604" s="375" t="s">
        <v>2846</v>
      </c>
    </row>
    <row r="605" spans="1:6">
      <c r="A605" s="375" t="s">
        <v>1969</v>
      </c>
      <c r="B605" s="375" t="s">
        <v>912</v>
      </c>
      <c r="C605" s="375" t="s">
        <v>1968</v>
      </c>
      <c r="D605" s="375" t="s">
        <v>2844</v>
      </c>
      <c r="E605" s="375" t="s">
        <v>1967</v>
      </c>
      <c r="F605" s="375" t="s">
        <v>2847</v>
      </c>
    </row>
    <row r="606" spans="1:6">
      <c r="A606" s="375" t="s">
        <v>1969</v>
      </c>
      <c r="B606" s="375" t="s">
        <v>912</v>
      </c>
      <c r="C606" s="375" t="s">
        <v>1968</v>
      </c>
      <c r="D606" s="375" t="s">
        <v>2844</v>
      </c>
      <c r="E606" s="375" t="s">
        <v>1968</v>
      </c>
      <c r="F606" s="375" t="s">
        <v>2848</v>
      </c>
    </row>
    <row r="607" spans="1:6">
      <c r="A607" s="375" t="s">
        <v>1969</v>
      </c>
      <c r="B607" s="375" t="s">
        <v>912</v>
      </c>
      <c r="C607" s="375" t="s">
        <v>1968</v>
      </c>
      <c r="D607" s="375" t="s">
        <v>2844</v>
      </c>
      <c r="E607" s="375" t="s">
        <v>1969</v>
      </c>
      <c r="F607" s="375" t="s">
        <v>2849</v>
      </c>
    </row>
    <row r="608" spans="1:6">
      <c r="A608" s="375" t="s">
        <v>1969</v>
      </c>
      <c r="B608" s="375" t="s">
        <v>912</v>
      </c>
      <c r="C608" s="375" t="s">
        <v>1968</v>
      </c>
      <c r="D608" s="375" t="s">
        <v>2844</v>
      </c>
      <c r="E608" s="375" t="s">
        <v>1970</v>
      </c>
      <c r="F608" s="375" t="s">
        <v>2640</v>
      </c>
    </row>
    <row r="609" spans="1:6">
      <c r="A609" s="375" t="s">
        <v>1969</v>
      </c>
      <c r="B609" s="375" t="s">
        <v>912</v>
      </c>
      <c r="C609" s="375" t="s">
        <v>1968</v>
      </c>
      <c r="D609" s="375" t="s">
        <v>2844</v>
      </c>
      <c r="E609" s="375" t="s">
        <v>1971</v>
      </c>
      <c r="F609" s="375" t="s">
        <v>2641</v>
      </c>
    </row>
    <row r="610" spans="1:6">
      <c r="A610" s="375" t="s">
        <v>1969</v>
      </c>
      <c r="B610" s="375" t="s">
        <v>912</v>
      </c>
      <c r="C610" s="375" t="s">
        <v>1969</v>
      </c>
      <c r="D610" s="375" t="s">
        <v>2642</v>
      </c>
      <c r="E610" s="375" t="s">
        <v>1964</v>
      </c>
      <c r="F610" s="375" t="s">
        <v>2642</v>
      </c>
    </row>
    <row r="611" spans="1:6">
      <c r="A611" s="375" t="s">
        <v>1969</v>
      </c>
      <c r="B611" s="375" t="s">
        <v>912</v>
      </c>
      <c r="C611" s="375" t="s">
        <v>1969</v>
      </c>
      <c r="D611" s="375" t="s">
        <v>2642</v>
      </c>
      <c r="E611" s="375" t="s">
        <v>1965</v>
      </c>
      <c r="F611" s="375" t="s">
        <v>2643</v>
      </c>
    </row>
    <row r="612" spans="1:6">
      <c r="A612" s="375" t="s">
        <v>1969</v>
      </c>
      <c r="B612" s="375" t="s">
        <v>912</v>
      </c>
      <c r="C612" s="375" t="s">
        <v>1969</v>
      </c>
      <c r="D612" s="375" t="s">
        <v>2642</v>
      </c>
      <c r="E612" s="375" t="s">
        <v>1966</v>
      </c>
      <c r="F612" s="375" t="s">
        <v>2644</v>
      </c>
    </row>
    <row r="613" spans="1:6">
      <c r="A613" s="375" t="s">
        <v>1969</v>
      </c>
      <c r="B613" s="375" t="s">
        <v>912</v>
      </c>
      <c r="C613" s="375" t="s">
        <v>1969</v>
      </c>
      <c r="D613" s="375" t="s">
        <v>2642</v>
      </c>
      <c r="E613" s="375" t="s">
        <v>1967</v>
      </c>
      <c r="F613" s="375" t="s">
        <v>2645</v>
      </c>
    </row>
    <row r="614" spans="1:6">
      <c r="A614" s="375" t="s">
        <v>1969</v>
      </c>
      <c r="B614" s="375" t="s">
        <v>912</v>
      </c>
      <c r="C614" s="375" t="s">
        <v>1969</v>
      </c>
      <c r="D614" s="375" t="s">
        <v>2642</v>
      </c>
      <c r="E614" s="375" t="s">
        <v>1968</v>
      </c>
      <c r="F614" s="375" t="s">
        <v>2646</v>
      </c>
    </row>
    <row r="615" spans="1:6">
      <c r="A615" s="375" t="s">
        <v>1969</v>
      </c>
      <c r="B615" s="375" t="s">
        <v>912</v>
      </c>
      <c r="C615" s="375" t="s">
        <v>1969</v>
      </c>
      <c r="D615" s="375" t="s">
        <v>2642</v>
      </c>
      <c r="E615" s="375" t="s">
        <v>1969</v>
      </c>
      <c r="F615" s="375" t="s">
        <v>2647</v>
      </c>
    </row>
    <row r="616" spans="1:6">
      <c r="A616" s="375" t="s">
        <v>1969</v>
      </c>
      <c r="B616" s="375" t="s">
        <v>912</v>
      </c>
      <c r="C616" s="375" t="s">
        <v>1969</v>
      </c>
      <c r="D616" s="375" t="s">
        <v>2642</v>
      </c>
      <c r="E616" s="375" t="s">
        <v>1970</v>
      </c>
      <c r="F616" s="375" t="s">
        <v>2648</v>
      </c>
    </row>
    <row r="617" spans="1:6">
      <c r="A617" s="375" t="s">
        <v>1969</v>
      </c>
      <c r="B617" s="375" t="s">
        <v>912</v>
      </c>
      <c r="C617" s="375" t="s">
        <v>1969</v>
      </c>
      <c r="D617" s="375" t="s">
        <v>2642</v>
      </c>
      <c r="E617" s="375" t="s">
        <v>1971</v>
      </c>
      <c r="F617" s="375" t="s">
        <v>2649</v>
      </c>
    </row>
    <row r="618" spans="1:6">
      <c r="A618" s="375" t="s">
        <v>1969</v>
      </c>
      <c r="B618" s="375" t="s">
        <v>912</v>
      </c>
      <c r="C618" s="375" t="s">
        <v>1969</v>
      </c>
      <c r="D618" s="375" t="s">
        <v>2642</v>
      </c>
      <c r="E618" s="375" t="s">
        <v>1972</v>
      </c>
      <c r="F618" s="375" t="s">
        <v>1345</v>
      </c>
    </row>
    <row r="619" spans="1:6">
      <c r="A619" s="375" t="s">
        <v>1969</v>
      </c>
      <c r="B619" s="375" t="s">
        <v>912</v>
      </c>
      <c r="C619" s="375" t="s">
        <v>1969</v>
      </c>
      <c r="D619" s="375" t="s">
        <v>2642</v>
      </c>
      <c r="E619" s="375" t="s">
        <v>1973</v>
      </c>
      <c r="F619" s="375" t="s">
        <v>2295</v>
      </c>
    </row>
    <row r="620" spans="1:6">
      <c r="A620" s="375" t="s">
        <v>1969</v>
      </c>
      <c r="B620" s="375" t="s">
        <v>912</v>
      </c>
      <c r="C620" s="375" t="s">
        <v>1969</v>
      </c>
      <c r="D620" s="375" t="s">
        <v>2642</v>
      </c>
      <c r="E620" s="375" t="s">
        <v>1974</v>
      </c>
      <c r="F620" s="375" t="s">
        <v>1160</v>
      </c>
    </row>
    <row r="621" spans="1:6">
      <c r="A621" s="375" t="s">
        <v>1969</v>
      </c>
      <c r="B621" s="375" t="s">
        <v>912</v>
      </c>
      <c r="C621" s="375" t="s">
        <v>1969</v>
      </c>
      <c r="D621" s="375" t="s">
        <v>2642</v>
      </c>
      <c r="E621" s="375" t="s">
        <v>1975</v>
      </c>
      <c r="F621" s="375" t="s">
        <v>2296</v>
      </c>
    </row>
    <row r="622" spans="1:6">
      <c r="A622" s="375" t="s">
        <v>1969</v>
      </c>
      <c r="B622" s="375" t="s">
        <v>912</v>
      </c>
      <c r="C622" s="375" t="s">
        <v>1969</v>
      </c>
      <c r="D622" s="375" t="s">
        <v>2642</v>
      </c>
      <c r="E622" s="375" t="s">
        <v>1976</v>
      </c>
      <c r="F622" s="375" t="s">
        <v>2810</v>
      </c>
    </row>
    <row r="623" spans="1:6">
      <c r="A623" s="375" t="s">
        <v>1969</v>
      </c>
      <c r="B623" s="375" t="s">
        <v>912</v>
      </c>
      <c r="C623" s="375" t="s">
        <v>1969</v>
      </c>
      <c r="D623" s="375" t="s">
        <v>2642</v>
      </c>
      <c r="E623" s="375" t="s">
        <v>1977</v>
      </c>
      <c r="F623" s="375" t="s">
        <v>2297</v>
      </c>
    </row>
    <row r="624" spans="1:6">
      <c r="A624" s="375" t="s">
        <v>1969</v>
      </c>
      <c r="B624" s="375" t="s">
        <v>912</v>
      </c>
      <c r="C624" s="375" t="s">
        <v>1969</v>
      </c>
      <c r="D624" s="375" t="s">
        <v>2642</v>
      </c>
      <c r="E624" s="375" t="s">
        <v>1978</v>
      </c>
      <c r="F624" s="375" t="s">
        <v>2298</v>
      </c>
    </row>
    <row r="625" spans="1:6">
      <c r="A625" s="375" t="s">
        <v>1969</v>
      </c>
      <c r="B625" s="375" t="s">
        <v>912</v>
      </c>
      <c r="C625" s="375" t="s">
        <v>1970</v>
      </c>
      <c r="D625" s="375" t="s">
        <v>2299</v>
      </c>
      <c r="E625" s="375" t="s">
        <v>1964</v>
      </c>
      <c r="F625" s="375" t="s">
        <v>2300</v>
      </c>
    </row>
    <row r="626" spans="1:6">
      <c r="A626" s="375" t="s">
        <v>1969</v>
      </c>
      <c r="B626" s="375" t="s">
        <v>912</v>
      </c>
      <c r="C626" s="375" t="s">
        <v>1970</v>
      </c>
      <c r="D626" s="375" t="s">
        <v>2299</v>
      </c>
      <c r="E626" s="375" t="s">
        <v>1965</v>
      </c>
      <c r="F626" s="375" t="s">
        <v>2301</v>
      </c>
    </row>
    <row r="627" spans="1:6">
      <c r="A627" s="375" t="s">
        <v>1969</v>
      </c>
      <c r="B627" s="375" t="s">
        <v>912</v>
      </c>
      <c r="C627" s="375" t="s">
        <v>1970</v>
      </c>
      <c r="D627" s="375" t="s">
        <v>2299</v>
      </c>
      <c r="E627" s="375" t="s">
        <v>1966</v>
      </c>
      <c r="F627" s="375" t="s">
        <v>2299</v>
      </c>
    </row>
    <row r="628" spans="1:6">
      <c r="A628" s="375" t="s">
        <v>1969</v>
      </c>
      <c r="B628" s="375" t="s">
        <v>912</v>
      </c>
      <c r="C628" s="375" t="s">
        <v>1971</v>
      </c>
      <c r="D628" s="375" t="s">
        <v>2302</v>
      </c>
      <c r="E628" s="375" t="s">
        <v>1964</v>
      </c>
      <c r="F628" s="375" t="s">
        <v>2302</v>
      </c>
    </row>
    <row r="629" spans="1:6">
      <c r="A629" s="375" t="s">
        <v>1969</v>
      </c>
      <c r="B629" s="375" t="s">
        <v>912</v>
      </c>
      <c r="C629" s="375" t="s">
        <v>1971</v>
      </c>
      <c r="D629" s="375" t="s">
        <v>2302</v>
      </c>
      <c r="E629" s="375" t="s">
        <v>1965</v>
      </c>
      <c r="F629" s="375" t="s">
        <v>2303</v>
      </c>
    </row>
    <row r="630" spans="1:6">
      <c r="A630" s="375" t="s">
        <v>1969</v>
      </c>
      <c r="B630" s="375" t="s">
        <v>912</v>
      </c>
      <c r="C630" s="375" t="s">
        <v>1971</v>
      </c>
      <c r="D630" s="375" t="s">
        <v>2302</v>
      </c>
      <c r="E630" s="375" t="s">
        <v>1966</v>
      </c>
      <c r="F630" s="375" t="s">
        <v>2304</v>
      </c>
    </row>
    <row r="631" spans="1:6">
      <c r="A631" s="375" t="s">
        <v>1969</v>
      </c>
      <c r="B631" s="375" t="s">
        <v>912</v>
      </c>
      <c r="C631" s="375" t="s">
        <v>1971</v>
      </c>
      <c r="D631" s="375" t="s">
        <v>2302</v>
      </c>
      <c r="E631" s="375" t="s">
        <v>1967</v>
      </c>
      <c r="F631" s="375" t="s">
        <v>2309</v>
      </c>
    </row>
    <row r="632" spans="1:6">
      <c r="A632" s="375" t="s">
        <v>1969</v>
      </c>
      <c r="B632" s="375" t="s">
        <v>912</v>
      </c>
      <c r="C632" s="375" t="s">
        <v>1971</v>
      </c>
      <c r="D632" s="375" t="s">
        <v>2302</v>
      </c>
      <c r="E632" s="375" t="s">
        <v>1968</v>
      </c>
      <c r="F632" s="375" t="s">
        <v>2310</v>
      </c>
    </row>
    <row r="633" spans="1:6">
      <c r="A633" s="375" t="s">
        <v>1969</v>
      </c>
      <c r="B633" s="375" t="s">
        <v>912</v>
      </c>
      <c r="C633" s="375" t="s">
        <v>1971</v>
      </c>
      <c r="D633" s="375" t="s">
        <v>2302</v>
      </c>
      <c r="E633" s="375" t="s">
        <v>1969</v>
      </c>
      <c r="F633" s="375" t="s">
        <v>3773</v>
      </c>
    </row>
    <row r="634" spans="1:6">
      <c r="A634" s="375" t="s">
        <v>1969</v>
      </c>
      <c r="B634" s="375" t="s">
        <v>912</v>
      </c>
      <c r="C634" s="375" t="s">
        <v>1971</v>
      </c>
      <c r="D634" s="375" t="s">
        <v>2302</v>
      </c>
      <c r="E634" s="375" t="s">
        <v>1970</v>
      </c>
      <c r="F634" s="375" t="s">
        <v>3774</v>
      </c>
    </row>
    <row r="635" spans="1:6">
      <c r="A635" s="375" t="s">
        <v>1969</v>
      </c>
      <c r="B635" s="375" t="s">
        <v>912</v>
      </c>
      <c r="C635" s="375" t="s">
        <v>1971</v>
      </c>
      <c r="D635" s="375" t="s">
        <v>2302</v>
      </c>
      <c r="E635" s="375" t="s">
        <v>1971</v>
      </c>
      <c r="F635" s="375" t="s">
        <v>3775</v>
      </c>
    </row>
    <row r="636" spans="1:6">
      <c r="A636" s="375" t="s">
        <v>1969</v>
      </c>
      <c r="B636" s="375" t="s">
        <v>912</v>
      </c>
      <c r="C636" s="375" t="s">
        <v>1971</v>
      </c>
      <c r="D636" s="375" t="s">
        <v>2302</v>
      </c>
      <c r="E636" s="375" t="s">
        <v>1972</v>
      </c>
      <c r="F636" s="375" t="s">
        <v>3776</v>
      </c>
    </row>
    <row r="637" spans="1:6">
      <c r="A637" s="375" t="s">
        <v>1969</v>
      </c>
      <c r="B637" s="375" t="s">
        <v>912</v>
      </c>
      <c r="C637" s="375" t="s">
        <v>1971</v>
      </c>
      <c r="D637" s="375" t="s">
        <v>2302</v>
      </c>
      <c r="E637" s="375" t="s">
        <v>1973</v>
      </c>
      <c r="F637" s="375" t="s">
        <v>3777</v>
      </c>
    </row>
    <row r="638" spans="1:6">
      <c r="A638" s="375" t="s">
        <v>1969</v>
      </c>
      <c r="B638" s="375" t="s">
        <v>912</v>
      </c>
      <c r="C638" s="375" t="s">
        <v>1971</v>
      </c>
      <c r="D638" s="375" t="s">
        <v>2302</v>
      </c>
      <c r="E638" s="375" t="s">
        <v>1974</v>
      </c>
      <c r="F638" s="375" t="s">
        <v>3778</v>
      </c>
    </row>
    <row r="639" spans="1:6">
      <c r="A639" s="375" t="s">
        <v>1969</v>
      </c>
      <c r="B639" s="375" t="s">
        <v>912</v>
      </c>
      <c r="C639" s="375" t="s">
        <v>1971</v>
      </c>
      <c r="D639" s="375" t="s">
        <v>2302</v>
      </c>
      <c r="E639" s="375" t="s">
        <v>1975</v>
      </c>
      <c r="F639" s="375" t="s">
        <v>559</v>
      </c>
    </row>
    <row r="640" spans="1:6">
      <c r="A640" s="375" t="s">
        <v>1969</v>
      </c>
      <c r="B640" s="375" t="s">
        <v>912</v>
      </c>
      <c r="C640" s="375" t="s">
        <v>1972</v>
      </c>
      <c r="D640" s="375" t="s">
        <v>3779</v>
      </c>
      <c r="E640" s="375" t="s">
        <v>1964</v>
      </c>
      <c r="F640" s="375" t="s">
        <v>3779</v>
      </c>
    </row>
    <row r="641" spans="1:6">
      <c r="A641" s="375" t="s">
        <v>1969</v>
      </c>
      <c r="B641" s="375" t="s">
        <v>912</v>
      </c>
      <c r="C641" s="375" t="s">
        <v>1972</v>
      </c>
      <c r="D641" s="375" t="s">
        <v>3779</v>
      </c>
      <c r="E641" s="375" t="s">
        <v>1965</v>
      </c>
      <c r="F641" s="375" t="s">
        <v>3780</v>
      </c>
    </row>
    <row r="642" spans="1:6">
      <c r="A642" s="375" t="s">
        <v>1969</v>
      </c>
      <c r="B642" s="375" t="s">
        <v>912</v>
      </c>
      <c r="C642" s="375" t="s">
        <v>1972</v>
      </c>
      <c r="D642" s="375" t="s">
        <v>3779</v>
      </c>
      <c r="E642" s="375" t="s">
        <v>1966</v>
      </c>
      <c r="F642" s="375" t="s">
        <v>3781</v>
      </c>
    </row>
    <row r="643" spans="1:6">
      <c r="A643" s="375" t="s">
        <v>1969</v>
      </c>
      <c r="B643" s="375" t="s">
        <v>912</v>
      </c>
      <c r="C643" s="375" t="s">
        <v>1972</v>
      </c>
      <c r="D643" s="375" t="s">
        <v>3779</v>
      </c>
      <c r="E643" s="375" t="s">
        <v>1967</v>
      </c>
      <c r="F643" s="375" t="s">
        <v>3782</v>
      </c>
    </row>
    <row r="644" spans="1:6">
      <c r="A644" s="375" t="s">
        <v>1969</v>
      </c>
      <c r="B644" s="375" t="s">
        <v>912</v>
      </c>
      <c r="C644" s="375" t="s">
        <v>1972</v>
      </c>
      <c r="D644" s="375" t="s">
        <v>3779</v>
      </c>
      <c r="E644" s="375" t="s">
        <v>1968</v>
      </c>
      <c r="F644" s="375" t="s">
        <v>3783</v>
      </c>
    </row>
    <row r="645" spans="1:6">
      <c r="A645" s="375" t="s">
        <v>1969</v>
      </c>
      <c r="B645" s="375" t="s">
        <v>912</v>
      </c>
      <c r="C645" s="375" t="s">
        <v>1972</v>
      </c>
      <c r="D645" s="375" t="s">
        <v>3779</v>
      </c>
      <c r="E645" s="375" t="s">
        <v>1969</v>
      </c>
      <c r="F645" s="375" t="s">
        <v>1601</v>
      </c>
    </row>
    <row r="646" spans="1:6">
      <c r="A646" s="375" t="s">
        <v>1969</v>
      </c>
      <c r="B646" s="375" t="s">
        <v>912</v>
      </c>
      <c r="C646" s="375" t="s">
        <v>1972</v>
      </c>
      <c r="D646" s="375" t="s">
        <v>3779</v>
      </c>
      <c r="E646" s="375" t="s">
        <v>1970</v>
      </c>
      <c r="F646" s="375" t="s">
        <v>1602</v>
      </c>
    </row>
    <row r="647" spans="1:6">
      <c r="A647" s="375" t="s">
        <v>1969</v>
      </c>
      <c r="B647" s="375" t="s">
        <v>912</v>
      </c>
      <c r="C647" s="375" t="s">
        <v>1973</v>
      </c>
      <c r="D647" s="375" t="s">
        <v>1603</v>
      </c>
      <c r="E647" s="375" t="s">
        <v>1964</v>
      </c>
      <c r="F647" s="375" t="s">
        <v>1603</v>
      </c>
    </row>
    <row r="648" spans="1:6">
      <c r="A648" s="375" t="s">
        <v>1969</v>
      </c>
      <c r="B648" s="375" t="s">
        <v>912</v>
      </c>
      <c r="C648" s="375" t="s">
        <v>1973</v>
      </c>
      <c r="D648" s="375" t="s">
        <v>1603</v>
      </c>
      <c r="E648" s="375" t="s">
        <v>1965</v>
      </c>
      <c r="F648" s="375" t="s">
        <v>1604</v>
      </c>
    </row>
    <row r="649" spans="1:6">
      <c r="A649" s="375" t="s">
        <v>1969</v>
      </c>
      <c r="B649" s="375" t="s">
        <v>912</v>
      </c>
      <c r="C649" s="375" t="s">
        <v>1973</v>
      </c>
      <c r="D649" s="375" t="s">
        <v>1603</v>
      </c>
      <c r="E649" s="375" t="s">
        <v>1966</v>
      </c>
      <c r="F649" s="375" t="s">
        <v>3587</v>
      </c>
    </row>
    <row r="650" spans="1:6">
      <c r="A650" s="375" t="s">
        <v>1969</v>
      </c>
      <c r="B650" s="375" t="s">
        <v>912</v>
      </c>
      <c r="C650" s="375" t="s">
        <v>1973</v>
      </c>
      <c r="D650" s="375" t="s">
        <v>1603</v>
      </c>
      <c r="E650" s="375" t="s">
        <v>1967</v>
      </c>
      <c r="F650" s="375" t="s">
        <v>3588</v>
      </c>
    </row>
    <row r="651" spans="1:6">
      <c r="A651" s="375" t="s">
        <v>1969</v>
      </c>
      <c r="B651" s="375" t="s">
        <v>912</v>
      </c>
      <c r="C651" s="375" t="s">
        <v>1973</v>
      </c>
      <c r="D651" s="375" t="s">
        <v>1603</v>
      </c>
      <c r="E651" s="375" t="s">
        <v>1968</v>
      </c>
      <c r="F651" s="375" t="s">
        <v>3589</v>
      </c>
    </row>
    <row r="652" spans="1:6">
      <c r="A652" s="375" t="s">
        <v>1969</v>
      </c>
      <c r="B652" s="375" t="s">
        <v>912</v>
      </c>
      <c r="C652" s="375" t="s">
        <v>1973</v>
      </c>
      <c r="D652" s="375" t="s">
        <v>1603</v>
      </c>
      <c r="E652" s="375" t="s">
        <v>1969</v>
      </c>
      <c r="F652" s="375" t="s">
        <v>3590</v>
      </c>
    </row>
    <row r="653" spans="1:6">
      <c r="A653" s="375" t="s">
        <v>1969</v>
      </c>
      <c r="B653" s="375" t="s">
        <v>912</v>
      </c>
      <c r="C653" s="375" t="s">
        <v>1973</v>
      </c>
      <c r="D653" s="375" t="s">
        <v>1603</v>
      </c>
      <c r="E653" s="375" t="s">
        <v>1970</v>
      </c>
      <c r="F653" s="375" t="s">
        <v>3591</v>
      </c>
    </row>
    <row r="654" spans="1:6">
      <c r="A654" s="375" t="s">
        <v>1969</v>
      </c>
      <c r="B654" s="375" t="s">
        <v>912</v>
      </c>
      <c r="C654" s="375" t="s">
        <v>1974</v>
      </c>
      <c r="D654" s="375" t="s">
        <v>720</v>
      </c>
      <c r="E654" s="375" t="s">
        <v>1964</v>
      </c>
      <c r="F654" s="375" t="s">
        <v>720</v>
      </c>
    </row>
    <row r="655" spans="1:6">
      <c r="A655" s="375" t="s">
        <v>1969</v>
      </c>
      <c r="B655" s="375" t="s">
        <v>912</v>
      </c>
      <c r="C655" s="375" t="s">
        <v>1974</v>
      </c>
      <c r="D655" s="375" t="s">
        <v>720</v>
      </c>
      <c r="E655" s="375" t="s">
        <v>1965</v>
      </c>
      <c r="F655" s="375" t="s">
        <v>3592</v>
      </c>
    </row>
    <row r="656" spans="1:6">
      <c r="A656" s="375" t="s">
        <v>1969</v>
      </c>
      <c r="B656" s="375" t="s">
        <v>912</v>
      </c>
      <c r="C656" s="375" t="s">
        <v>1974</v>
      </c>
      <c r="D656" s="375" t="s">
        <v>720</v>
      </c>
      <c r="E656" s="375" t="s">
        <v>1966</v>
      </c>
      <c r="F656" s="375" t="s">
        <v>3593</v>
      </c>
    </row>
    <row r="657" spans="1:6">
      <c r="A657" s="375" t="s">
        <v>1969</v>
      </c>
      <c r="B657" s="375" t="s">
        <v>912</v>
      </c>
      <c r="C657" s="375" t="s">
        <v>1974</v>
      </c>
      <c r="D657" s="375" t="s">
        <v>720</v>
      </c>
      <c r="E657" s="375" t="s">
        <v>1967</v>
      </c>
      <c r="F657" s="375" t="s">
        <v>3594</v>
      </c>
    </row>
    <row r="658" spans="1:6">
      <c r="A658" s="375" t="s">
        <v>1969</v>
      </c>
      <c r="B658" s="375" t="s">
        <v>912</v>
      </c>
      <c r="C658" s="375" t="s">
        <v>1974</v>
      </c>
      <c r="D658" s="375" t="s">
        <v>720</v>
      </c>
      <c r="E658" s="375" t="s">
        <v>1968</v>
      </c>
      <c r="F658" s="375" t="s">
        <v>3595</v>
      </c>
    </row>
    <row r="659" spans="1:6">
      <c r="A659" s="375" t="s">
        <v>1969</v>
      </c>
      <c r="B659" s="375" t="s">
        <v>912</v>
      </c>
      <c r="C659" s="375" t="s">
        <v>1974</v>
      </c>
      <c r="D659" s="375" t="s">
        <v>720</v>
      </c>
      <c r="E659" s="375" t="s">
        <v>1969</v>
      </c>
      <c r="F659" s="375" t="s">
        <v>2890</v>
      </c>
    </row>
    <row r="660" spans="1:6">
      <c r="A660" s="375" t="s">
        <v>1969</v>
      </c>
      <c r="B660" s="375" t="s">
        <v>912</v>
      </c>
      <c r="C660" s="375" t="s">
        <v>1974</v>
      </c>
      <c r="D660" s="375" t="s">
        <v>720</v>
      </c>
      <c r="E660" s="375" t="s">
        <v>1970</v>
      </c>
      <c r="F660" s="375" t="s">
        <v>2891</v>
      </c>
    </row>
    <row r="661" spans="1:6">
      <c r="A661" s="375" t="s">
        <v>1969</v>
      </c>
      <c r="B661" s="375" t="s">
        <v>912</v>
      </c>
      <c r="C661" s="375" t="s">
        <v>1974</v>
      </c>
      <c r="D661" s="375" t="s">
        <v>720</v>
      </c>
      <c r="E661" s="375" t="s">
        <v>1971</v>
      </c>
      <c r="F661" s="375" t="s">
        <v>2892</v>
      </c>
    </row>
    <row r="662" spans="1:6">
      <c r="A662" s="375" t="s">
        <v>1969</v>
      </c>
      <c r="B662" s="375" t="s">
        <v>912</v>
      </c>
      <c r="C662" s="375" t="s">
        <v>1974</v>
      </c>
      <c r="D662" s="375" t="s">
        <v>720</v>
      </c>
      <c r="E662" s="375" t="s">
        <v>1972</v>
      </c>
      <c r="F662" s="375" t="s">
        <v>258</v>
      </c>
    </row>
    <row r="663" spans="1:6">
      <c r="A663" s="375" t="s">
        <v>1969</v>
      </c>
      <c r="B663" s="375" t="s">
        <v>912</v>
      </c>
      <c r="C663" s="375" t="s">
        <v>1974</v>
      </c>
      <c r="D663" s="375" t="s">
        <v>720</v>
      </c>
      <c r="E663" s="375" t="s">
        <v>1973</v>
      </c>
      <c r="F663" s="375" t="s">
        <v>259</v>
      </c>
    </row>
    <row r="664" spans="1:6">
      <c r="A664" s="375" t="s">
        <v>1969</v>
      </c>
      <c r="B664" s="375" t="s">
        <v>912</v>
      </c>
      <c r="C664" s="375" t="s">
        <v>1974</v>
      </c>
      <c r="D664" s="375" t="s">
        <v>720</v>
      </c>
      <c r="E664" s="375" t="s">
        <v>1974</v>
      </c>
      <c r="F664" s="375" t="s">
        <v>2107</v>
      </c>
    </row>
    <row r="665" spans="1:6">
      <c r="A665" s="375" t="s">
        <v>1969</v>
      </c>
      <c r="B665" s="375" t="s">
        <v>912</v>
      </c>
      <c r="C665" s="375" t="s">
        <v>1974</v>
      </c>
      <c r="D665" s="375" t="s">
        <v>720</v>
      </c>
      <c r="E665" s="375" t="s">
        <v>1975</v>
      </c>
      <c r="F665" s="375" t="s">
        <v>242</v>
      </c>
    </row>
    <row r="666" spans="1:6">
      <c r="A666" s="375" t="s">
        <v>1969</v>
      </c>
      <c r="B666" s="375" t="s">
        <v>912</v>
      </c>
      <c r="C666" s="375" t="s">
        <v>1974</v>
      </c>
      <c r="D666" s="375" t="s">
        <v>720</v>
      </c>
      <c r="E666" s="375" t="s">
        <v>1976</v>
      </c>
      <c r="F666" s="375" t="s">
        <v>243</v>
      </c>
    </row>
    <row r="667" spans="1:6">
      <c r="A667" s="375" t="s">
        <v>1969</v>
      </c>
      <c r="B667" s="375" t="s">
        <v>912</v>
      </c>
      <c r="C667" s="375" t="s">
        <v>1975</v>
      </c>
      <c r="D667" s="375" t="s">
        <v>244</v>
      </c>
      <c r="E667" s="375" t="s">
        <v>1964</v>
      </c>
      <c r="F667" s="375" t="s">
        <v>244</v>
      </c>
    </row>
    <row r="668" spans="1:6">
      <c r="A668" s="375" t="s">
        <v>1969</v>
      </c>
      <c r="B668" s="375" t="s">
        <v>912</v>
      </c>
      <c r="C668" s="375" t="s">
        <v>1975</v>
      </c>
      <c r="D668" s="375" t="s">
        <v>244</v>
      </c>
      <c r="E668" s="375" t="s">
        <v>1965</v>
      </c>
      <c r="F668" s="375" t="s">
        <v>245</v>
      </c>
    </row>
    <row r="669" spans="1:6">
      <c r="A669" s="375" t="s">
        <v>1969</v>
      </c>
      <c r="B669" s="375" t="s">
        <v>912</v>
      </c>
      <c r="C669" s="375" t="s">
        <v>1975</v>
      </c>
      <c r="D669" s="375" t="s">
        <v>244</v>
      </c>
      <c r="E669" s="375" t="s">
        <v>1966</v>
      </c>
      <c r="F669" s="375" t="s">
        <v>2006</v>
      </c>
    </row>
    <row r="670" spans="1:6">
      <c r="A670" s="375" t="s">
        <v>1969</v>
      </c>
      <c r="B670" s="375" t="s">
        <v>912</v>
      </c>
      <c r="C670" s="375" t="s">
        <v>1975</v>
      </c>
      <c r="D670" s="375" t="s">
        <v>244</v>
      </c>
      <c r="E670" s="375" t="s">
        <v>1967</v>
      </c>
      <c r="F670" s="375" t="s">
        <v>246</v>
      </c>
    </row>
    <row r="671" spans="1:6">
      <c r="A671" s="375" t="s">
        <v>1969</v>
      </c>
      <c r="B671" s="375" t="s">
        <v>912</v>
      </c>
      <c r="C671" s="375" t="s">
        <v>1976</v>
      </c>
      <c r="D671" s="375" t="s">
        <v>1160</v>
      </c>
      <c r="E671" s="375" t="s">
        <v>1964</v>
      </c>
      <c r="F671" s="375" t="s">
        <v>1160</v>
      </c>
    </row>
    <row r="672" spans="1:6">
      <c r="A672" s="375" t="s">
        <v>1969</v>
      </c>
      <c r="B672" s="375" t="s">
        <v>912</v>
      </c>
      <c r="C672" s="375" t="s">
        <v>1976</v>
      </c>
      <c r="D672" s="375" t="s">
        <v>1160</v>
      </c>
      <c r="E672" s="375" t="s">
        <v>1965</v>
      </c>
      <c r="F672" s="375" t="s">
        <v>247</v>
      </c>
    </row>
    <row r="673" spans="1:6">
      <c r="A673" s="375" t="s">
        <v>1969</v>
      </c>
      <c r="B673" s="375" t="s">
        <v>912</v>
      </c>
      <c r="C673" s="375" t="s">
        <v>1976</v>
      </c>
      <c r="D673" s="375" t="s">
        <v>1160</v>
      </c>
      <c r="E673" s="375" t="s">
        <v>1966</v>
      </c>
      <c r="F673" s="375" t="s">
        <v>2705</v>
      </c>
    </row>
    <row r="674" spans="1:6">
      <c r="A674" s="375" t="s">
        <v>1969</v>
      </c>
      <c r="B674" s="375" t="s">
        <v>912</v>
      </c>
      <c r="C674" s="375" t="s">
        <v>1976</v>
      </c>
      <c r="D674" s="375" t="s">
        <v>1160</v>
      </c>
      <c r="E674" s="375" t="s">
        <v>1967</v>
      </c>
      <c r="F674" s="375" t="s">
        <v>1398</v>
      </c>
    </row>
    <row r="675" spans="1:6">
      <c r="A675" s="375" t="s">
        <v>1969</v>
      </c>
      <c r="B675" s="375" t="s">
        <v>912</v>
      </c>
      <c r="C675" s="375" t="s">
        <v>1976</v>
      </c>
      <c r="D675" s="375" t="s">
        <v>1160</v>
      </c>
      <c r="E675" s="375" t="s">
        <v>1968</v>
      </c>
      <c r="F675" s="375" t="s">
        <v>3672</v>
      </c>
    </row>
    <row r="676" spans="1:6">
      <c r="A676" s="375" t="s">
        <v>1969</v>
      </c>
      <c r="B676" s="375" t="s">
        <v>912</v>
      </c>
      <c r="C676" s="375" t="s">
        <v>1976</v>
      </c>
      <c r="D676" s="375" t="s">
        <v>1160</v>
      </c>
      <c r="E676" s="375" t="s">
        <v>1969</v>
      </c>
      <c r="F676" s="375" t="s">
        <v>3673</v>
      </c>
    </row>
    <row r="677" spans="1:6">
      <c r="A677" s="375" t="s">
        <v>1969</v>
      </c>
      <c r="B677" s="375" t="s">
        <v>912</v>
      </c>
      <c r="C677" s="375" t="s">
        <v>1976</v>
      </c>
      <c r="D677" s="375" t="s">
        <v>1160</v>
      </c>
      <c r="E677" s="375" t="s">
        <v>1970</v>
      </c>
      <c r="F677" s="375" t="s">
        <v>3674</v>
      </c>
    </row>
    <row r="678" spans="1:6">
      <c r="A678" s="375" t="s">
        <v>1969</v>
      </c>
      <c r="B678" s="375" t="s">
        <v>912</v>
      </c>
      <c r="C678" s="375" t="s">
        <v>1976</v>
      </c>
      <c r="D678" s="375" t="s">
        <v>1160</v>
      </c>
      <c r="E678" s="375" t="s">
        <v>1971</v>
      </c>
      <c r="F678" s="375" t="s">
        <v>3675</v>
      </c>
    </row>
    <row r="679" spans="1:6">
      <c r="A679" s="375" t="s">
        <v>1969</v>
      </c>
      <c r="B679" s="375" t="s">
        <v>912</v>
      </c>
      <c r="C679" s="375" t="s">
        <v>1976</v>
      </c>
      <c r="D679" s="375" t="s">
        <v>1160</v>
      </c>
      <c r="E679" s="375" t="s">
        <v>1972</v>
      </c>
      <c r="F679" s="375" t="s">
        <v>3676</v>
      </c>
    </row>
    <row r="680" spans="1:6">
      <c r="A680" s="375" t="s">
        <v>1969</v>
      </c>
      <c r="B680" s="375" t="s">
        <v>912</v>
      </c>
      <c r="C680" s="375" t="s">
        <v>1976</v>
      </c>
      <c r="D680" s="375" t="s">
        <v>1160</v>
      </c>
      <c r="E680" s="375" t="s">
        <v>1973</v>
      </c>
      <c r="F680" s="375" t="s">
        <v>3677</v>
      </c>
    </row>
    <row r="681" spans="1:6">
      <c r="A681" s="375" t="s">
        <v>1969</v>
      </c>
      <c r="B681" s="375" t="s">
        <v>912</v>
      </c>
      <c r="C681" s="375" t="s">
        <v>1976</v>
      </c>
      <c r="D681" s="375" t="s">
        <v>1160</v>
      </c>
      <c r="E681" s="375" t="s">
        <v>1974</v>
      </c>
      <c r="F681" s="375" t="s">
        <v>3678</v>
      </c>
    </row>
    <row r="682" spans="1:6">
      <c r="A682" s="375" t="s">
        <v>1970</v>
      </c>
      <c r="B682" s="375" t="s">
        <v>3679</v>
      </c>
      <c r="C682" s="375" t="s">
        <v>1964</v>
      </c>
      <c r="D682" s="375" t="s">
        <v>3679</v>
      </c>
      <c r="E682" s="375" t="s">
        <v>1964</v>
      </c>
      <c r="F682" s="375" t="s">
        <v>3679</v>
      </c>
    </row>
    <row r="683" spans="1:6">
      <c r="A683" s="375" t="s">
        <v>1970</v>
      </c>
      <c r="B683" s="375" t="s">
        <v>3679</v>
      </c>
      <c r="C683" s="375" t="s">
        <v>1964</v>
      </c>
      <c r="D683" s="375" t="s">
        <v>3679</v>
      </c>
      <c r="E683" s="375" t="s">
        <v>1965</v>
      </c>
      <c r="F683" s="375" t="s">
        <v>2303</v>
      </c>
    </row>
    <row r="684" spans="1:6">
      <c r="A684" s="375" t="s">
        <v>1970</v>
      </c>
      <c r="B684" s="375" t="s">
        <v>3679</v>
      </c>
      <c r="C684" s="375" t="s">
        <v>1964</v>
      </c>
      <c r="D684" s="375" t="s">
        <v>3679</v>
      </c>
      <c r="E684" s="375" t="s">
        <v>1966</v>
      </c>
      <c r="F684" s="375" t="s">
        <v>4102</v>
      </c>
    </row>
    <row r="685" spans="1:6">
      <c r="A685" s="375" t="s">
        <v>1970</v>
      </c>
      <c r="B685" s="375" t="s">
        <v>3679</v>
      </c>
      <c r="C685" s="375" t="s">
        <v>1964</v>
      </c>
      <c r="D685" s="375" t="s">
        <v>3679</v>
      </c>
      <c r="E685" s="375" t="s">
        <v>1967</v>
      </c>
      <c r="F685" s="375" t="s">
        <v>4103</v>
      </c>
    </row>
    <row r="686" spans="1:6">
      <c r="A686" s="375" t="s">
        <v>1970</v>
      </c>
      <c r="B686" s="375" t="s">
        <v>3679</v>
      </c>
      <c r="C686" s="375" t="s">
        <v>1964</v>
      </c>
      <c r="D686" s="375" t="s">
        <v>3679</v>
      </c>
      <c r="E686" s="375" t="s">
        <v>1968</v>
      </c>
      <c r="F686" s="375" t="s">
        <v>4104</v>
      </c>
    </row>
    <row r="687" spans="1:6">
      <c r="A687" s="375" t="s">
        <v>1970</v>
      </c>
      <c r="B687" s="375" t="s">
        <v>3679</v>
      </c>
      <c r="C687" s="375" t="s">
        <v>1964</v>
      </c>
      <c r="D687" s="375" t="s">
        <v>3679</v>
      </c>
      <c r="E687" s="375" t="s">
        <v>1969</v>
      </c>
      <c r="F687" s="375" t="s">
        <v>3396</v>
      </c>
    </row>
    <row r="688" spans="1:6">
      <c r="A688" s="375" t="s">
        <v>1971</v>
      </c>
      <c r="B688" s="375" t="s">
        <v>3397</v>
      </c>
      <c r="C688" s="375" t="s">
        <v>1964</v>
      </c>
      <c r="D688" s="375" t="s">
        <v>3397</v>
      </c>
      <c r="E688" s="375" t="s">
        <v>1964</v>
      </c>
      <c r="F688" s="375" t="s">
        <v>3397</v>
      </c>
    </row>
    <row r="689" spans="1:6">
      <c r="A689" s="375" t="s">
        <v>1971</v>
      </c>
      <c r="B689" s="375" t="s">
        <v>3397</v>
      </c>
      <c r="C689" s="375" t="s">
        <v>1964</v>
      </c>
      <c r="D689" s="375" t="s">
        <v>3397</v>
      </c>
      <c r="E689" s="375" t="s">
        <v>1965</v>
      </c>
      <c r="F689" s="375" t="s">
        <v>3398</v>
      </c>
    </row>
    <row r="690" spans="1:6">
      <c r="A690" s="375" t="s">
        <v>1971</v>
      </c>
      <c r="B690" s="375" t="s">
        <v>3397</v>
      </c>
      <c r="C690" s="375" t="s">
        <v>1964</v>
      </c>
      <c r="D690" s="375" t="s">
        <v>3397</v>
      </c>
      <c r="E690" s="375" t="s">
        <v>1966</v>
      </c>
      <c r="F690" s="375" t="s">
        <v>3399</v>
      </c>
    </row>
    <row r="691" spans="1:6">
      <c r="A691" s="375" t="s">
        <v>1971</v>
      </c>
      <c r="B691" s="375" t="s">
        <v>3397</v>
      </c>
      <c r="C691" s="375" t="s">
        <v>1964</v>
      </c>
      <c r="D691" s="375" t="s">
        <v>3397</v>
      </c>
      <c r="E691" s="375" t="s">
        <v>1967</v>
      </c>
      <c r="F691" s="375" t="s">
        <v>4037</v>
      </c>
    </row>
    <row r="692" spans="1:6">
      <c r="A692" s="375" t="s">
        <v>1971</v>
      </c>
      <c r="B692" s="375" t="s">
        <v>3397</v>
      </c>
      <c r="C692" s="375" t="s">
        <v>1964</v>
      </c>
      <c r="D692" s="375" t="s">
        <v>3397</v>
      </c>
      <c r="E692" s="375" t="s">
        <v>1968</v>
      </c>
      <c r="F692" s="375" t="s">
        <v>3400</v>
      </c>
    </row>
    <row r="693" spans="1:6">
      <c r="A693" s="375" t="s">
        <v>1971</v>
      </c>
      <c r="B693" s="375" t="s">
        <v>3397</v>
      </c>
      <c r="C693" s="375" t="s">
        <v>1964</v>
      </c>
      <c r="D693" s="375" t="s">
        <v>3397</v>
      </c>
      <c r="E693" s="375" t="s">
        <v>1969</v>
      </c>
      <c r="F693" s="375" t="s">
        <v>3401</v>
      </c>
    </row>
    <row r="694" spans="1:6">
      <c r="A694" s="375" t="s">
        <v>1971</v>
      </c>
      <c r="B694" s="375" t="s">
        <v>3397</v>
      </c>
      <c r="C694" s="375" t="s">
        <v>1964</v>
      </c>
      <c r="D694" s="375" t="s">
        <v>3397</v>
      </c>
      <c r="E694" s="375" t="s">
        <v>1970</v>
      </c>
      <c r="F694" s="375" t="s">
        <v>3402</v>
      </c>
    </row>
    <row r="695" spans="1:6">
      <c r="A695" s="375" t="s">
        <v>1971</v>
      </c>
      <c r="B695" s="375" t="s">
        <v>3397</v>
      </c>
      <c r="C695" s="375" t="s">
        <v>1964</v>
      </c>
      <c r="D695" s="375" t="s">
        <v>3397</v>
      </c>
      <c r="E695" s="375" t="s">
        <v>1971</v>
      </c>
      <c r="F695" s="375" t="s">
        <v>3403</v>
      </c>
    </row>
    <row r="696" spans="1:6">
      <c r="A696" s="375" t="s">
        <v>1971</v>
      </c>
      <c r="B696" s="375" t="s">
        <v>3397</v>
      </c>
      <c r="C696" s="375" t="s">
        <v>1965</v>
      </c>
      <c r="D696" s="375" t="s">
        <v>3404</v>
      </c>
      <c r="E696" s="375" t="s">
        <v>1964</v>
      </c>
      <c r="F696" s="375" t="s">
        <v>3404</v>
      </c>
    </row>
    <row r="697" spans="1:6">
      <c r="A697" s="375" t="s">
        <v>1971</v>
      </c>
      <c r="B697" s="375" t="s">
        <v>3397</v>
      </c>
      <c r="C697" s="375" t="s">
        <v>1965</v>
      </c>
      <c r="D697" s="375" t="s">
        <v>3404</v>
      </c>
      <c r="E697" s="375" t="s">
        <v>1965</v>
      </c>
      <c r="F697" s="375" t="s">
        <v>3405</v>
      </c>
    </row>
    <row r="698" spans="1:6">
      <c r="A698" s="375" t="s">
        <v>1971</v>
      </c>
      <c r="B698" s="375" t="s">
        <v>3397</v>
      </c>
      <c r="C698" s="375" t="s">
        <v>1965</v>
      </c>
      <c r="D698" s="375" t="s">
        <v>3404</v>
      </c>
      <c r="E698" s="375" t="s">
        <v>1966</v>
      </c>
      <c r="F698" s="375" t="s">
        <v>3406</v>
      </c>
    </row>
    <row r="699" spans="1:6">
      <c r="A699" s="375" t="s">
        <v>1971</v>
      </c>
      <c r="B699" s="375" t="s">
        <v>3397</v>
      </c>
      <c r="C699" s="375" t="s">
        <v>1965</v>
      </c>
      <c r="D699" s="375" t="s">
        <v>3404</v>
      </c>
      <c r="E699" s="375" t="s">
        <v>1967</v>
      </c>
      <c r="F699" s="375" t="s">
        <v>3407</v>
      </c>
    </row>
    <row r="700" spans="1:6">
      <c r="A700" s="375" t="s">
        <v>1971</v>
      </c>
      <c r="B700" s="375" t="s">
        <v>3397</v>
      </c>
      <c r="C700" s="375" t="s">
        <v>1965</v>
      </c>
      <c r="D700" s="375" t="s">
        <v>3404</v>
      </c>
      <c r="E700" s="375" t="s">
        <v>1968</v>
      </c>
      <c r="F700" s="375" t="s">
        <v>3408</v>
      </c>
    </row>
    <row r="701" spans="1:6">
      <c r="A701" s="375" t="s">
        <v>1971</v>
      </c>
      <c r="B701" s="375" t="s">
        <v>3397</v>
      </c>
      <c r="C701" s="375" t="s">
        <v>1965</v>
      </c>
      <c r="D701" s="375" t="s">
        <v>3404</v>
      </c>
      <c r="E701" s="375" t="s">
        <v>1969</v>
      </c>
      <c r="F701" s="375" t="s">
        <v>3020</v>
      </c>
    </row>
    <row r="702" spans="1:6">
      <c r="A702" s="375" t="s">
        <v>1971</v>
      </c>
      <c r="B702" s="375" t="s">
        <v>3397</v>
      </c>
      <c r="C702" s="375" t="s">
        <v>1965</v>
      </c>
      <c r="D702" s="375" t="s">
        <v>3404</v>
      </c>
      <c r="E702" s="375" t="s">
        <v>1970</v>
      </c>
      <c r="F702" s="375" t="s">
        <v>3021</v>
      </c>
    </row>
    <row r="703" spans="1:6">
      <c r="A703" s="375" t="s">
        <v>1971</v>
      </c>
      <c r="B703" s="375" t="s">
        <v>3397</v>
      </c>
      <c r="C703" s="375" t="s">
        <v>1966</v>
      </c>
      <c r="D703" s="375" t="s">
        <v>1462</v>
      </c>
      <c r="E703" s="375" t="s">
        <v>1964</v>
      </c>
      <c r="F703" s="375" t="s">
        <v>1462</v>
      </c>
    </row>
    <row r="704" spans="1:6">
      <c r="A704" s="375" t="s">
        <v>1971</v>
      </c>
      <c r="B704" s="375" t="s">
        <v>3397</v>
      </c>
      <c r="C704" s="375" t="s">
        <v>1966</v>
      </c>
      <c r="D704" s="375" t="s">
        <v>1462</v>
      </c>
      <c r="E704" s="375" t="s">
        <v>1965</v>
      </c>
      <c r="F704" s="375" t="s">
        <v>3022</v>
      </c>
    </row>
    <row r="705" spans="1:6">
      <c r="A705" s="375" t="s">
        <v>1971</v>
      </c>
      <c r="B705" s="375" t="s">
        <v>3397</v>
      </c>
      <c r="C705" s="375" t="s">
        <v>1966</v>
      </c>
      <c r="D705" s="375" t="s">
        <v>1462</v>
      </c>
      <c r="E705" s="375" t="s">
        <v>1966</v>
      </c>
      <c r="F705" s="375" t="s">
        <v>3023</v>
      </c>
    </row>
    <row r="706" spans="1:6">
      <c r="A706" s="375" t="s">
        <v>1971</v>
      </c>
      <c r="B706" s="375" t="s">
        <v>3397</v>
      </c>
      <c r="C706" s="375" t="s">
        <v>1966</v>
      </c>
      <c r="D706" s="375" t="s">
        <v>1462</v>
      </c>
      <c r="E706" s="375" t="s">
        <v>1967</v>
      </c>
      <c r="F706" s="375" t="s">
        <v>3024</v>
      </c>
    </row>
    <row r="707" spans="1:6">
      <c r="A707" s="375" t="s">
        <v>1971</v>
      </c>
      <c r="B707" s="375" t="s">
        <v>3397</v>
      </c>
      <c r="C707" s="375" t="s">
        <v>1966</v>
      </c>
      <c r="D707" s="375" t="s">
        <v>1462</v>
      </c>
      <c r="E707" s="375" t="s">
        <v>1968</v>
      </c>
      <c r="F707" s="375" t="s">
        <v>2941</v>
      </c>
    </row>
    <row r="708" spans="1:6">
      <c r="A708" s="375" t="s">
        <v>1971</v>
      </c>
      <c r="B708" s="375" t="s">
        <v>3397</v>
      </c>
      <c r="C708" s="375" t="s">
        <v>1966</v>
      </c>
      <c r="D708" s="375" t="s">
        <v>1462</v>
      </c>
      <c r="E708" s="375" t="s">
        <v>1969</v>
      </c>
      <c r="F708" s="375" t="s">
        <v>2942</v>
      </c>
    </row>
    <row r="709" spans="1:6">
      <c r="A709" s="375" t="s">
        <v>1971</v>
      </c>
      <c r="B709" s="375" t="s">
        <v>3397</v>
      </c>
      <c r="C709" s="375" t="s">
        <v>1966</v>
      </c>
      <c r="D709" s="375" t="s">
        <v>1462</v>
      </c>
      <c r="E709" s="375" t="s">
        <v>1970</v>
      </c>
      <c r="F709" s="375" t="s">
        <v>2943</v>
      </c>
    </row>
    <row r="710" spans="1:6">
      <c r="A710" s="375" t="s">
        <v>1971</v>
      </c>
      <c r="B710" s="375" t="s">
        <v>3397</v>
      </c>
      <c r="C710" s="375" t="s">
        <v>1966</v>
      </c>
      <c r="D710" s="375" t="s">
        <v>1462</v>
      </c>
      <c r="E710" s="375" t="s">
        <v>1971</v>
      </c>
      <c r="F710" s="375" t="s">
        <v>2944</v>
      </c>
    </row>
    <row r="711" spans="1:6">
      <c r="A711" s="375" t="s">
        <v>1971</v>
      </c>
      <c r="B711" s="375" t="s">
        <v>3397</v>
      </c>
      <c r="C711" s="375" t="s">
        <v>1966</v>
      </c>
      <c r="D711" s="375" t="s">
        <v>1462</v>
      </c>
      <c r="E711" s="375" t="s">
        <v>1972</v>
      </c>
      <c r="F711" s="375" t="s">
        <v>2945</v>
      </c>
    </row>
    <row r="712" spans="1:6">
      <c r="A712" s="375" t="s">
        <v>1971</v>
      </c>
      <c r="B712" s="375" t="s">
        <v>3397</v>
      </c>
      <c r="C712" s="375" t="s">
        <v>1967</v>
      </c>
      <c r="D712" s="375" t="s">
        <v>2946</v>
      </c>
      <c r="E712" s="375" t="s">
        <v>1964</v>
      </c>
      <c r="F712" s="375" t="s">
        <v>2946</v>
      </c>
    </row>
    <row r="713" spans="1:6">
      <c r="A713" s="375" t="s">
        <v>1971</v>
      </c>
      <c r="B713" s="375" t="s">
        <v>3397</v>
      </c>
      <c r="C713" s="375" t="s">
        <v>1967</v>
      </c>
      <c r="D713" s="375" t="s">
        <v>2946</v>
      </c>
      <c r="E713" s="375" t="s">
        <v>1965</v>
      </c>
      <c r="F713" s="375" t="s">
        <v>2947</v>
      </c>
    </row>
    <row r="714" spans="1:6">
      <c r="A714" s="375" t="s">
        <v>1971</v>
      </c>
      <c r="B714" s="375" t="s">
        <v>3397</v>
      </c>
      <c r="C714" s="375" t="s">
        <v>1967</v>
      </c>
      <c r="D714" s="375" t="s">
        <v>2946</v>
      </c>
      <c r="E714" s="375" t="s">
        <v>1966</v>
      </c>
      <c r="F714" s="375" t="s">
        <v>2948</v>
      </c>
    </row>
    <row r="715" spans="1:6">
      <c r="A715" s="375" t="s">
        <v>1971</v>
      </c>
      <c r="B715" s="375" t="s">
        <v>3397</v>
      </c>
      <c r="C715" s="375" t="s">
        <v>1967</v>
      </c>
      <c r="D715" s="375" t="s">
        <v>2946</v>
      </c>
      <c r="E715" s="375" t="s">
        <v>1967</v>
      </c>
      <c r="F715" s="375" t="s">
        <v>2949</v>
      </c>
    </row>
    <row r="716" spans="1:6">
      <c r="A716" s="375" t="s">
        <v>1971</v>
      </c>
      <c r="B716" s="375" t="s">
        <v>3397</v>
      </c>
      <c r="C716" s="375" t="s">
        <v>1967</v>
      </c>
      <c r="D716" s="375" t="s">
        <v>2946</v>
      </c>
      <c r="E716" s="375" t="s">
        <v>1968</v>
      </c>
      <c r="F716" s="375" t="s">
        <v>2950</v>
      </c>
    </row>
    <row r="717" spans="1:6">
      <c r="A717" s="375" t="s">
        <v>1971</v>
      </c>
      <c r="B717" s="375" t="s">
        <v>3397</v>
      </c>
      <c r="C717" s="375" t="s">
        <v>1967</v>
      </c>
      <c r="D717" s="375" t="s">
        <v>2946</v>
      </c>
      <c r="E717" s="375" t="s">
        <v>1969</v>
      </c>
      <c r="F717" s="375" t="s">
        <v>2951</v>
      </c>
    </row>
    <row r="718" spans="1:6">
      <c r="A718" s="375" t="s">
        <v>1971</v>
      </c>
      <c r="B718" s="375" t="s">
        <v>3397</v>
      </c>
      <c r="C718" s="375" t="s">
        <v>1967</v>
      </c>
      <c r="D718" s="375" t="s">
        <v>2946</v>
      </c>
      <c r="E718" s="375" t="s">
        <v>1970</v>
      </c>
      <c r="F718" s="375" t="s">
        <v>2952</v>
      </c>
    </row>
    <row r="719" spans="1:6">
      <c r="A719" s="375" t="s">
        <v>1971</v>
      </c>
      <c r="B719" s="375" t="s">
        <v>3397</v>
      </c>
      <c r="C719" s="375" t="s">
        <v>1967</v>
      </c>
      <c r="D719" s="375" t="s">
        <v>2946</v>
      </c>
      <c r="E719" s="375" t="s">
        <v>1971</v>
      </c>
      <c r="F719" s="375" t="s">
        <v>3946</v>
      </c>
    </row>
    <row r="720" spans="1:6">
      <c r="A720" s="375" t="s">
        <v>1971</v>
      </c>
      <c r="B720" s="375" t="s">
        <v>3397</v>
      </c>
      <c r="C720" s="375" t="s">
        <v>1968</v>
      </c>
      <c r="D720" s="375" t="s">
        <v>3947</v>
      </c>
      <c r="E720" s="375" t="s">
        <v>1964</v>
      </c>
      <c r="F720" s="375" t="s">
        <v>3948</v>
      </c>
    </row>
    <row r="721" spans="1:6">
      <c r="A721" s="375" t="s">
        <v>1971</v>
      </c>
      <c r="B721" s="375" t="s">
        <v>3397</v>
      </c>
      <c r="C721" s="375" t="s">
        <v>1968</v>
      </c>
      <c r="D721" s="375" t="s">
        <v>3947</v>
      </c>
      <c r="E721" s="375" t="s">
        <v>1965</v>
      </c>
      <c r="F721" s="375" t="s">
        <v>3949</v>
      </c>
    </row>
    <row r="722" spans="1:6">
      <c r="A722" s="375" t="s">
        <v>1971</v>
      </c>
      <c r="B722" s="375" t="s">
        <v>3397</v>
      </c>
      <c r="C722" s="375" t="s">
        <v>1968</v>
      </c>
      <c r="D722" s="375" t="s">
        <v>3947</v>
      </c>
      <c r="E722" s="375" t="s">
        <v>1966</v>
      </c>
      <c r="F722" s="375" t="s">
        <v>3950</v>
      </c>
    </row>
    <row r="723" spans="1:6">
      <c r="A723" s="375" t="s">
        <v>1971</v>
      </c>
      <c r="B723" s="375" t="s">
        <v>3397</v>
      </c>
      <c r="C723" s="375" t="s">
        <v>1968</v>
      </c>
      <c r="D723" s="375" t="s">
        <v>3947</v>
      </c>
      <c r="E723" s="375" t="s">
        <v>1967</v>
      </c>
      <c r="F723" s="375" t="s">
        <v>3951</v>
      </c>
    </row>
    <row r="724" spans="1:6">
      <c r="A724" s="375" t="s">
        <v>1971</v>
      </c>
      <c r="B724" s="375" t="s">
        <v>3397</v>
      </c>
      <c r="C724" s="375" t="s">
        <v>1968</v>
      </c>
      <c r="D724" s="375" t="s">
        <v>3947</v>
      </c>
      <c r="E724" s="375" t="s">
        <v>1968</v>
      </c>
      <c r="F724" s="375" t="s">
        <v>3952</v>
      </c>
    </row>
    <row r="725" spans="1:6">
      <c r="A725" s="375" t="s">
        <v>1971</v>
      </c>
      <c r="B725" s="375" t="s">
        <v>3397</v>
      </c>
      <c r="C725" s="375" t="s">
        <v>1968</v>
      </c>
      <c r="D725" s="375" t="s">
        <v>3947</v>
      </c>
      <c r="E725" s="375" t="s">
        <v>1969</v>
      </c>
      <c r="F725" s="375" t="s">
        <v>2549</v>
      </c>
    </row>
    <row r="726" spans="1:6">
      <c r="A726" s="375" t="s">
        <v>1971</v>
      </c>
      <c r="B726" s="375" t="s">
        <v>3397</v>
      </c>
      <c r="C726" s="375" t="s">
        <v>1968</v>
      </c>
      <c r="D726" s="375" t="s">
        <v>3947</v>
      </c>
      <c r="E726" s="375" t="s">
        <v>1970</v>
      </c>
      <c r="F726" s="375" t="s">
        <v>3953</v>
      </c>
    </row>
    <row r="727" spans="1:6">
      <c r="A727" s="375" t="s">
        <v>1971</v>
      </c>
      <c r="B727" s="375" t="s">
        <v>3397</v>
      </c>
      <c r="C727" s="375" t="s">
        <v>1968</v>
      </c>
      <c r="D727" s="375" t="s">
        <v>3947</v>
      </c>
      <c r="E727" s="375" t="s">
        <v>1971</v>
      </c>
      <c r="F727" s="375" t="s">
        <v>3954</v>
      </c>
    </row>
    <row r="728" spans="1:6">
      <c r="A728" s="375" t="s">
        <v>1971</v>
      </c>
      <c r="B728" s="375" t="s">
        <v>3397</v>
      </c>
      <c r="C728" s="375" t="s">
        <v>1969</v>
      </c>
      <c r="D728" s="375" t="s">
        <v>3955</v>
      </c>
      <c r="E728" s="375" t="s">
        <v>1964</v>
      </c>
      <c r="F728" s="375" t="s">
        <v>3956</v>
      </c>
    </row>
    <row r="729" spans="1:6">
      <c r="A729" s="375" t="s">
        <v>1971</v>
      </c>
      <c r="B729" s="375" t="s">
        <v>3397</v>
      </c>
      <c r="C729" s="375" t="s">
        <v>1969</v>
      </c>
      <c r="D729" s="375" t="s">
        <v>3955</v>
      </c>
      <c r="E729" s="375" t="s">
        <v>1965</v>
      </c>
      <c r="F729" s="375" t="s">
        <v>3957</v>
      </c>
    </row>
    <row r="730" spans="1:6">
      <c r="A730" s="375" t="s">
        <v>1971</v>
      </c>
      <c r="B730" s="375" t="s">
        <v>3397</v>
      </c>
      <c r="C730" s="375" t="s">
        <v>1969</v>
      </c>
      <c r="D730" s="375" t="s">
        <v>3955</v>
      </c>
      <c r="E730" s="375" t="s">
        <v>1966</v>
      </c>
      <c r="F730" s="375" t="s">
        <v>3958</v>
      </c>
    </row>
    <row r="731" spans="1:6">
      <c r="A731" s="375" t="s">
        <v>1971</v>
      </c>
      <c r="B731" s="375" t="s">
        <v>3397</v>
      </c>
      <c r="C731" s="375" t="s">
        <v>1969</v>
      </c>
      <c r="D731" s="375" t="s">
        <v>3955</v>
      </c>
      <c r="E731" s="375" t="s">
        <v>1967</v>
      </c>
      <c r="F731" s="375" t="s">
        <v>4115</v>
      </c>
    </row>
    <row r="732" spans="1:6">
      <c r="A732" s="375" t="s">
        <v>1971</v>
      </c>
      <c r="B732" s="375" t="s">
        <v>3397</v>
      </c>
      <c r="C732" s="375" t="s">
        <v>1969</v>
      </c>
      <c r="D732" s="375" t="s">
        <v>3955</v>
      </c>
      <c r="E732" s="375" t="s">
        <v>1968</v>
      </c>
      <c r="F732" s="375" t="s">
        <v>4116</v>
      </c>
    </row>
    <row r="733" spans="1:6">
      <c r="A733" s="375" t="s">
        <v>1971</v>
      </c>
      <c r="B733" s="375" t="s">
        <v>3397</v>
      </c>
      <c r="C733" s="375" t="s">
        <v>1969</v>
      </c>
      <c r="D733" s="375" t="s">
        <v>3955</v>
      </c>
      <c r="E733" s="375" t="s">
        <v>1969</v>
      </c>
      <c r="F733" s="375" t="s">
        <v>244</v>
      </c>
    </row>
    <row r="734" spans="1:6">
      <c r="A734" s="375" t="s">
        <v>1971</v>
      </c>
      <c r="B734" s="375" t="s">
        <v>3397</v>
      </c>
      <c r="C734" s="375" t="s">
        <v>1969</v>
      </c>
      <c r="D734" s="375" t="s">
        <v>3955</v>
      </c>
      <c r="E734" s="375" t="s">
        <v>1970</v>
      </c>
      <c r="F734" s="375" t="s">
        <v>4260</v>
      </c>
    </row>
    <row r="735" spans="1:6">
      <c r="A735" s="375" t="s">
        <v>1971</v>
      </c>
      <c r="B735" s="375" t="s">
        <v>3397</v>
      </c>
      <c r="C735" s="375" t="s">
        <v>1969</v>
      </c>
      <c r="D735" s="375" t="s">
        <v>3955</v>
      </c>
      <c r="E735" s="375" t="s">
        <v>1971</v>
      </c>
      <c r="F735" s="375" t="s">
        <v>4117</v>
      </c>
    </row>
    <row r="736" spans="1:6">
      <c r="A736" s="375" t="s">
        <v>1971</v>
      </c>
      <c r="B736" s="375" t="s">
        <v>3397</v>
      </c>
      <c r="C736" s="375" t="s">
        <v>1970</v>
      </c>
      <c r="D736" s="375" t="s">
        <v>4118</v>
      </c>
      <c r="E736" s="375" t="s">
        <v>1964</v>
      </c>
      <c r="F736" s="375" t="s">
        <v>2810</v>
      </c>
    </row>
    <row r="737" spans="1:6">
      <c r="A737" s="375" t="s">
        <v>1971</v>
      </c>
      <c r="B737" s="375" t="s">
        <v>3397</v>
      </c>
      <c r="C737" s="375" t="s">
        <v>1970</v>
      </c>
      <c r="D737" s="375" t="s">
        <v>4118</v>
      </c>
      <c r="E737" s="375" t="s">
        <v>1965</v>
      </c>
      <c r="F737" s="375" t="s">
        <v>4119</v>
      </c>
    </row>
    <row r="738" spans="1:6">
      <c r="A738" s="375" t="s">
        <v>1971</v>
      </c>
      <c r="B738" s="375" t="s">
        <v>3397</v>
      </c>
      <c r="C738" s="375" t="s">
        <v>1970</v>
      </c>
      <c r="D738" s="375" t="s">
        <v>4118</v>
      </c>
      <c r="E738" s="375" t="s">
        <v>1966</v>
      </c>
      <c r="F738" s="375" t="s">
        <v>4120</v>
      </c>
    </row>
    <row r="739" spans="1:6">
      <c r="A739" s="375" t="s">
        <v>1971</v>
      </c>
      <c r="B739" s="375" t="s">
        <v>3397</v>
      </c>
      <c r="C739" s="375" t="s">
        <v>1970</v>
      </c>
      <c r="D739" s="375" t="s">
        <v>4118</v>
      </c>
      <c r="E739" s="375" t="s">
        <v>1967</v>
      </c>
      <c r="F739" s="375" t="s">
        <v>4269</v>
      </c>
    </row>
    <row r="740" spans="1:6">
      <c r="A740" s="375" t="s">
        <v>1971</v>
      </c>
      <c r="B740" s="375" t="s">
        <v>3397</v>
      </c>
      <c r="C740" s="375" t="s">
        <v>1970</v>
      </c>
      <c r="D740" s="375" t="s">
        <v>4118</v>
      </c>
      <c r="E740" s="375" t="s">
        <v>1968</v>
      </c>
      <c r="F740" s="375" t="s">
        <v>4270</v>
      </c>
    </row>
    <row r="741" spans="1:6">
      <c r="A741" s="375" t="s">
        <v>1971</v>
      </c>
      <c r="B741" s="375" t="s">
        <v>3397</v>
      </c>
      <c r="C741" s="375" t="s">
        <v>1970</v>
      </c>
      <c r="D741" s="375" t="s">
        <v>4118</v>
      </c>
      <c r="E741" s="375" t="s">
        <v>1969</v>
      </c>
      <c r="F741" s="375" t="s">
        <v>4271</v>
      </c>
    </row>
    <row r="742" spans="1:6">
      <c r="A742" s="375" t="s">
        <v>1971</v>
      </c>
      <c r="B742" s="375" t="s">
        <v>3397</v>
      </c>
      <c r="C742" s="375" t="s">
        <v>1970</v>
      </c>
      <c r="D742" s="375" t="s">
        <v>4118</v>
      </c>
      <c r="E742" s="375" t="s">
        <v>1970</v>
      </c>
      <c r="F742" s="375" t="s">
        <v>1399</v>
      </c>
    </row>
    <row r="743" spans="1:6">
      <c r="A743" s="375" t="s">
        <v>1971</v>
      </c>
      <c r="B743" s="375" t="s">
        <v>3397</v>
      </c>
      <c r="C743" s="375" t="s">
        <v>1970</v>
      </c>
      <c r="D743" s="375" t="s">
        <v>4118</v>
      </c>
      <c r="E743" s="375" t="s">
        <v>1971</v>
      </c>
      <c r="F743" s="375" t="s">
        <v>91</v>
      </c>
    </row>
    <row r="744" spans="1:6">
      <c r="A744" s="375" t="s">
        <v>1971</v>
      </c>
      <c r="B744" s="375" t="s">
        <v>3397</v>
      </c>
      <c r="C744" s="375" t="s">
        <v>1971</v>
      </c>
      <c r="D744" s="375" t="s">
        <v>92</v>
      </c>
      <c r="E744" s="375" t="s">
        <v>1964</v>
      </c>
      <c r="F744" s="375" t="s">
        <v>92</v>
      </c>
    </row>
    <row r="745" spans="1:6">
      <c r="A745" s="375" t="s">
        <v>1971</v>
      </c>
      <c r="B745" s="375" t="s">
        <v>3397</v>
      </c>
      <c r="C745" s="375" t="s">
        <v>1971</v>
      </c>
      <c r="D745" s="375" t="s">
        <v>92</v>
      </c>
      <c r="E745" s="375" t="s">
        <v>1965</v>
      </c>
      <c r="F745" s="375" t="s">
        <v>93</v>
      </c>
    </row>
    <row r="746" spans="1:6">
      <c r="A746" s="375" t="s">
        <v>1971</v>
      </c>
      <c r="B746" s="375" t="s">
        <v>3397</v>
      </c>
      <c r="C746" s="375" t="s">
        <v>1971</v>
      </c>
      <c r="D746" s="375" t="s">
        <v>92</v>
      </c>
      <c r="E746" s="375" t="s">
        <v>1966</v>
      </c>
      <c r="F746" s="375" t="s">
        <v>4223</v>
      </c>
    </row>
    <row r="747" spans="1:6">
      <c r="A747" s="375" t="s">
        <v>1971</v>
      </c>
      <c r="B747" s="375" t="s">
        <v>3397</v>
      </c>
      <c r="C747" s="375" t="s">
        <v>1971</v>
      </c>
      <c r="D747" s="375" t="s">
        <v>92</v>
      </c>
      <c r="E747" s="375" t="s">
        <v>1967</v>
      </c>
      <c r="F747" s="375" t="s">
        <v>94</v>
      </c>
    </row>
    <row r="748" spans="1:6">
      <c r="A748" s="375" t="s">
        <v>1971</v>
      </c>
      <c r="B748" s="375" t="s">
        <v>3397</v>
      </c>
      <c r="C748" s="375" t="s">
        <v>1971</v>
      </c>
      <c r="D748" s="375" t="s">
        <v>92</v>
      </c>
      <c r="E748" s="375" t="s">
        <v>1968</v>
      </c>
      <c r="F748" s="375" t="s">
        <v>95</v>
      </c>
    </row>
    <row r="749" spans="1:6">
      <c r="A749" s="375" t="s">
        <v>1971</v>
      </c>
      <c r="B749" s="375" t="s">
        <v>3397</v>
      </c>
      <c r="C749" s="375" t="s">
        <v>1971</v>
      </c>
      <c r="D749" s="375" t="s">
        <v>92</v>
      </c>
      <c r="E749" s="375" t="s">
        <v>1969</v>
      </c>
      <c r="F749" s="375" t="s">
        <v>96</v>
      </c>
    </row>
    <row r="750" spans="1:6">
      <c r="A750" s="375" t="s">
        <v>1971</v>
      </c>
      <c r="B750" s="375" t="s">
        <v>3397</v>
      </c>
      <c r="C750" s="375" t="s">
        <v>1971</v>
      </c>
      <c r="D750" s="375" t="s">
        <v>92</v>
      </c>
      <c r="E750" s="375" t="s">
        <v>1970</v>
      </c>
      <c r="F750" s="375" t="s">
        <v>3600</v>
      </c>
    </row>
    <row r="751" spans="1:6">
      <c r="A751" s="375" t="s">
        <v>1971</v>
      </c>
      <c r="B751" s="375" t="s">
        <v>3397</v>
      </c>
      <c r="C751" s="375" t="s">
        <v>1971</v>
      </c>
      <c r="D751" s="375" t="s">
        <v>92</v>
      </c>
      <c r="E751" s="375" t="s">
        <v>1971</v>
      </c>
      <c r="F751" s="375" t="s">
        <v>97</v>
      </c>
    </row>
    <row r="752" spans="1:6">
      <c r="A752" s="375" t="s">
        <v>1971</v>
      </c>
      <c r="B752" s="375" t="s">
        <v>3397</v>
      </c>
      <c r="C752" s="375" t="s">
        <v>1972</v>
      </c>
      <c r="D752" s="375" t="s">
        <v>98</v>
      </c>
      <c r="E752" s="375" t="s">
        <v>1964</v>
      </c>
      <c r="F752" s="375" t="s">
        <v>99</v>
      </c>
    </row>
    <row r="753" spans="1:6">
      <c r="A753" s="375" t="s">
        <v>1971</v>
      </c>
      <c r="B753" s="375" t="s">
        <v>3397</v>
      </c>
      <c r="C753" s="375" t="s">
        <v>1972</v>
      </c>
      <c r="D753" s="375" t="s">
        <v>98</v>
      </c>
      <c r="E753" s="375" t="s">
        <v>1965</v>
      </c>
      <c r="F753" s="375" t="s">
        <v>1600</v>
      </c>
    </row>
    <row r="754" spans="1:6">
      <c r="A754" s="375" t="s">
        <v>1971</v>
      </c>
      <c r="B754" s="375" t="s">
        <v>3397</v>
      </c>
      <c r="C754" s="375" t="s">
        <v>1972</v>
      </c>
      <c r="D754" s="375" t="s">
        <v>98</v>
      </c>
      <c r="E754" s="375" t="s">
        <v>1966</v>
      </c>
      <c r="F754" s="375" t="s">
        <v>3601</v>
      </c>
    </row>
    <row r="755" spans="1:6">
      <c r="A755" s="375" t="s">
        <v>1971</v>
      </c>
      <c r="B755" s="375" t="s">
        <v>3397</v>
      </c>
      <c r="C755" s="375" t="s">
        <v>1972</v>
      </c>
      <c r="D755" s="375" t="s">
        <v>98</v>
      </c>
      <c r="E755" s="375" t="s">
        <v>1967</v>
      </c>
      <c r="F755" s="375" t="s">
        <v>1580</v>
      </c>
    </row>
    <row r="756" spans="1:6">
      <c r="A756" s="375" t="s">
        <v>1971</v>
      </c>
      <c r="B756" s="375" t="s">
        <v>3397</v>
      </c>
      <c r="C756" s="375" t="s">
        <v>1972</v>
      </c>
      <c r="D756" s="375" t="s">
        <v>98</v>
      </c>
      <c r="E756" s="375" t="s">
        <v>1968</v>
      </c>
      <c r="F756" s="375" t="s">
        <v>3602</v>
      </c>
    </row>
    <row r="757" spans="1:6">
      <c r="A757" s="375" t="s">
        <v>1971</v>
      </c>
      <c r="B757" s="375" t="s">
        <v>3397</v>
      </c>
      <c r="C757" s="375" t="s">
        <v>1972</v>
      </c>
      <c r="D757" s="375" t="s">
        <v>98</v>
      </c>
      <c r="E757" s="375" t="s">
        <v>1969</v>
      </c>
      <c r="F757" s="375" t="s">
        <v>1581</v>
      </c>
    </row>
    <row r="758" spans="1:6">
      <c r="A758" s="375" t="s">
        <v>1971</v>
      </c>
      <c r="B758" s="375" t="s">
        <v>3397</v>
      </c>
      <c r="C758" s="375" t="s">
        <v>1972</v>
      </c>
      <c r="D758" s="375" t="s">
        <v>98</v>
      </c>
      <c r="E758" s="375" t="s">
        <v>1970</v>
      </c>
      <c r="F758" s="375" t="s">
        <v>3603</v>
      </c>
    </row>
    <row r="759" spans="1:6">
      <c r="A759" s="375" t="s">
        <v>1971</v>
      </c>
      <c r="B759" s="375" t="s">
        <v>3397</v>
      </c>
      <c r="C759" s="375" t="s">
        <v>1972</v>
      </c>
      <c r="D759" s="375" t="s">
        <v>98</v>
      </c>
      <c r="E759" s="375" t="s">
        <v>1971</v>
      </c>
      <c r="F759" s="375" t="s">
        <v>2440</v>
      </c>
    </row>
    <row r="760" spans="1:6">
      <c r="A760" s="375" t="s">
        <v>1971</v>
      </c>
      <c r="B760" s="375" t="s">
        <v>3397</v>
      </c>
      <c r="C760" s="375" t="s">
        <v>1972</v>
      </c>
      <c r="D760" s="375" t="s">
        <v>98</v>
      </c>
      <c r="E760" s="375" t="s">
        <v>1972</v>
      </c>
      <c r="F760" s="375" t="s">
        <v>3580</v>
      </c>
    </row>
    <row r="761" spans="1:6">
      <c r="A761" s="375" t="s">
        <v>1971</v>
      </c>
      <c r="B761" s="375" t="s">
        <v>3397</v>
      </c>
      <c r="C761" s="375" t="s">
        <v>1972</v>
      </c>
      <c r="D761" s="375" t="s">
        <v>98</v>
      </c>
      <c r="E761" s="375" t="s">
        <v>1973</v>
      </c>
      <c r="F761" s="375" t="s">
        <v>2441</v>
      </c>
    </row>
    <row r="762" spans="1:6">
      <c r="A762" s="375" t="s">
        <v>1971</v>
      </c>
      <c r="B762" s="375" t="s">
        <v>3397</v>
      </c>
      <c r="C762" s="375" t="s">
        <v>1973</v>
      </c>
      <c r="D762" s="375" t="s">
        <v>2442</v>
      </c>
      <c r="E762" s="375" t="s">
        <v>1964</v>
      </c>
      <c r="F762" s="375" t="s">
        <v>2442</v>
      </c>
    </row>
    <row r="763" spans="1:6">
      <c r="A763" s="375" t="s">
        <v>1971</v>
      </c>
      <c r="B763" s="375" t="s">
        <v>3397</v>
      </c>
      <c r="C763" s="375" t="s">
        <v>1973</v>
      </c>
      <c r="D763" s="375" t="s">
        <v>2442</v>
      </c>
      <c r="E763" s="375" t="s">
        <v>1965</v>
      </c>
      <c r="F763" s="375" t="s">
        <v>2443</v>
      </c>
    </row>
    <row r="764" spans="1:6">
      <c r="A764" s="375" t="s">
        <v>1971</v>
      </c>
      <c r="B764" s="375" t="s">
        <v>3397</v>
      </c>
      <c r="C764" s="375" t="s">
        <v>1973</v>
      </c>
      <c r="D764" s="375" t="s">
        <v>2442</v>
      </c>
      <c r="E764" s="375" t="s">
        <v>1966</v>
      </c>
      <c r="F764" s="375" t="s">
        <v>2444</v>
      </c>
    </row>
    <row r="765" spans="1:6">
      <c r="A765" s="375" t="s">
        <v>1971</v>
      </c>
      <c r="B765" s="375" t="s">
        <v>3397</v>
      </c>
      <c r="C765" s="375" t="s">
        <v>1973</v>
      </c>
      <c r="D765" s="375" t="s">
        <v>2442</v>
      </c>
      <c r="E765" s="375" t="s">
        <v>1967</v>
      </c>
      <c r="F765" s="375" t="s">
        <v>2445</v>
      </c>
    </row>
    <row r="766" spans="1:6">
      <c r="A766" s="375" t="s">
        <v>1971</v>
      </c>
      <c r="B766" s="375" t="s">
        <v>3397</v>
      </c>
      <c r="C766" s="375" t="s">
        <v>1973</v>
      </c>
      <c r="D766" s="375" t="s">
        <v>2442</v>
      </c>
      <c r="E766" s="375" t="s">
        <v>1968</v>
      </c>
      <c r="F766" s="375" t="s">
        <v>2446</v>
      </c>
    </row>
    <row r="767" spans="1:6">
      <c r="A767" s="375" t="s">
        <v>1971</v>
      </c>
      <c r="B767" s="375" t="s">
        <v>3397</v>
      </c>
      <c r="C767" s="375" t="s">
        <v>1973</v>
      </c>
      <c r="D767" s="375" t="s">
        <v>2442</v>
      </c>
      <c r="E767" s="375" t="s">
        <v>1969</v>
      </c>
      <c r="F767" s="375" t="s">
        <v>2447</v>
      </c>
    </row>
    <row r="768" spans="1:6">
      <c r="A768" s="375" t="s">
        <v>1971</v>
      </c>
      <c r="B768" s="375" t="s">
        <v>3397</v>
      </c>
      <c r="C768" s="375" t="s">
        <v>1973</v>
      </c>
      <c r="D768" s="375" t="s">
        <v>2442</v>
      </c>
      <c r="E768" s="375" t="s">
        <v>1970</v>
      </c>
      <c r="F768" s="375" t="s">
        <v>2448</v>
      </c>
    </row>
    <row r="769" spans="1:6">
      <c r="A769" s="375" t="s">
        <v>1971</v>
      </c>
      <c r="B769" s="375" t="s">
        <v>3397</v>
      </c>
      <c r="C769" s="375" t="s">
        <v>1973</v>
      </c>
      <c r="D769" s="375" t="s">
        <v>2442</v>
      </c>
      <c r="E769" s="375" t="s">
        <v>1971</v>
      </c>
      <c r="F769" s="375" t="s">
        <v>2449</v>
      </c>
    </row>
    <row r="770" spans="1:6">
      <c r="A770" s="375" t="s">
        <v>1971</v>
      </c>
      <c r="B770" s="375" t="s">
        <v>3397</v>
      </c>
      <c r="C770" s="375" t="s">
        <v>1973</v>
      </c>
      <c r="D770" s="375" t="s">
        <v>2442</v>
      </c>
      <c r="E770" s="375" t="s">
        <v>1972</v>
      </c>
      <c r="F770" s="375" t="s">
        <v>2450</v>
      </c>
    </row>
    <row r="771" spans="1:6">
      <c r="A771" s="375" t="s">
        <v>1971</v>
      </c>
      <c r="B771" s="375" t="s">
        <v>3397</v>
      </c>
      <c r="C771" s="375" t="s">
        <v>1974</v>
      </c>
      <c r="D771" s="375" t="s">
        <v>2451</v>
      </c>
      <c r="E771" s="375" t="s">
        <v>1964</v>
      </c>
      <c r="F771" s="375" t="s">
        <v>2451</v>
      </c>
    </row>
    <row r="772" spans="1:6">
      <c r="A772" s="375" t="s">
        <v>1971</v>
      </c>
      <c r="B772" s="375" t="s">
        <v>3397</v>
      </c>
      <c r="C772" s="375" t="s">
        <v>1974</v>
      </c>
      <c r="D772" s="375" t="s">
        <v>2451</v>
      </c>
      <c r="E772" s="375" t="s">
        <v>1965</v>
      </c>
      <c r="F772" s="375" t="s">
        <v>2452</v>
      </c>
    </row>
    <row r="773" spans="1:6">
      <c r="A773" s="375" t="s">
        <v>1971</v>
      </c>
      <c r="B773" s="375" t="s">
        <v>3397</v>
      </c>
      <c r="C773" s="375" t="s">
        <v>1974</v>
      </c>
      <c r="D773" s="375" t="s">
        <v>2451</v>
      </c>
      <c r="E773" s="375" t="s">
        <v>1966</v>
      </c>
      <c r="F773" s="375" t="s">
        <v>3891</v>
      </c>
    </row>
    <row r="774" spans="1:6">
      <c r="A774" s="375" t="s">
        <v>1971</v>
      </c>
      <c r="B774" s="375" t="s">
        <v>3397</v>
      </c>
      <c r="C774" s="375" t="s">
        <v>1974</v>
      </c>
      <c r="D774" s="375" t="s">
        <v>2451</v>
      </c>
      <c r="E774" s="375" t="s">
        <v>1967</v>
      </c>
      <c r="F774" s="375" t="s">
        <v>3892</v>
      </c>
    </row>
    <row r="775" spans="1:6">
      <c r="A775" s="375" t="s">
        <v>1971</v>
      </c>
      <c r="B775" s="375" t="s">
        <v>3397</v>
      </c>
      <c r="C775" s="375" t="s">
        <v>1974</v>
      </c>
      <c r="D775" s="375" t="s">
        <v>2451</v>
      </c>
      <c r="E775" s="375" t="s">
        <v>1968</v>
      </c>
      <c r="F775" s="375" t="s">
        <v>4188</v>
      </c>
    </row>
    <row r="776" spans="1:6">
      <c r="A776" s="375" t="s">
        <v>1971</v>
      </c>
      <c r="B776" s="375" t="s">
        <v>3397</v>
      </c>
      <c r="C776" s="375" t="s">
        <v>1974</v>
      </c>
      <c r="D776" s="375" t="s">
        <v>2451</v>
      </c>
      <c r="E776" s="375" t="s">
        <v>1969</v>
      </c>
      <c r="F776" s="375" t="s">
        <v>1400</v>
      </c>
    </row>
    <row r="777" spans="1:6">
      <c r="A777" s="375" t="s">
        <v>1971</v>
      </c>
      <c r="B777" s="375" t="s">
        <v>3397</v>
      </c>
      <c r="C777" s="375" t="s">
        <v>1975</v>
      </c>
      <c r="D777" s="375" t="s">
        <v>3604</v>
      </c>
      <c r="E777" s="375" t="s">
        <v>1964</v>
      </c>
      <c r="F777" s="375" t="s">
        <v>4189</v>
      </c>
    </row>
    <row r="778" spans="1:6">
      <c r="A778" s="375" t="s">
        <v>1971</v>
      </c>
      <c r="B778" s="375" t="s">
        <v>3397</v>
      </c>
      <c r="C778" s="375" t="s">
        <v>1975</v>
      </c>
      <c r="D778" s="375" t="s">
        <v>3604</v>
      </c>
      <c r="E778" s="375" t="s">
        <v>1965</v>
      </c>
      <c r="F778" s="375" t="s">
        <v>4190</v>
      </c>
    </row>
    <row r="779" spans="1:6">
      <c r="A779" s="375" t="s">
        <v>1971</v>
      </c>
      <c r="B779" s="375" t="s">
        <v>3397</v>
      </c>
      <c r="C779" s="375" t="s">
        <v>1975</v>
      </c>
      <c r="D779" s="375" t="s">
        <v>3604</v>
      </c>
      <c r="E779" s="375" t="s">
        <v>1966</v>
      </c>
      <c r="F779" s="375" t="s">
        <v>4191</v>
      </c>
    </row>
    <row r="780" spans="1:6">
      <c r="A780" s="375" t="s">
        <v>1971</v>
      </c>
      <c r="B780" s="375" t="s">
        <v>3397</v>
      </c>
      <c r="C780" s="375" t="s">
        <v>1975</v>
      </c>
      <c r="D780" s="375" t="s">
        <v>3604</v>
      </c>
      <c r="E780" s="375" t="s">
        <v>1967</v>
      </c>
      <c r="F780" s="375" t="s">
        <v>4192</v>
      </c>
    </row>
    <row r="781" spans="1:6">
      <c r="A781" s="375" t="s">
        <v>1971</v>
      </c>
      <c r="B781" s="375" t="s">
        <v>3397</v>
      </c>
      <c r="C781" s="375" t="s">
        <v>1975</v>
      </c>
      <c r="D781" s="375" t="s">
        <v>3604</v>
      </c>
      <c r="E781" s="375" t="s">
        <v>1968</v>
      </c>
      <c r="F781" s="375" t="s">
        <v>4193</v>
      </c>
    </row>
    <row r="782" spans="1:6">
      <c r="A782" s="375" t="s">
        <v>1971</v>
      </c>
      <c r="B782" s="375" t="s">
        <v>3397</v>
      </c>
      <c r="C782" s="375" t="s">
        <v>1975</v>
      </c>
      <c r="D782" s="375" t="s">
        <v>3604</v>
      </c>
      <c r="E782" s="375" t="s">
        <v>1969</v>
      </c>
      <c r="F782" s="375" t="s">
        <v>4194</v>
      </c>
    </row>
    <row r="783" spans="1:6">
      <c r="A783" s="375" t="s">
        <v>1971</v>
      </c>
      <c r="B783" s="375" t="s">
        <v>3397</v>
      </c>
      <c r="C783" s="375" t="s">
        <v>1975</v>
      </c>
      <c r="D783" s="375" t="s">
        <v>3604</v>
      </c>
      <c r="E783" s="375" t="s">
        <v>1970</v>
      </c>
      <c r="F783" s="375" t="s">
        <v>4195</v>
      </c>
    </row>
    <row r="784" spans="1:6">
      <c r="A784" s="375" t="s">
        <v>1971</v>
      </c>
      <c r="B784" s="375" t="s">
        <v>3397</v>
      </c>
      <c r="C784" s="375" t="s">
        <v>1975</v>
      </c>
      <c r="D784" s="375" t="s">
        <v>3604</v>
      </c>
      <c r="E784" s="375" t="s">
        <v>1971</v>
      </c>
      <c r="F784" s="375" t="s">
        <v>3043</v>
      </c>
    </row>
    <row r="785" spans="1:6">
      <c r="A785" s="375" t="s">
        <v>1971</v>
      </c>
      <c r="B785" s="375" t="s">
        <v>3397</v>
      </c>
      <c r="C785" s="375" t="s">
        <v>1975</v>
      </c>
      <c r="D785" s="375" t="s">
        <v>3604</v>
      </c>
      <c r="E785" s="375" t="s">
        <v>1972</v>
      </c>
      <c r="F785" s="375" t="s">
        <v>1582</v>
      </c>
    </row>
    <row r="786" spans="1:6">
      <c r="A786" s="375" t="s">
        <v>1971</v>
      </c>
      <c r="B786" s="375" t="s">
        <v>3397</v>
      </c>
      <c r="C786" s="375" t="s">
        <v>1975</v>
      </c>
      <c r="D786" s="375" t="s">
        <v>3604</v>
      </c>
      <c r="E786" s="375" t="s">
        <v>1973</v>
      </c>
      <c r="F786" s="375" t="s">
        <v>1583</v>
      </c>
    </row>
    <row r="787" spans="1:6">
      <c r="A787" s="375" t="s">
        <v>1971</v>
      </c>
      <c r="B787" s="375" t="s">
        <v>3397</v>
      </c>
      <c r="C787" s="375" t="s">
        <v>1975</v>
      </c>
      <c r="D787" s="375" t="s">
        <v>3604</v>
      </c>
      <c r="E787" s="375" t="s">
        <v>1974</v>
      </c>
      <c r="F787" s="375" t="s">
        <v>4287</v>
      </c>
    </row>
    <row r="788" spans="1:6">
      <c r="A788" s="375" t="s">
        <v>1971</v>
      </c>
      <c r="B788" s="375" t="s">
        <v>3397</v>
      </c>
      <c r="C788" s="375" t="s">
        <v>1975</v>
      </c>
      <c r="D788" s="375" t="s">
        <v>3604</v>
      </c>
      <c r="E788" s="375" t="s">
        <v>1975</v>
      </c>
      <c r="F788" s="375" t="s">
        <v>1584</v>
      </c>
    </row>
    <row r="789" spans="1:6">
      <c r="A789" s="375" t="s">
        <v>1971</v>
      </c>
      <c r="B789" s="375" t="s">
        <v>3397</v>
      </c>
      <c r="C789" s="375" t="s">
        <v>1976</v>
      </c>
      <c r="D789" s="375" t="s">
        <v>1466</v>
      </c>
      <c r="E789" s="375" t="s">
        <v>1964</v>
      </c>
      <c r="F789" s="375" t="s">
        <v>1466</v>
      </c>
    </row>
    <row r="790" spans="1:6">
      <c r="A790" s="375" t="s">
        <v>1971</v>
      </c>
      <c r="B790" s="375" t="s">
        <v>3397</v>
      </c>
      <c r="C790" s="375" t="s">
        <v>1976</v>
      </c>
      <c r="D790" s="375" t="s">
        <v>1466</v>
      </c>
      <c r="E790" s="375" t="s">
        <v>1965</v>
      </c>
      <c r="F790" s="375" t="s">
        <v>1467</v>
      </c>
    </row>
    <row r="791" spans="1:6">
      <c r="A791" s="375" t="s">
        <v>1971</v>
      </c>
      <c r="B791" s="375" t="s">
        <v>3397</v>
      </c>
      <c r="C791" s="375" t="s">
        <v>1976</v>
      </c>
      <c r="D791" s="375" t="s">
        <v>1466</v>
      </c>
      <c r="E791" s="375" t="s">
        <v>1966</v>
      </c>
      <c r="F791" s="375" t="s">
        <v>425</v>
      </c>
    </row>
    <row r="792" spans="1:6">
      <c r="A792" s="375" t="s">
        <v>1971</v>
      </c>
      <c r="B792" s="375" t="s">
        <v>3397</v>
      </c>
      <c r="C792" s="375" t="s">
        <v>1976</v>
      </c>
      <c r="D792" s="375" t="s">
        <v>1466</v>
      </c>
      <c r="E792" s="375" t="s">
        <v>1967</v>
      </c>
      <c r="F792" s="375" t="s">
        <v>1468</v>
      </c>
    </row>
    <row r="793" spans="1:6">
      <c r="A793" s="375" t="s">
        <v>1971</v>
      </c>
      <c r="B793" s="375" t="s">
        <v>3397</v>
      </c>
      <c r="C793" s="375" t="s">
        <v>1976</v>
      </c>
      <c r="D793" s="375" t="s">
        <v>1466</v>
      </c>
      <c r="E793" s="375" t="s">
        <v>1968</v>
      </c>
      <c r="F793" s="375" t="s">
        <v>1469</v>
      </c>
    </row>
    <row r="794" spans="1:6">
      <c r="A794" s="375" t="s">
        <v>1971</v>
      </c>
      <c r="B794" s="375" t="s">
        <v>3397</v>
      </c>
      <c r="C794" s="375" t="s">
        <v>1976</v>
      </c>
      <c r="D794" s="375" t="s">
        <v>1466</v>
      </c>
      <c r="E794" s="375" t="s">
        <v>1969</v>
      </c>
      <c r="F794" s="375" t="s">
        <v>1470</v>
      </c>
    </row>
    <row r="795" spans="1:6">
      <c r="A795" s="375" t="s">
        <v>1971</v>
      </c>
      <c r="B795" s="375" t="s">
        <v>3397</v>
      </c>
      <c r="C795" s="375" t="s">
        <v>1976</v>
      </c>
      <c r="D795" s="375" t="s">
        <v>1466</v>
      </c>
      <c r="E795" s="375" t="s">
        <v>1970</v>
      </c>
      <c r="F795" s="375" t="s">
        <v>1471</v>
      </c>
    </row>
    <row r="796" spans="1:6">
      <c r="A796" s="375" t="s">
        <v>1972</v>
      </c>
      <c r="B796" s="375" t="s">
        <v>1472</v>
      </c>
      <c r="C796" s="375" t="s">
        <v>1964</v>
      </c>
      <c r="D796" s="375" t="s">
        <v>1472</v>
      </c>
      <c r="E796" s="375" t="s">
        <v>1964</v>
      </c>
      <c r="F796" s="375" t="s">
        <v>1472</v>
      </c>
    </row>
    <row r="797" spans="1:6">
      <c r="A797" s="375" t="s">
        <v>1972</v>
      </c>
      <c r="B797" s="375" t="s">
        <v>1472</v>
      </c>
      <c r="C797" s="375" t="s">
        <v>1964</v>
      </c>
      <c r="D797" s="375" t="s">
        <v>1472</v>
      </c>
      <c r="E797" s="375" t="s">
        <v>1965</v>
      </c>
      <c r="F797" s="375" t="s">
        <v>1473</v>
      </c>
    </row>
    <row r="798" spans="1:6">
      <c r="A798" s="375" t="s">
        <v>1972</v>
      </c>
      <c r="B798" s="375" t="s">
        <v>1472</v>
      </c>
      <c r="C798" s="375" t="s">
        <v>1964</v>
      </c>
      <c r="D798" s="375" t="s">
        <v>1472</v>
      </c>
      <c r="E798" s="375" t="s">
        <v>1966</v>
      </c>
      <c r="F798" s="375" t="s">
        <v>1474</v>
      </c>
    </row>
    <row r="799" spans="1:6">
      <c r="A799" s="375" t="s">
        <v>1972</v>
      </c>
      <c r="B799" s="375" t="s">
        <v>1472</v>
      </c>
      <c r="C799" s="375" t="s">
        <v>1964</v>
      </c>
      <c r="D799" s="375" t="s">
        <v>1472</v>
      </c>
      <c r="E799" s="375" t="s">
        <v>1967</v>
      </c>
      <c r="F799" s="375" t="s">
        <v>1475</v>
      </c>
    </row>
    <row r="800" spans="1:6">
      <c r="A800" s="375" t="s">
        <v>1972</v>
      </c>
      <c r="B800" s="375" t="s">
        <v>1472</v>
      </c>
      <c r="C800" s="375" t="s">
        <v>1964</v>
      </c>
      <c r="D800" s="375" t="s">
        <v>1472</v>
      </c>
      <c r="E800" s="375" t="s">
        <v>1968</v>
      </c>
      <c r="F800" s="375" t="s">
        <v>1476</v>
      </c>
    </row>
    <row r="801" spans="1:6">
      <c r="A801" s="375" t="s">
        <v>1972</v>
      </c>
      <c r="B801" s="375" t="s">
        <v>1472</v>
      </c>
      <c r="C801" s="375" t="s">
        <v>1964</v>
      </c>
      <c r="D801" s="375" t="s">
        <v>1472</v>
      </c>
      <c r="E801" s="375" t="s">
        <v>1969</v>
      </c>
      <c r="F801" s="375" t="s">
        <v>1477</v>
      </c>
    </row>
    <row r="802" spans="1:6">
      <c r="A802" s="375" t="s">
        <v>1972</v>
      </c>
      <c r="B802" s="375" t="s">
        <v>1472</v>
      </c>
      <c r="C802" s="375" t="s">
        <v>1964</v>
      </c>
      <c r="D802" s="375" t="s">
        <v>1472</v>
      </c>
      <c r="E802" s="375" t="s">
        <v>1970</v>
      </c>
      <c r="F802" s="375" t="s">
        <v>1478</v>
      </c>
    </row>
    <row r="803" spans="1:6">
      <c r="A803" s="375" t="s">
        <v>1972</v>
      </c>
      <c r="B803" s="375" t="s">
        <v>1472</v>
      </c>
      <c r="C803" s="375" t="s">
        <v>1964</v>
      </c>
      <c r="D803" s="375" t="s">
        <v>1472</v>
      </c>
      <c r="E803" s="375" t="s">
        <v>1971</v>
      </c>
      <c r="F803" s="375" t="s">
        <v>1479</v>
      </c>
    </row>
    <row r="804" spans="1:6">
      <c r="A804" s="375" t="s">
        <v>1972</v>
      </c>
      <c r="B804" s="375" t="s">
        <v>1472</v>
      </c>
      <c r="C804" s="375" t="s">
        <v>1964</v>
      </c>
      <c r="D804" s="375" t="s">
        <v>1472</v>
      </c>
      <c r="E804" s="375" t="s">
        <v>1972</v>
      </c>
      <c r="F804" s="375" t="s">
        <v>1480</v>
      </c>
    </row>
    <row r="805" spans="1:6">
      <c r="A805" s="375" t="s">
        <v>1972</v>
      </c>
      <c r="B805" s="375" t="s">
        <v>1472</v>
      </c>
      <c r="C805" s="375" t="s">
        <v>1964</v>
      </c>
      <c r="D805" s="375" t="s">
        <v>1472</v>
      </c>
      <c r="E805" s="375" t="s">
        <v>1973</v>
      </c>
      <c r="F805" s="375" t="s">
        <v>1481</v>
      </c>
    </row>
    <row r="806" spans="1:6">
      <c r="A806" s="375" t="s">
        <v>1972</v>
      </c>
      <c r="B806" s="375" t="s">
        <v>1472</v>
      </c>
      <c r="C806" s="375" t="s">
        <v>1964</v>
      </c>
      <c r="D806" s="375" t="s">
        <v>1472</v>
      </c>
      <c r="E806" s="375" t="s">
        <v>1974</v>
      </c>
      <c r="F806" s="375" t="s">
        <v>2386</v>
      </c>
    </row>
    <row r="807" spans="1:6">
      <c r="A807" s="375" t="s">
        <v>1972</v>
      </c>
      <c r="B807" s="375" t="s">
        <v>1472</v>
      </c>
      <c r="C807" s="375" t="s">
        <v>1964</v>
      </c>
      <c r="D807" s="375" t="s">
        <v>1472</v>
      </c>
      <c r="E807" s="375" t="s">
        <v>1975</v>
      </c>
      <c r="F807" s="375" t="s">
        <v>283</v>
      </c>
    </row>
    <row r="808" spans="1:6">
      <c r="A808" s="375" t="s">
        <v>1972</v>
      </c>
      <c r="B808" s="375" t="s">
        <v>1472</v>
      </c>
      <c r="C808" s="375" t="s">
        <v>1964</v>
      </c>
      <c r="D808" s="375" t="s">
        <v>1472</v>
      </c>
      <c r="E808" s="375" t="s">
        <v>1976</v>
      </c>
      <c r="F808" s="375" t="s">
        <v>284</v>
      </c>
    </row>
    <row r="809" spans="1:6">
      <c r="A809" s="375" t="s">
        <v>1972</v>
      </c>
      <c r="B809" s="375" t="s">
        <v>1472</v>
      </c>
      <c r="C809" s="375" t="s">
        <v>1964</v>
      </c>
      <c r="D809" s="375" t="s">
        <v>1472</v>
      </c>
      <c r="E809" s="375" t="s">
        <v>1977</v>
      </c>
      <c r="F809" s="375" t="s">
        <v>4196</v>
      </c>
    </row>
    <row r="810" spans="1:6">
      <c r="A810" s="375" t="s">
        <v>1972</v>
      </c>
      <c r="B810" s="375" t="s">
        <v>1472</v>
      </c>
      <c r="C810" s="375" t="s">
        <v>1964</v>
      </c>
      <c r="D810" s="375" t="s">
        <v>1472</v>
      </c>
      <c r="E810" s="375" t="s">
        <v>1978</v>
      </c>
      <c r="F810" s="375" t="s">
        <v>4197</v>
      </c>
    </row>
    <row r="811" spans="1:6">
      <c r="A811" s="375" t="s">
        <v>1972</v>
      </c>
      <c r="B811" s="375" t="s">
        <v>1472</v>
      </c>
      <c r="C811" s="375" t="s">
        <v>1964</v>
      </c>
      <c r="D811" s="375" t="s">
        <v>1472</v>
      </c>
      <c r="E811" s="375" t="s">
        <v>1979</v>
      </c>
      <c r="F811" s="375" t="s">
        <v>4198</v>
      </c>
    </row>
    <row r="812" spans="1:6">
      <c r="A812" s="375" t="s">
        <v>1972</v>
      </c>
      <c r="B812" s="375" t="s">
        <v>1472</v>
      </c>
      <c r="C812" s="375" t="s">
        <v>1964</v>
      </c>
      <c r="D812" s="375" t="s">
        <v>1472</v>
      </c>
      <c r="E812" s="375" t="s">
        <v>1980</v>
      </c>
      <c r="F812" s="375" t="s">
        <v>4199</v>
      </c>
    </row>
    <row r="813" spans="1:6">
      <c r="A813" s="375" t="s">
        <v>1972</v>
      </c>
      <c r="B813" s="375" t="s">
        <v>1472</v>
      </c>
      <c r="C813" s="375" t="s">
        <v>1964</v>
      </c>
      <c r="D813" s="375" t="s">
        <v>1472</v>
      </c>
      <c r="E813" s="375" t="s">
        <v>1981</v>
      </c>
      <c r="F813" s="375" t="s">
        <v>1401</v>
      </c>
    </row>
    <row r="814" spans="1:6">
      <c r="A814" s="375" t="s">
        <v>1972</v>
      </c>
      <c r="B814" s="375" t="s">
        <v>1472</v>
      </c>
      <c r="C814" s="375" t="s">
        <v>1964</v>
      </c>
      <c r="D814" s="375" t="s">
        <v>1472</v>
      </c>
      <c r="E814" s="375" t="s">
        <v>1982</v>
      </c>
      <c r="F814" s="375" t="s">
        <v>4332</v>
      </c>
    </row>
    <row r="815" spans="1:6">
      <c r="A815" s="375" t="s">
        <v>1972</v>
      </c>
      <c r="B815" s="375" t="s">
        <v>1472</v>
      </c>
      <c r="C815" s="375" t="s">
        <v>1965</v>
      </c>
      <c r="D815" s="375" t="s">
        <v>558</v>
      </c>
      <c r="E815" s="375" t="s">
        <v>1964</v>
      </c>
      <c r="F815" s="375" t="s">
        <v>558</v>
      </c>
    </row>
    <row r="816" spans="1:6">
      <c r="A816" s="375" t="s">
        <v>1972</v>
      </c>
      <c r="B816" s="375" t="s">
        <v>1472</v>
      </c>
      <c r="C816" s="375" t="s">
        <v>1965</v>
      </c>
      <c r="D816" s="375" t="s">
        <v>558</v>
      </c>
      <c r="E816" s="375" t="s">
        <v>1965</v>
      </c>
      <c r="F816" s="375" t="s">
        <v>247</v>
      </c>
    </row>
    <row r="817" spans="1:6">
      <c r="A817" s="375" t="s">
        <v>1972</v>
      </c>
      <c r="B817" s="375" t="s">
        <v>1472</v>
      </c>
      <c r="C817" s="375" t="s">
        <v>1965</v>
      </c>
      <c r="D817" s="375" t="s">
        <v>558</v>
      </c>
      <c r="E817" s="375" t="s">
        <v>1966</v>
      </c>
      <c r="F817" s="375" t="s">
        <v>1462</v>
      </c>
    </row>
    <row r="818" spans="1:6">
      <c r="A818" s="375" t="s">
        <v>1972</v>
      </c>
      <c r="B818" s="375" t="s">
        <v>1472</v>
      </c>
      <c r="C818" s="375" t="s">
        <v>1965</v>
      </c>
      <c r="D818" s="375" t="s">
        <v>558</v>
      </c>
      <c r="E818" s="375" t="s">
        <v>1967</v>
      </c>
      <c r="F818" s="375" t="s">
        <v>4200</v>
      </c>
    </row>
    <row r="819" spans="1:6">
      <c r="A819" s="375" t="s">
        <v>1972</v>
      </c>
      <c r="B819" s="375" t="s">
        <v>1472</v>
      </c>
      <c r="C819" s="375" t="s">
        <v>1965</v>
      </c>
      <c r="D819" s="375" t="s">
        <v>558</v>
      </c>
      <c r="E819" s="375" t="s">
        <v>1968</v>
      </c>
      <c r="F819" s="375" t="s">
        <v>4201</v>
      </c>
    </row>
    <row r="820" spans="1:6">
      <c r="A820" s="375" t="s">
        <v>1972</v>
      </c>
      <c r="B820" s="375" t="s">
        <v>1472</v>
      </c>
      <c r="C820" s="375" t="s">
        <v>1965</v>
      </c>
      <c r="D820" s="375" t="s">
        <v>558</v>
      </c>
      <c r="E820" s="375" t="s">
        <v>1969</v>
      </c>
      <c r="F820" s="375" t="s">
        <v>4202</v>
      </c>
    </row>
    <row r="821" spans="1:6">
      <c r="A821" s="375" t="s">
        <v>1972</v>
      </c>
      <c r="B821" s="375" t="s">
        <v>1472</v>
      </c>
      <c r="C821" s="375" t="s">
        <v>1965</v>
      </c>
      <c r="D821" s="375" t="s">
        <v>558</v>
      </c>
      <c r="E821" s="375" t="s">
        <v>1970</v>
      </c>
      <c r="F821" s="375" t="s">
        <v>3572</v>
      </c>
    </row>
    <row r="822" spans="1:6">
      <c r="A822" s="375" t="s">
        <v>1972</v>
      </c>
      <c r="B822" s="375" t="s">
        <v>1472</v>
      </c>
      <c r="C822" s="375" t="s">
        <v>1965</v>
      </c>
      <c r="D822" s="375" t="s">
        <v>558</v>
      </c>
      <c r="E822" s="375" t="s">
        <v>1971</v>
      </c>
      <c r="F822" s="375" t="s">
        <v>4203</v>
      </c>
    </row>
    <row r="823" spans="1:6">
      <c r="A823" s="375" t="s">
        <v>1972</v>
      </c>
      <c r="B823" s="375" t="s">
        <v>1472</v>
      </c>
      <c r="C823" s="375" t="s">
        <v>1966</v>
      </c>
      <c r="D823" s="375" t="s">
        <v>4204</v>
      </c>
      <c r="E823" s="375" t="s">
        <v>1964</v>
      </c>
      <c r="F823" s="375" t="s">
        <v>4204</v>
      </c>
    </row>
    <row r="824" spans="1:6">
      <c r="A824" s="375" t="s">
        <v>1972</v>
      </c>
      <c r="B824" s="375" t="s">
        <v>1472</v>
      </c>
      <c r="C824" s="375" t="s">
        <v>1966</v>
      </c>
      <c r="D824" s="375" t="s">
        <v>4204</v>
      </c>
      <c r="E824" s="375" t="s">
        <v>1965</v>
      </c>
      <c r="F824" s="375" t="s">
        <v>4205</v>
      </c>
    </row>
    <row r="825" spans="1:6">
      <c r="A825" s="375" t="s">
        <v>1972</v>
      </c>
      <c r="B825" s="375" t="s">
        <v>1472</v>
      </c>
      <c r="C825" s="375" t="s">
        <v>1966</v>
      </c>
      <c r="D825" s="375" t="s">
        <v>4204</v>
      </c>
      <c r="E825" s="375" t="s">
        <v>1966</v>
      </c>
      <c r="F825" s="375" t="s">
        <v>4206</v>
      </c>
    </row>
    <row r="826" spans="1:6">
      <c r="A826" s="375" t="s">
        <v>1972</v>
      </c>
      <c r="B826" s="375" t="s">
        <v>1472</v>
      </c>
      <c r="C826" s="375" t="s">
        <v>1966</v>
      </c>
      <c r="D826" s="375" t="s">
        <v>4204</v>
      </c>
      <c r="E826" s="375" t="s">
        <v>1967</v>
      </c>
      <c r="F826" s="375" t="s">
        <v>4207</v>
      </c>
    </row>
    <row r="827" spans="1:6">
      <c r="A827" s="375" t="s">
        <v>1972</v>
      </c>
      <c r="B827" s="375" t="s">
        <v>1472</v>
      </c>
      <c r="C827" s="375" t="s">
        <v>1966</v>
      </c>
      <c r="D827" s="375" t="s">
        <v>4204</v>
      </c>
      <c r="E827" s="375" t="s">
        <v>1968</v>
      </c>
      <c r="F827" s="375" t="s">
        <v>4208</v>
      </c>
    </row>
    <row r="828" spans="1:6">
      <c r="A828" s="375" t="s">
        <v>1972</v>
      </c>
      <c r="B828" s="375" t="s">
        <v>1472</v>
      </c>
      <c r="C828" s="375" t="s">
        <v>1966</v>
      </c>
      <c r="D828" s="375" t="s">
        <v>4204</v>
      </c>
      <c r="E828" s="375" t="s">
        <v>1969</v>
      </c>
      <c r="F828" s="375" t="s">
        <v>4209</v>
      </c>
    </row>
    <row r="829" spans="1:6">
      <c r="A829" s="375" t="s">
        <v>1972</v>
      </c>
      <c r="B829" s="375" t="s">
        <v>1472</v>
      </c>
      <c r="C829" s="375" t="s">
        <v>1966</v>
      </c>
      <c r="D829" s="375" t="s">
        <v>4204</v>
      </c>
      <c r="E829" s="375" t="s">
        <v>1970</v>
      </c>
      <c r="F829" s="375" t="s">
        <v>4210</v>
      </c>
    </row>
    <row r="830" spans="1:6">
      <c r="A830" s="375" t="s">
        <v>1972</v>
      </c>
      <c r="B830" s="375" t="s">
        <v>1472</v>
      </c>
      <c r="C830" s="375" t="s">
        <v>1966</v>
      </c>
      <c r="D830" s="375" t="s">
        <v>4204</v>
      </c>
      <c r="E830" s="375" t="s">
        <v>1971</v>
      </c>
      <c r="F830" s="375" t="s">
        <v>4211</v>
      </c>
    </row>
    <row r="831" spans="1:6">
      <c r="A831" s="375" t="s">
        <v>1972</v>
      </c>
      <c r="B831" s="375" t="s">
        <v>1472</v>
      </c>
      <c r="C831" s="375" t="s">
        <v>1966</v>
      </c>
      <c r="D831" s="375" t="s">
        <v>4204</v>
      </c>
      <c r="E831" s="375" t="s">
        <v>1972</v>
      </c>
      <c r="F831" s="375" t="s">
        <v>4212</v>
      </c>
    </row>
    <row r="832" spans="1:6">
      <c r="A832" s="375" t="s">
        <v>1972</v>
      </c>
      <c r="B832" s="375" t="s">
        <v>1472</v>
      </c>
      <c r="C832" s="375" t="s">
        <v>1966</v>
      </c>
      <c r="D832" s="375" t="s">
        <v>4204</v>
      </c>
      <c r="E832" s="375" t="s">
        <v>1973</v>
      </c>
      <c r="F832" s="375" t="s">
        <v>1079</v>
      </c>
    </row>
    <row r="833" spans="1:6">
      <c r="A833" s="375" t="s">
        <v>1972</v>
      </c>
      <c r="B833" s="375" t="s">
        <v>1472</v>
      </c>
      <c r="C833" s="375" t="s">
        <v>1966</v>
      </c>
      <c r="D833" s="375" t="s">
        <v>4204</v>
      </c>
      <c r="E833" s="375" t="s">
        <v>1974</v>
      </c>
      <c r="F833" s="375" t="s">
        <v>1080</v>
      </c>
    </row>
    <row r="834" spans="1:6">
      <c r="A834" s="375" t="s">
        <v>1972</v>
      </c>
      <c r="B834" s="375" t="s">
        <v>1472</v>
      </c>
      <c r="C834" s="375" t="s">
        <v>1966</v>
      </c>
      <c r="D834" s="375" t="s">
        <v>4204</v>
      </c>
      <c r="E834" s="375" t="s">
        <v>1975</v>
      </c>
      <c r="F834" s="375" t="s">
        <v>1081</v>
      </c>
    </row>
    <row r="835" spans="1:6">
      <c r="A835" s="375" t="s">
        <v>1972</v>
      </c>
      <c r="B835" s="375" t="s">
        <v>1472</v>
      </c>
      <c r="C835" s="375" t="s">
        <v>1967</v>
      </c>
      <c r="D835" s="375" t="s">
        <v>1082</v>
      </c>
      <c r="E835" s="375" t="s">
        <v>1964</v>
      </c>
      <c r="F835" s="375" t="s">
        <v>1082</v>
      </c>
    </row>
    <row r="836" spans="1:6">
      <c r="A836" s="375" t="s">
        <v>1972</v>
      </c>
      <c r="B836" s="375" t="s">
        <v>1472</v>
      </c>
      <c r="C836" s="375" t="s">
        <v>1967</v>
      </c>
      <c r="D836" s="375" t="s">
        <v>1082</v>
      </c>
      <c r="E836" s="375" t="s">
        <v>1965</v>
      </c>
      <c r="F836" s="375" t="s">
        <v>1083</v>
      </c>
    </row>
    <row r="837" spans="1:6">
      <c r="A837" s="375" t="s">
        <v>1972</v>
      </c>
      <c r="B837" s="375" t="s">
        <v>1472</v>
      </c>
      <c r="C837" s="375" t="s">
        <v>1967</v>
      </c>
      <c r="D837" s="375" t="s">
        <v>1082</v>
      </c>
      <c r="E837" s="375" t="s">
        <v>1966</v>
      </c>
      <c r="F837" s="375" t="s">
        <v>1092</v>
      </c>
    </row>
    <row r="838" spans="1:6">
      <c r="A838" s="375" t="s">
        <v>1972</v>
      </c>
      <c r="B838" s="375" t="s">
        <v>1472</v>
      </c>
      <c r="C838" s="375" t="s">
        <v>1967</v>
      </c>
      <c r="D838" s="375" t="s">
        <v>1082</v>
      </c>
      <c r="E838" s="375" t="s">
        <v>1967</v>
      </c>
      <c r="F838" s="375" t="s">
        <v>1093</v>
      </c>
    </row>
    <row r="839" spans="1:6">
      <c r="A839" s="375" t="s">
        <v>1972</v>
      </c>
      <c r="B839" s="375" t="s">
        <v>1472</v>
      </c>
      <c r="C839" s="375" t="s">
        <v>1967</v>
      </c>
      <c r="D839" s="375" t="s">
        <v>1082</v>
      </c>
      <c r="E839" s="375" t="s">
        <v>1968</v>
      </c>
      <c r="F839" s="375" t="s">
        <v>1094</v>
      </c>
    </row>
    <row r="840" spans="1:6">
      <c r="A840" s="375" t="s">
        <v>1972</v>
      </c>
      <c r="B840" s="375" t="s">
        <v>1472</v>
      </c>
      <c r="C840" s="375" t="s">
        <v>1967</v>
      </c>
      <c r="D840" s="375" t="s">
        <v>1082</v>
      </c>
      <c r="E840" s="375" t="s">
        <v>1969</v>
      </c>
      <c r="F840" s="375" t="s">
        <v>1095</v>
      </c>
    </row>
    <row r="841" spans="1:6">
      <c r="A841" s="375" t="s">
        <v>1972</v>
      </c>
      <c r="B841" s="375" t="s">
        <v>1472</v>
      </c>
      <c r="C841" s="375" t="s">
        <v>1967</v>
      </c>
      <c r="D841" s="375" t="s">
        <v>1082</v>
      </c>
      <c r="E841" s="375" t="s">
        <v>1970</v>
      </c>
      <c r="F841" s="375" t="s">
        <v>1096</v>
      </c>
    </row>
    <row r="842" spans="1:6">
      <c r="A842" s="375" t="s">
        <v>1972</v>
      </c>
      <c r="B842" s="375" t="s">
        <v>1472</v>
      </c>
      <c r="C842" s="375" t="s">
        <v>1967</v>
      </c>
      <c r="D842" s="375" t="s">
        <v>1082</v>
      </c>
      <c r="E842" s="375" t="s">
        <v>1971</v>
      </c>
      <c r="F842" s="375" t="s">
        <v>1097</v>
      </c>
    </row>
    <row r="843" spans="1:6">
      <c r="A843" s="375" t="s">
        <v>1972</v>
      </c>
      <c r="B843" s="375" t="s">
        <v>1472</v>
      </c>
      <c r="C843" s="375" t="s">
        <v>1967</v>
      </c>
      <c r="D843" s="375" t="s">
        <v>1082</v>
      </c>
      <c r="E843" s="375" t="s">
        <v>1972</v>
      </c>
      <c r="F843" s="375" t="s">
        <v>1098</v>
      </c>
    </row>
    <row r="844" spans="1:6">
      <c r="A844" s="375" t="s">
        <v>1972</v>
      </c>
      <c r="B844" s="375" t="s">
        <v>1472</v>
      </c>
      <c r="C844" s="375" t="s">
        <v>1967</v>
      </c>
      <c r="D844" s="375" t="s">
        <v>1082</v>
      </c>
      <c r="E844" s="375" t="s">
        <v>1973</v>
      </c>
      <c r="F844" s="375" t="s">
        <v>1485</v>
      </c>
    </row>
    <row r="845" spans="1:6">
      <c r="A845" s="375" t="s">
        <v>1972</v>
      </c>
      <c r="B845" s="375" t="s">
        <v>1472</v>
      </c>
      <c r="C845" s="375" t="s">
        <v>1967</v>
      </c>
      <c r="D845" s="375" t="s">
        <v>1082</v>
      </c>
      <c r="E845" s="375" t="s">
        <v>1974</v>
      </c>
      <c r="F845" s="375" t="s">
        <v>99</v>
      </c>
    </row>
    <row r="846" spans="1:6">
      <c r="A846" s="375" t="s">
        <v>1972</v>
      </c>
      <c r="B846" s="375" t="s">
        <v>1472</v>
      </c>
      <c r="C846" s="375" t="s">
        <v>1967</v>
      </c>
      <c r="D846" s="375" t="s">
        <v>1082</v>
      </c>
      <c r="E846" s="375" t="s">
        <v>1975</v>
      </c>
      <c r="F846" s="375" t="s">
        <v>1099</v>
      </c>
    </row>
    <row r="847" spans="1:6">
      <c r="A847" s="375" t="s">
        <v>1972</v>
      </c>
      <c r="B847" s="375" t="s">
        <v>1472</v>
      </c>
      <c r="C847" s="375" t="s">
        <v>1967</v>
      </c>
      <c r="D847" s="375" t="s">
        <v>1082</v>
      </c>
      <c r="E847" s="375" t="s">
        <v>1976</v>
      </c>
      <c r="F847" s="375" t="s">
        <v>1100</v>
      </c>
    </row>
    <row r="848" spans="1:6">
      <c r="A848" s="375" t="s">
        <v>1972</v>
      </c>
      <c r="B848" s="375" t="s">
        <v>1472</v>
      </c>
      <c r="C848" s="375" t="s">
        <v>1968</v>
      </c>
      <c r="D848" s="375" t="s">
        <v>2748</v>
      </c>
      <c r="E848" s="375" t="s">
        <v>1964</v>
      </c>
      <c r="F848" s="375" t="s">
        <v>2748</v>
      </c>
    </row>
    <row r="849" spans="1:6">
      <c r="A849" s="375" t="s">
        <v>1972</v>
      </c>
      <c r="B849" s="375" t="s">
        <v>1472</v>
      </c>
      <c r="C849" s="375" t="s">
        <v>1968</v>
      </c>
      <c r="D849" s="375" t="s">
        <v>2748</v>
      </c>
      <c r="E849" s="375" t="s">
        <v>1965</v>
      </c>
      <c r="F849" s="375" t="s">
        <v>721</v>
      </c>
    </row>
    <row r="850" spans="1:6">
      <c r="A850" s="375" t="s">
        <v>1972</v>
      </c>
      <c r="B850" s="375" t="s">
        <v>1472</v>
      </c>
      <c r="C850" s="375" t="s">
        <v>1968</v>
      </c>
      <c r="D850" s="375" t="s">
        <v>2748</v>
      </c>
      <c r="E850" s="375" t="s">
        <v>1966</v>
      </c>
      <c r="F850" s="375" t="s">
        <v>2749</v>
      </c>
    </row>
    <row r="851" spans="1:6">
      <c r="A851" s="375" t="s">
        <v>1972</v>
      </c>
      <c r="B851" s="375" t="s">
        <v>1472</v>
      </c>
      <c r="C851" s="375" t="s">
        <v>1968</v>
      </c>
      <c r="D851" s="375" t="s">
        <v>2748</v>
      </c>
      <c r="E851" s="375" t="s">
        <v>1967</v>
      </c>
      <c r="F851" s="375" t="s">
        <v>54</v>
      </c>
    </row>
    <row r="852" spans="1:6">
      <c r="A852" s="375" t="s">
        <v>1972</v>
      </c>
      <c r="B852" s="375" t="s">
        <v>1472</v>
      </c>
      <c r="C852" s="375" t="s">
        <v>1968</v>
      </c>
      <c r="D852" s="375" t="s">
        <v>2748</v>
      </c>
      <c r="E852" s="375" t="s">
        <v>1968</v>
      </c>
      <c r="F852" s="375" t="s">
        <v>1339</v>
      </c>
    </row>
    <row r="853" spans="1:6">
      <c r="A853" s="375" t="s">
        <v>1972</v>
      </c>
      <c r="B853" s="375" t="s">
        <v>1472</v>
      </c>
      <c r="C853" s="375" t="s">
        <v>1968</v>
      </c>
      <c r="D853" s="375" t="s">
        <v>2748</v>
      </c>
      <c r="E853" s="375" t="s">
        <v>1969</v>
      </c>
      <c r="F853" s="375" t="s">
        <v>55</v>
      </c>
    </row>
    <row r="854" spans="1:6">
      <c r="A854" s="375" t="s">
        <v>1972</v>
      </c>
      <c r="B854" s="375" t="s">
        <v>1472</v>
      </c>
      <c r="C854" s="375" t="s">
        <v>1968</v>
      </c>
      <c r="D854" s="375" t="s">
        <v>2748</v>
      </c>
      <c r="E854" s="375" t="s">
        <v>1970</v>
      </c>
      <c r="F854" s="375" t="s">
        <v>56</v>
      </c>
    </row>
    <row r="855" spans="1:6">
      <c r="A855" s="375" t="s">
        <v>1972</v>
      </c>
      <c r="B855" s="375" t="s">
        <v>1472</v>
      </c>
      <c r="C855" s="375" t="s">
        <v>1968</v>
      </c>
      <c r="D855" s="375" t="s">
        <v>2748</v>
      </c>
      <c r="E855" s="375" t="s">
        <v>1971</v>
      </c>
      <c r="F855" s="375" t="s">
        <v>1231</v>
      </c>
    </row>
    <row r="856" spans="1:6">
      <c r="A856" s="375" t="s">
        <v>1972</v>
      </c>
      <c r="B856" s="375" t="s">
        <v>1472</v>
      </c>
      <c r="C856" s="375" t="s">
        <v>1968</v>
      </c>
      <c r="D856" s="375" t="s">
        <v>2748</v>
      </c>
      <c r="E856" s="375" t="s">
        <v>1972</v>
      </c>
      <c r="F856" s="375" t="s">
        <v>1232</v>
      </c>
    </row>
    <row r="857" spans="1:6">
      <c r="A857" s="375" t="s">
        <v>1972</v>
      </c>
      <c r="B857" s="375" t="s">
        <v>1472</v>
      </c>
      <c r="C857" s="375" t="s">
        <v>1968</v>
      </c>
      <c r="D857" s="375" t="s">
        <v>2748</v>
      </c>
      <c r="E857" s="375" t="s">
        <v>1973</v>
      </c>
      <c r="F857" s="375" t="s">
        <v>3605</v>
      </c>
    </row>
    <row r="858" spans="1:6">
      <c r="A858" s="375" t="s">
        <v>1972</v>
      </c>
      <c r="B858" s="375" t="s">
        <v>1472</v>
      </c>
      <c r="C858" s="375" t="s">
        <v>1969</v>
      </c>
      <c r="D858" s="375" t="s">
        <v>4245</v>
      </c>
      <c r="E858" s="375" t="s">
        <v>1964</v>
      </c>
      <c r="F858" s="375" t="s">
        <v>4245</v>
      </c>
    </row>
    <row r="859" spans="1:6">
      <c r="A859" s="375" t="s">
        <v>1972</v>
      </c>
      <c r="B859" s="375" t="s">
        <v>1472</v>
      </c>
      <c r="C859" s="375" t="s">
        <v>1969</v>
      </c>
      <c r="D859" s="375" t="s">
        <v>4245</v>
      </c>
      <c r="E859" s="375" t="s">
        <v>1965</v>
      </c>
      <c r="F859" s="375" t="s">
        <v>4246</v>
      </c>
    </row>
    <row r="860" spans="1:6">
      <c r="A860" s="375" t="s">
        <v>1972</v>
      </c>
      <c r="B860" s="375" t="s">
        <v>1472</v>
      </c>
      <c r="C860" s="375" t="s">
        <v>1969</v>
      </c>
      <c r="D860" s="375" t="s">
        <v>4245</v>
      </c>
      <c r="E860" s="375" t="s">
        <v>1966</v>
      </c>
      <c r="F860" s="375" t="s">
        <v>2483</v>
      </c>
    </row>
    <row r="861" spans="1:6">
      <c r="A861" s="375" t="s">
        <v>1972</v>
      </c>
      <c r="B861" s="375" t="s">
        <v>1472</v>
      </c>
      <c r="C861" s="375" t="s">
        <v>1969</v>
      </c>
      <c r="D861" s="375" t="s">
        <v>4245</v>
      </c>
      <c r="E861" s="375" t="s">
        <v>1967</v>
      </c>
      <c r="F861" s="375" t="s">
        <v>2484</v>
      </c>
    </row>
    <row r="862" spans="1:6">
      <c r="A862" s="375" t="s">
        <v>1972</v>
      </c>
      <c r="B862" s="375" t="s">
        <v>1472</v>
      </c>
      <c r="C862" s="375" t="s">
        <v>1969</v>
      </c>
      <c r="D862" s="375" t="s">
        <v>4245</v>
      </c>
      <c r="E862" s="375" t="s">
        <v>1968</v>
      </c>
      <c r="F862" s="375" t="s">
        <v>2485</v>
      </c>
    </row>
    <row r="863" spans="1:6">
      <c r="A863" s="375" t="s">
        <v>1972</v>
      </c>
      <c r="B863" s="375" t="s">
        <v>1472</v>
      </c>
      <c r="C863" s="375" t="s">
        <v>1969</v>
      </c>
      <c r="D863" s="375" t="s">
        <v>4245</v>
      </c>
      <c r="E863" s="375" t="s">
        <v>1969</v>
      </c>
      <c r="F863" s="375" t="s">
        <v>2486</v>
      </c>
    </row>
    <row r="864" spans="1:6">
      <c r="A864" s="375" t="s">
        <v>1972</v>
      </c>
      <c r="B864" s="375" t="s">
        <v>1472</v>
      </c>
      <c r="C864" s="375" t="s">
        <v>1969</v>
      </c>
      <c r="D864" s="375" t="s">
        <v>4245</v>
      </c>
      <c r="E864" s="375" t="s">
        <v>1970</v>
      </c>
      <c r="F864" s="375" t="s">
        <v>2487</v>
      </c>
    </row>
    <row r="865" spans="1:6">
      <c r="A865" s="375" t="s">
        <v>1972</v>
      </c>
      <c r="B865" s="375" t="s">
        <v>1472</v>
      </c>
      <c r="C865" s="375" t="s">
        <v>1969</v>
      </c>
      <c r="D865" s="375" t="s">
        <v>4245</v>
      </c>
      <c r="E865" s="375" t="s">
        <v>1971</v>
      </c>
      <c r="F865" s="375" t="s">
        <v>2488</v>
      </c>
    </row>
    <row r="866" spans="1:6">
      <c r="A866" s="375" t="s">
        <v>1972</v>
      </c>
      <c r="B866" s="375" t="s">
        <v>1472</v>
      </c>
      <c r="C866" s="375" t="s">
        <v>1969</v>
      </c>
      <c r="D866" s="375" t="s">
        <v>4245</v>
      </c>
      <c r="E866" s="375" t="s">
        <v>1972</v>
      </c>
      <c r="F866" s="375" t="s">
        <v>4280</v>
      </c>
    </row>
    <row r="867" spans="1:6">
      <c r="A867" s="375" t="s">
        <v>1972</v>
      </c>
      <c r="B867" s="375" t="s">
        <v>1472</v>
      </c>
      <c r="C867" s="375" t="s">
        <v>1969</v>
      </c>
      <c r="D867" s="375" t="s">
        <v>4245</v>
      </c>
      <c r="E867" s="375" t="s">
        <v>1973</v>
      </c>
      <c r="F867" s="375" t="s">
        <v>2662</v>
      </c>
    </row>
    <row r="868" spans="1:6">
      <c r="A868" s="375" t="s">
        <v>1972</v>
      </c>
      <c r="B868" s="375" t="s">
        <v>1472</v>
      </c>
      <c r="C868" s="375" t="s">
        <v>1969</v>
      </c>
      <c r="D868" s="375" t="s">
        <v>4245</v>
      </c>
      <c r="E868" s="375" t="s">
        <v>1974</v>
      </c>
      <c r="F868" s="375" t="s">
        <v>2663</v>
      </c>
    </row>
    <row r="869" spans="1:6">
      <c r="A869" s="375" t="s">
        <v>1972</v>
      </c>
      <c r="B869" s="375" t="s">
        <v>1472</v>
      </c>
      <c r="C869" s="375" t="s">
        <v>1969</v>
      </c>
      <c r="D869" s="375" t="s">
        <v>4245</v>
      </c>
      <c r="E869" s="375" t="s">
        <v>1975</v>
      </c>
      <c r="F869" s="375" t="s">
        <v>2664</v>
      </c>
    </row>
    <row r="870" spans="1:6">
      <c r="A870" s="375" t="s">
        <v>1972</v>
      </c>
      <c r="B870" s="375" t="s">
        <v>1472</v>
      </c>
      <c r="C870" s="375" t="s">
        <v>1969</v>
      </c>
      <c r="D870" s="375" t="s">
        <v>4245</v>
      </c>
      <c r="E870" s="375" t="s">
        <v>1976</v>
      </c>
      <c r="F870" s="375" t="s">
        <v>2665</v>
      </c>
    </row>
    <row r="871" spans="1:6">
      <c r="A871" s="375" t="s">
        <v>1972</v>
      </c>
      <c r="B871" s="375" t="s">
        <v>1472</v>
      </c>
      <c r="C871" s="375" t="s">
        <v>1969</v>
      </c>
      <c r="D871" s="375" t="s">
        <v>4245</v>
      </c>
      <c r="E871" s="375" t="s">
        <v>1977</v>
      </c>
      <c r="F871" s="375" t="s">
        <v>4056</v>
      </c>
    </row>
    <row r="872" spans="1:6">
      <c r="A872" s="375" t="s">
        <v>1972</v>
      </c>
      <c r="B872" s="375" t="s">
        <v>1472</v>
      </c>
      <c r="C872" s="375" t="s">
        <v>1969</v>
      </c>
      <c r="D872" s="375" t="s">
        <v>4245</v>
      </c>
      <c r="E872" s="375" t="s">
        <v>1978</v>
      </c>
      <c r="F872" s="375" t="s">
        <v>4326</v>
      </c>
    </row>
    <row r="873" spans="1:6">
      <c r="A873" s="375" t="s">
        <v>1972</v>
      </c>
      <c r="B873" s="375" t="s">
        <v>1472</v>
      </c>
      <c r="C873" s="375" t="s">
        <v>1969</v>
      </c>
      <c r="D873" s="375" t="s">
        <v>4245</v>
      </c>
      <c r="E873" s="375" t="s">
        <v>1979</v>
      </c>
      <c r="F873" s="375" t="s">
        <v>726</v>
      </c>
    </row>
    <row r="874" spans="1:6">
      <c r="A874" s="375" t="s">
        <v>1972</v>
      </c>
      <c r="B874" s="375" t="s">
        <v>1472</v>
      </c>
      <c r="C874" s="375" t="s">
        <v>1970</v>
      </c>
      <c r="D874" s="375" t="s">
        <v>4327</v>
      </c>
      <c r="E874" s="375" t="s">
        <v>1964</v>
      </c>
      <c r="F874" s="375" t="s">
        <v>2049</v>
      </c>
    </row>
    <row r="875" spans="1:6">
      <c r="A875" s="375" t="s">
        <v>1972</v>
      </c>
      <c r="B875" s="375" t="s">
        <v>1472</v>
      </c>
      <c r="C875" s="375" t="s">
        <v>1970</v>
      </c>
      <c r="D875" s="375" t="s">
        <v>4327</v>
      </c>
      <c r="E875" s="375" t="s">
        <v>1965</v>
      </c>
      <c r="F875" s="375" t="s">
        <v>4328</v>
      </c>
    </row>
    <row r="876" spans="1:6">
      <c r="A876" s="375" t="s">
        <v>1972</v>
      </c>
      <c r="B876" s="375" t="s">
        <v>1472</v>
      </c>
      <c r="C876" s="375" t="s">
        <v>1970</v>
      </c>
      <c r="D876" s="375" t="s">
        <v>4327</v>
      </c>
      <c r="E876" s="375" t="s">
        <v>1966</v>
      </c>
      <c r="F876" s="375" t="s">
        <v>4329</v>
      </c>
    </row>
    <row r="877" spans="1:6">
      <c r="A877" s="375" t="s">
        <v>1972</v>
      </c>
      <c r="B877" s="375" t="s">
        <v>1472</v>
      </c>
      <c r="C877" s="375" t="s">
        <v>1970</v>
      </c>
      <c r="D877" s="375" t="s">
        <v>4327</v>
      </c>
      <c r="E877" s="375" t="s">
        <v>1967</v>
      </c>
      <c r="F877" s="375" t="s">
        <v>4330</v>
      </c>
    </row>
    <row r="878" spans="1:6">
      <c r="A878" s="375" t="s">
        <v>1972</v>
      </c>
      <c r="B878" s="375" t="s">
        <v>1472</v>
      </c>
      <c r="C878" s="375" t="s">
        <v>1970</v>
      </c>
      <c r="D878" s="375" t="s">
        <v>4327</v>
      </c>
      <c r="E878" s="375" t="s">
        <v>1968</v>
      </c>
      <c r="F878" s="375" t="s">
        <v>52</v>
      </c>
    </row>
    <row r="879" spans="1:6">
      <c r="A879" s="375" t="s">
        <v>1972</v>
      </c>
      <c r="B879" s="375" t="s">
        <v>1472</v>
      </c>
      <c r="C879" s="375" t="s">
        <v>1970</v>
      </c>
      <c r="D879" s="375" t="s">
        <v>4327</v>
      </c>
      <c r="E879" s="375" t="s">
        <v>1969</v>
      </c>
      <c r="F879" s="375" t="s">
        <v>4331</v>
      </c>
    </row>
    <row r="880" spans="1:6">
      <c r="A880" s="375" t="s">
        <v>1972</v>
      </c>
      <c r="B880" s="375" t="s">
        <v>1472</v>
      </c>
      <c r="C880" s="375" t="s">
        <v>1970</v>
      </c>
      <c r="D880" s="375" t="s">
        <v>4327</v>
      </c>
      <c r="E880" s="375" t="s">
        <v>1970</v>
      </c>
      <c r="F880" s="375" t="s">
        <v>1477</v>
      </c>
    </row>
    <row r="881" spans="1:6">
      <c r="A881" s="375" t="s">
        <v>1972</v>
      </c>
      <c r="B881" s="375" t="s">
        <v>1472</v>
      </c>
      <c r="C881" s="375" t="s">
        <v>1970</v>
      </c>
      <c r="D881" s="375" t="s">
        <v>4327</v>
      </c>
      <c r="E881" s="375" t="s">
        <v>1972</v>
      </c>
      <c r="F881" s="375" t="s">
        <v>4333</v>
      </c>
    </row>
    <row r="882" spans="1:6">
      <c r="A882" s="375" t="s">
        <v>1972</v>
      </c>
      <c r="B882" s="375" t="s">
        <v>1472</v>
      </c>
      <c r="C882" s="375" t="s">
        <v>1970</v>
      </c>
      <c r="D882" s="375" t="s">
        <v>4327</v>
      </c>
      <c r="E882" s="375" t="s">
        <v>1973</v>
      </c>
      <c r="F882" s="375" t="s">
        <v>2777</v>
      </c>
    </row>
    <row r="883" spans="1:6">
      <c r="A883" s="375" t="s">
        <v>1972</v>
      </c>
      <c r="B883" s="375" t="s">
        <v>1472</v>
      </c>
      <c r="C883" s="375" t="s">
        <v>1970</v>
      </c>
      <c r="D883" s="375" t="s">
        <v>4327</v>
      </c>
      <c r="E883" s="375" t="s">
        <v>1974</v>
      </c>
      <c r="F883" s="375" t="s">
        <v>4334</v>
      </c>
    </row>
    <row r="884" spans="1:6">
      <c r="A884" s="375" t="s">
        <v>1972</v>
      </c>
      <c r="B884" s="375" t="s">
        <v>1472</v>
      </c>
      <c r="C884" s="375" t="s">
        <v>1970</v>
      </c>
      <c r="D884" s="375" t="s">
        <v>4327</v>
      </c>
      <c r="E884" s="375" t="s">
        <v>1976</v>
      </c>
      <c r="F884" s="375" t="s">
        <v>4335</v>
      </c>
    </row>
    <row r="885" spans="1:6">
      <c r="A885" s="375" t="s">
        <v>1972</v>
      </c>
      <c r="B885" s="375" t="s">
        <v>1472</v>
      </c>
      <c r="C885" s="375" t="s">
        <v>1970</v>
      </c>
      <c r="D885" s="375" t="s">
        <v>4327</v>
      </c>
      <c r="E885" s="375" t="s">
        <v>1977</v>
      </c>
      <c r="F885" s="375" t="s">
        <v>4336</v>
      </c>
    </row>
    <row r="886" spans="1:6">
      <c r="A886" s="375" t="s">
        <v>1972</v>
      </c>
      <c r="B886" s="375" t="s">
        <v>1472</v>
      </c>
      <c r="C886" s="375" t="s">
        <v>1970</v>
      </c>
      <c r="D886" s="375" t="s">
        <v>4327</v>
      </c>
      <c r="E886" s="375" t="s">
        <v>1978</v>
      </c>
      <c r="F886" s="375" t="s">
        <v>4337</v>
      </c>
    </row>
    <row r="887" spans="1:6">
      <c r="A887" s="375" t="s">
        <v>1972</v>
      </c>
      <c r="B887" s="375" t="s">
        <v>1472</v>
      </c>
      <c r="C887" s="375" t="s">
        <v>1970</v>
      </c>
      <c r="D887" s="375" t="s">
        <v>4327</v>
      </c>
      <c r="E887" s="375" t="s">
        <v>1979</v>
      </c>
      <c r="F887" s="375" t="s">
        <v>4105</v>
      </c>
    </row>
    <row r="888" spans="1:6">
      <c r="A888" s="375" t="s">
        <v>1972</v>
      </c>
      <c r="B888" s="375" t="s">
        <v>1472</v>
      </c>
      <c r="C888" s="375" t="s">
        <v>1970</v>
      </c>
      <c r="D888" s="375" t="s">
        <v>4327</v>
      </c>
      <c r="E888" s="375" t="s">
        <v>1980</v>
      </c>
      <c r="F888" s="375" t="s">
        <v>4106</v>
      </c>
    </row>
    <row r="889" spans="1:6">
      <c r="A889" s="375" t="s">
        <v>1972</v>
      </c>
      <c r="B889" s="375" t="s">
        <v>1472</v>
      </c>
      <c r="C889" s="375" t="s">
        <v>1970</v>
      </c>
      <c r="D889" s="375" t="s">
        <v>4327</v>
      </c>
      <c r="E889" s="375" t="s">
        <v>1981</v>
      </c>
      <c r="F889" s="375" t="s">
        <v>4107</v>
      </c>
    </row>
    <row r="890" spans="1:6">
      <c r="A890" s="375" t="s">
        <v>1973</v>
      </c>
      <c r="B890" s="375" t="s">
        <v>4108</v>
      </c>
      <c r="C890" s="375" t="s">
        <v>1964</v>
      </c>
      <c r="D890" s="375" t="s">
        <v>4108</v>
      </c>
      <c r="E890" s="375" t="s">
        <v>1964</v>
      </c>
      <c r="F890" s="375" t="s">
        <v>4108</v>
      </c>
    </row>
    <row r="891" spans="1:6">
      <c r="A891" s="375" t="s">
        <v>1973</v>
      </c>
      <c r="B891" s="375" t="s">
        <v>4108</v>
      </c>
      <c r="C891" s="375" t="s">
        <v>1964</v>
      </c>
      <c r="D891" s="375" t="s">
        <v>4109</v>
      </c>
      <c r="E891" s="375" t="s">
        <v>1965</v>
      </c>
      <c r="F891" s="375" t="s">
        <v>4109</v>
      </c>
    </row>
    <row r="892" spans="1:6">
      <c r="A892" s="375" t="s">
        <v>1973</v>
      </c>
      <c r="B892" s="375" t="s">
        <v>4108</v>
      </c>
      <c r="C892" s="375" t="s">
        <v>1964</v>
      </c>
      <c r="D892" s="375" t="s">
        <v>4110</v>
      </c>
      <c r="E892" s="375" t="s">
        <v>1966</v>
      </c>
      <c r="F892" s="375" t="s">
        <v>4110</v>
      </c>
    </row>
    <row r="893" spans="1:6">
      <c r="A893" s="375" t="s">
        <v>1973</v>
      </c>
      <c r="B893" s="375" t="s">
        <v>4108</v>
      </c>
      <c r="C893" s="375" t="s">
        <v>1964</v>
      </c>
      <c r="D893" s="375" t="s">
        <v>4111</v>
      </c>
      <c r="E893" s="375" t="s">
        <v>1967</v>
      </c>
      <c r="F893" s="375" t="s">
        <v>4111</v>
      </c>
    </row>
    <row r="894" spans="1:6">
      <c r="A894" s="375" t="s">
        <v>1973</v>
      </c>
      <c r="B894" s="375" t="s">
        <v>4108</v>
      </c>
      <c r="C894" s="375" t="s">
        <v>1964</v>
      </c>
      <c r="D894" s="375" t="s">
        <v>4112</v>
      </c>
      <c r="E894" s="375" t="s">
        <v>1968</v>
      </c>
      <c r="F894" s="375" t="s">
        <v>4112</v>
      </c>
    </row>
    <row r="895" spans="1:6">
      <c r="A895" s="375" t="s">
        <v>1973</v>
      </c>
      <c r="B895" s="375" t="s">
        <v>4108</v>
      </c>
      <c r="C895" s="375" t="s">
        <v>1964</v>
      </c>
      <c r="D895" s="375" t="s">
        <v>729</v>
      </c>
      <c r="E895" s="375" t="s">
        <v>1969</v>
      </c>
      <c r="F895" s="375" t="s">
        <v>729</v>
      </c>
    </row>
    <row r="896" spans="1:6">
      <c r="A896" s="375" t="s">
        <v>1973</v>
      </c>
      <c r="B896" s="375" t="s">
        <v>4108</v>
      </c>
      <c r="C896" s="375" t="s">
        <v>1964</v>
      </c>
      <c r="D896" s="375" t="s">
        <v>730</v>
      </c>
      <c r="E896" s="375" t="s">
        <v>1970</v>
      </c>
      <c r="F896" s="375" t="s">
        <v>730</v>
      </c>
    </row>
    <row r="897" spans="1:6">
      <c r="A897" s="375" t="s">
        <v>1973</v>
      </c>
      <c r="B897" s="375" t="s">
        <v>4108</v>
      </c>
      <c r="C897" s="375" t="s">
        <v>1964</v>
      </c>
      <c r="D897" s="375" t="s">
        <v>2363</v>
      </c>
      <c r="E897" s="375" t="s">
        <v>1971</v>
      </c>
      <c r="F897" s="375" t="s">
        <v>2363</v>
      </c>
    </row>
    <row r="898" spans="1:6">
      <c r="A898" s="375" t="s">
        <v>1973</v>
      </c>
      <c r="B898" s="375" t="s">
        <v>4108</v>
      </c>
      <c r="C898" s="375" t="s">
        <v>1964</v>
      </c>
      <c r="D898" s="375" t="s">
        <v>2751</v>
      </c>
      <c r="E898" s="375" t="s">
        <v>1972</v>
      </c>
      <c r="F898" s="375" t="s">
        <v>2751</v>
      </c>
    </row>
    <row r="899" spans="1:6">
      <c r="A899" s="375" t="s">
        <v>1973</v>
      </c>
      <c r="B899" s="375" t="s">
        <v>4108</v>
      </c>
      <c r="C899" s="375" t="s">
        <v>1964</v>
      </c>
      <c r="D899" s="375" t="s">
        <v>2752</v>
      </c>
      <c r="E899" s="375" t="s">
        <v>1973</v>
      </c>
      <c r="F899" s="375" t="s">
        <v>2752</v>
      </c>
    </row>
    <row r="900" spans="1:6">
      <c r="A900" s="375" t="s">
        <v>1973</v>
      </c>
      <c r="B900" s="375" t="s">
        <v>4108</v>
      </c>
      <c r="C900" s="375" t="s">
        <v>1964</v>
      </c>
      <c r="D900" s="375" t="s">
        <v>2778</v>
      </c>
      <c r="E900" s="375" t="s">
        <v>1974</v>
      </c>
      <c r="F900" s="375" t="s">
        <v>2778</v>
      </c>
    </row>
    <row r="901" spans="1:6">
      <c r="A901" s="375" t="s">
        <v>1973</v>
      </c>
      <c r="B901" s="375" t="s">
        <v>4108</v>
      </c>
      <c r="C901" s="375" t="s">
        <v>1965</v>
      </c>
      <c r="D901" s="375" t="s">
        <v>2753</v>
      </c>
      <c r="E901" s="375" t="s">
        <v>1964</v>
      </c>
      <c r="F901" s="375" t="s">
        <v>2753</v>
      </c>
    </row>
    <row r="902" spans="1:6">
      <c r="A902" s="375" t="s">
        <v>1973</v>
      </c>
      <c r="B902" s="375" t="s">
        <v>4108</v>
      </c>
      <c r="C902" s="375" t="s">
        <v>1965</v>
      </c>
      <c r="D902" s="375" t="s">
        <v>2753</v>
      </c>
      <c r="E902" s="375" t="s">
        <v>1965</v>
      </c>
      <c r="F902" s="375" t="s">
        <v>2754</v>
      </c>
    </row>
    <row r="903" spans="1:6">
      <c r="A903" s="375" t="s">
        <v>1973</v>
      </c>
      <c r="B903" s="375" t="s">
        <v>4108</v>
      </c>
      <c r="C903" s="375" t="s">
        <v>1965</v>
      </c>
      <c r="D903" s="375" t="s">
        <v>2753</v>
      </c>
      <c r="E903" s="375" t="s">
        <v>1966</v>
      </c>
      <c r="F903" s="375" t="s">
        <v>2755</v>
      </c>
    </row>
    <row r="904" spans="1:6">
      <c r="A904" s="375" t="s">
        <v>1973</v>
      </c>
      <c r="B904" s="375" t="s">
        <v>4108</v>
      </c>
      <c r="C904" s="375" t="s">
        <v>1965</v>
      </c>
      <c r="D904" s="375" t="s">
        <v>2753</v>
      </c>
      <c r="E904" s="375" t="s">
        <v>1967</v>
      </c>
      <c r="F904" s="375" t="s">
        <v>2756</v>
      </c>
    </row>
    <row r="905" spans="1:6">
      <c r="A905" s="375" t="s">
        <v>1973</v>
      </c>
      <c r="B905" s="375" t="s">
        <v>4108</v>
      </c>
      <c r="C905" s="375" t="s">
        <v>1965</v>
      </c>
      <c r="D905" s="375" t="s">
        <v>2753</v>
      </c>
      <c r="E905" s="375" t="s">
        <v>1968</v>
      </c>
      <c r="F905" s="375" t="s">
        <v>1190</v>
      </c>
    </row>
    <row r="906" spans="1:6">
      <c r="A906" s="375" t="s">
        <v>1973</v>
      </c>
      <c r="B906" s="375" t="s">
        <v>4108</v>
      </c>
      <c r="C906" s="375" t="s">
        <v>1965</v>
      </c>
      <c r="D906" s="375" t="s">
        <v>2753</v>
      </c>
      <c r="E906" s="375" t="s">
        <v>1969</v>
      </c>
      <c r="F906" s="375" t="s">
        <v>1191</v>
      </c>
    </row>
    <row r="907" spans="1:6">
      <c r="A907" s="375" t="s">
        <v>1973</v>
      </c>
      <c r="B907" s="375" t="s">
        <v>4108</v>
      </c>
      <c r="C907" s="375" t="s">
        <v>1965</v>
      </c>
      <c r="D907" s="375" t="s">
        <v>2753</v>
      </c>
      <c r="E907" s="375" t="s">
        <v>1970</v>
      </c>
      <c r="F907" s="375" t="s">
        <v>1192</v>
      </c>
    </row>
    <row r="908" spans="1:6">
      <c r="A908" s="375" t="s">
        <v>1973</v>
      </c>
      <c r="B908" s="375" t="s">
        <v>4108</v>
      </c>
      <c r="C908" s="375" t="s">
        <v>1965</v>
      </c>
      <c r="D908" s="375" t="s">
        <v>2753</v>
      </c>
      <c r="E908" s="375" t="s">
        <v>1971</v>
      </c>
      <c r="F908" s="375" t="s">
        <v>1193</v>
      </c>
    </row>
    <row r="909" spans="1:6">
      <c r="A909" s="375" t="s">
        <v>1973</v>
      </c>
      <c r="B909" s="375" t="s">
        <v>4108</v>
      </c>
      <c r="C909" s="375" t="s">
        <v>1966</v>
      </c>
      <c r="D909" s="375" t="s">
        <v>1194</v>
      </c>
      <c r="E909" s="375" t="s">
        <v>1964</v>
      </c>
      <c r="F909" s="375" t="s">
        <v>2176</v>
      </c>
    </row>
    <row r="910" spans="1:6">
      <c r="A910" s="375" t="s">
        <v>1973</v>
      </c>
      <c r="B910" s="375" t="s">
        <v>4108</v>
      </c>
      <c r="C910" s="375" t="s">
        <v>1966</v>
      </c>
      <c r="D910" s="375" t="s">
        <v>1194</v>
      </c>
      <c r="E910" s="375" t="s">
        <v>1970</v>
      </c>
      <c r="F910" s="375" t="s">
        <v>1195</v>
      </c>
    </row>
    <row r="911" spans="1:6">
      <c r="A911" s="375" t="s">
        <v>1973</v>
      </c>
      <c r="B911" s="375" t="s">
        <v>4108</v>
      </c>
      <c r="C911" s="375" t="s">
        <v>1966</v>
      </c>
      <c r="D911" s="375" t="s">
        <v>1194</v>
      </c>
      <c r="E911" s="375" t="s">
        <v>1974</v>
      </c>
      <c r="F911" s="375" t="s">
        <v>1196</v>
      </c>
    </row>
    <row r="912" spans="1:6">
      <c r="A912" s="375" t="s">
        <v>1973</v>
      </c>
      <c r="B912" s="375" t="s">
        <v>4108</v>
      </c>
      <c r="C912" s="375" t="s">
        <v>1966</v>
      </c>
      <c r="D912" s="375" t="s">
        <v>1194</v>
      </c>
      <c r="E912" s="375" t="s">
        <v>1976</v>
      </c>
      <c r="F912" s="375" t="s">
        <v>1197</v>
      </c>
    </row>
    <row r="913" spans="1:6">
      <c r="A913" s="375" t="s">
        <v>1973</v>
      </c>
      <c r="B913" s="375" t="s">
        <v>4108</v>
      </c>
      <c r="C913" s="375" t="s">
        <v>1966</v>
      </c>
      <c r="D913" s="375" t="s">
        <v>1194</v>
      </c>
      <c r="E913" s="375" t="s">
        <v>1979</v>
      </c>
      <c r="F913" s="375" t="s">
        <v>1198</v>
      </c>
    </row>
    <row r="914" spans="1:6">
      <c r="A914" s="375" t="s">
        <v>1973</v>
      </c>
      <c r="B914" s="375" t="s">
        <v>4108</v>
      </c>
      <c r="C914" s="375" t="s">
        <v>1966</v>
      </c>
      <c r="D914" s="375" t="s">
        <v>1194</v>
      </c>
      <c r="E914" s="375" t="s">
        <v>1980</v>
      </c>
      <c r="F914" s="375" t="s">
        <v>1233</v>
      </c>
    </row>
    <row r="915" spans="1:6">
      <c r="A915" s="375" t="s">
        <v>1973</v>
      </c>
      <c r="B915" s="375" t="s">
        <v>4108</v>
      </c>
      <c r="C915" s="375" t="s">
        <v>1966</v>
      </c>
      <c r="D915" s="375" t="s">
        <v>1194</v>
      </c>
      <c r="E915" s="375" t="s">
        <v>4151</v>
      </c>
      <c r="F915" s="375" t="s">
        <v>1234</v>
      </c>
    </row>
    <row r="916" spans="1:6">
      <c r="A916" s="375" t="s">
        <v>1973</v>
      </c>
      <c r="B916" s="375" t="s">
        <v>4108</v>
      </c>
      <c r="C916" s="375" t="s">
        <v>1966</v>
      </c>
      <c r="D916" s="375" t="s">
        <v>1194</v>
      </c>
      <c r="E916" s="375" t="s">
        <v>4152</v>
      </c>
      <c r="F916" s="375" t="s">
        <v>2334</v>
      </c>
    </row>
    <row r="917" spans="1:6">
      <c r="A917" s="375" t="s">
        <v>1973</v>
      </c>
      <c r="B917" s="375" t="s">
        <v>4108</v>
      </c>
      <c r="C917" s="375" t="s">
        <v>1966</v>
      </c>
      <c r="D917" s="375" t="s">
        <v>1194</v>
      </c>
      <c r="E917" s="375" t="s">
        <v>4153</v>
      </c>
      <c r="F917" s="375" t="s">
        <v>2335</v>
      </c>
    </row>
    <row r="918" spans="1:6">
      <c r="A918" s="375" t="s">
        <v>1973</v>
      </c>
      <c r="B918" s="375" t="s">
        <v>4108</v>
      </c>
      <c r="C918" s="375" t="s">
        <v>1967</v>
      </c>
      <c r="D918" s="375" t="s">
        <v>2336</v>
      </c>
      <c r="E918" s="375" t="s">
        <v>1964</v>
      </c>
      <c r="F918" s="375" t="s">
        <v>2336</v>
      </c>
    </row>
    <row r="919" spans="1:6">
      <c r="A919" s="375" t="s">
        <v>1973</v>
      </c>
      <c r="B919" s="375" t="s">
        <v>4108</v>
      </c>
      <c r="C919" s="375" t="s">
        <v>1967</v>
      </c>
      <c r="D919" s="375" t="s">
        <v>2336</v>
      </c>
      <c r="E919" s="375" t="s">
        <v>1965</v>
      </c>
      <c r="F919" s="375" t="s">
        <v>2337</v>
      </c>
    </row>
    <row r="920" spans="1:6">
      <c r="A920" s="375" t="s">
        <v>1973</v>
      </c>
      <c r="B920" s="375" t="s">
        <v>4108</v>
      </c>
      <c r="C920" s="375" t="s">
        <v>1967</v>
      </c>
      <c r="D920" s="375" t="s">
        <v>2336</v>
      </c>
      <c r="E920" s="375" t="s">
        <v>1966</v>
      </c>
      <c r="F920" s="375" t="s">
        <v>51</v>
      </c>
    </row>
    <row r="921" spans="1:6">
      <c r="A921" s="375" t="s">
        <v>1973</v>
      </c>
      <c r="B921" s="375" t="s">
        <v>4108</v>
      </c>
      <c r="C921" s="375" t="s">
        <v>1967</v>
      </c>
      <c r="D921" s="375" t="s">
        <v>2336</v>
      </c>
      <c r="E921" s="375" t="s">
        <v>1967</v>
      </c>
      <c r="F921" s="375" t="s">
        <v>2338</v>
      </c>
    </row>
    <row r="922" spans="1:6">
      <c r="A922" s="375" t="s">
        <v>1973</v>
      </c>
      <c r="B922" s="375" t="s">
        <v>4108</v>
      </c>
      <c r="C922" s="375" t="s">
        <v>1968</v>
      </c>
      <c r="D922" s="375" t="s">
        <v>2339</v>
      </c>
      <c r="E922" s="375" t="s">
        <v>1964</v>
      </c>
      <c r="F922" s="375" t="s">
        <v>2340</v>
      </c>
    </row>
    <row r="923" spans="1:6">
      <c r="A923" s="375" t="s">
        <v>1973</v>
      </c>
      <c r="B923" s="375" t="s">
        <v>4108</v>
      </c>
      <c r="C923" s="375" t="s">
        <v>1968</v>
      </c>
      <c r="D923" s="375" t="s">
        <v>2339</v>
      </c>
      <c r="E923" s="375" t="s">
        <v>1965</v>
      </c>
      <c r="F923" s="375" t="s">
        <v>2341</v>
      </c>
    </row>
    <row r="924" spans="1:6">
      <c r="A924" s="375" t="s">
        <v>1973</v>
      </c>
      <c r="B924" s="375" t="s">
        <v>4108</v>
      </c>
      <c r="C924" s="375" t="s">
        <v>1968</v>
      </c>
      <c r="D924" s="375" t="s">
        <v>2339</v>
      </c>
      <c r="E924" s="375" t="s">
        <v>1966</v>
      </c>
      <c r="F924" s="375" t="s">
        <v>2342</v>
      </c>
    </row>
    <row r="925" spans="1:6">
      <c r="A925" s="375" t="s">
        <v>1973</v>
      </c>
      <c r="B925" s="375" t="s">
        <v>4108</v>
      </c>
      <c r="C925" s="375" t="s">
        <v>1968</v>
      </c>
      <c r="D925" s="375" t="s">
        <v>2339</v>
      </c>
      <c r="E925" s="375" t="s">
        <v>1967</v>
      </c>
      <c r="F925" s="375" t="s">
        <v>2343</v>
      </c>
    </row>
    <row r="926" spans="1:6">
      <c r="A926" s="375" t="s">
        <v>1973</v>
      </c>
      <c r="B926" s="375" t="s">
        <v>4108</v>
      </c>
      <c r="C926" s="375" t="s">
        <v>1968</v>
      </c>
      <c r="D926" s="375" t="s">
        <v>2339</v>
      </c>
      <c r="E926" s="375" t="s">
        <v>1968</v>
      </c>
      <c r="F926" s="375" t="s">
        <v>2344</v>
      </c>
    </row>
    <row r="927" spans="1:6">
      <c r="A927" s="375" t="s">
        <v>1973</v>
      </c>
      <c r="B927" s="375" t="s">
        <v>4108</v>
      </c>
      <c r="C927" s="375" t="s">
        <v>1968</v>
      </c>
      <c r="D927" s="375" t="s">
        <v>2339</v>
      </c>
      <c r="E927" s="375" t="s">
        <v>1969</v>
      </c>
      <c r="F927" s="375" t="s">
        <v>2850</v>
      </c>
    </row>
    <row r="928" spans="1:6">
      <c r="A928" s="375" t="s">
        <v>1973</v>
      </c>
      <c r="B928" s="375" t="s">
        <v>4108</v>
      </c>
      <c r="C928" s="375" t="s">
        <v>1968</v>
      </c>
      <c r="D928" s="375" t="s">
        <v>2339</v>
      </c>
      <c r="E928" s="375" t="s">
        <v>1970</v>
      </c>
      <c r="F928" s="375" t="s">
        <v>2345</v>
      </c>
    </row>
    <row r="929" spans="1:6">
      <c r="A929" s="375" t="s">
        <v>1973</v>
      </c>
      <c r="B929" s="375" t="s">
        <v>4108</v>
      </c>
      <c r="C929" s="375" t="s">
        <v>1968</v>
      </c>
      <c r="D929" s="375" t="s">
        <v>2339</v>
      </c>
      <c r="E929" s="375" t="s">
        <v>1971</v>
      </c>
      <c r="F929" s="375" t="s">
        <v>2346</v>
      </c>
    </row>
    <row r="930" spans="1:6">
      <c r="A930" s="375" t="s">
        <v>1973</v>
      </c>
      <c r="B930" s="375" t="s">
        <v>4108</v>
      </c>
      <c r="C930" s="375" t="s">
        <v>1968</v>
      </c>
      <c r="D930" s="375" t="s">
        <v>2339</v>
      </c>
      <c r="E930" s="375" t="s">
        <v>1972</v>
      </c>
      <c r="F930" s="375" t="s">
        <v>2779</v>
      </c>
    </row>
    <row r="931" spans="1:6">
      <c r="A931" s="375" t="s">
        <v>1973</v>
      </c>
      <c r="B931" s="375" t="s">
        <v>4108</v>
      </c>
      <c r="C931" s="375" t="s">
        <v>1968</v>
      </c>
      <c r="D931" s="375" t="s">
        <v>2339</v>
      </c>
      <c r="E931" s="375" t="s">
        <v>1973</v>
      </c>
      <c r="F931" s="375" t="s">
        <v>2347</v>
      </c>
    </row>
    <row r="932" spans="1:6">
      <c r="A932" s="375" t="s">
        <v>1973</v>
      </c>
      <c r="B932" s="375" t="s">
        <v>4108</v>
      </c>
      <c r="C932" s="375" t="s">
        <v>1968</v>
      </c>
      <c r="D932" s="375" t="s">
        <v>2339</v>
      </c>
      <c r="E932" s="375" t="s">
        <v>1974</v>
      </c>
      <c r="F932" s="375" t="s">
        <v>2348</v>
      </c>
    </row>
    <row r="933" spans="1:6">
      <c r="A933" s="375" t="s">
        <v>1973</v>
      </c>
      <c r="B933" s="375" t="s">
        <v>4108</v>
      </c>
      <c r="C933" s="375" t="s">
        <v>1969</v>
      </c>
      <c r="D933" s="375" t="s">
        <v>1156</v>
      </c>
      <c r="E933" s="375" t="s">
        <v>1964</v>
      </c>
      <c r="F933" s="375" t="s">
        <v>1167</v>
      </c>
    </row>
    <row r="934" spans="1:6">
      <c r="A934" s="375" t="s">
        <v>1973</v>
      </c>
      <c r="B934" s="375" t="s">
        <v>4108</v>
      </c>
      <c r="C934" s="375" t="s">
        <v>1969</v>
      </c>
      <c r="D934" s="375" t="s">
        <v>1156</v>
      </c>
      <c r="E934" s="375" t="s">
        <v>1965</v>
      </c>
      <c r="F934" s="375" t="s">
        <v>2780</v>
      </c>
    </row>
    <row r="935" spans="1:6">
      <c r="A935" s="375" t="s">
        <v>1973</v>
      </c>
      <c r="B935" s="375" t="s">
        <v>4108</v>
      </c>
      <c r="C935" s="375" t="s">
        <v>1969</v>
      </c>
      <c r="D935" s="375" t="s">
        <v>1156</v>
      </c>
      <c r="E935" s="375" t="s">
        <v>1966</v>
      </c>
      <c r="F935" s="375" t="s">
        <v>1168</v>
      </c>
    </row>
    <row r="936" spans="1:6">
      <c r="A936" s="375" t="s">
        <v>1973</v>
      </c>
      <c r="B936" s="375" t="s">
        <v>4108</v>
      </c>
      <c r="C936" s="375" t="s">
        <v>1969</v>
      </c>
      <c r="D936" s="375" t="s">
        <v>1156</v>
      </c>
      <c r="E936" s="375" t="s">
        <v>1967</v>
      </c>
      <c r="F936" s="375" t="s">
        <v>1169</v>
      </c>
    </row>
    <row r="937" spans="1:6">
      <c r="A937" s="375" t="s">
        <v>1973</v>
      </c>
      <c r="B937" s="375" t="s">
        <v>4108</v>
      </c>
      <c r="C937" s="375" t="s">
        <v>1969</v>
      </c>
      <c r="D937" s="375" t="s">
        <v>1156</v>
      </c>
      <c r="E937" s="375" t="s">
        <v>1968</v>
      </c>
      <c r="F937" s="375" t="s">
        <v>2781</v>
      </c>
    </row>
    <row r="938" spans="1:6">
      <c r="A938" s="375" t="s">
        <v>1973</v>
      </c>
      <c r="B938" s="375" t="s">
        <v>4108</v>
      </c>
      <c r="C938" s="375" t="s">
        <v>1969</v>
      </c>
      <c r="D938" s="375" t="s">
        <v>1156</v>
      </c>
      <c r="E938" s="375" t="s">
        <v>1969</v>
      </c>
      <c r="F938" s="375" t="s">
        <v>1170</v>
      </c>
    </row>
    <row r="939" spans="1:6">
      <c r="A939" s="375" t="s">
        <v>1973</v>
      </c>
      <c r="B939" s="375" t="s">
        <v>4108</v>
      </c>
      <c r="C939" s="375" t="s">
        <v>1970</v>
      </c>
      <c r="D939" s="375" t="s">
        <v>2782</v>
      </c>
      <c r="E939" s="375" t="s">
        <v>1964</v>
      </c>
      <c r="F939" s="375" t="s">
        <v>1171</v>
      </c>
    </row>
    <row r="940" spans="1:6">
      <c r="A940" s="375" t="s">
        <v>1973</v>
      </c>
      <c r="B940" s="375" t="s">
        <v>4108</v>
      </c>
      <c r="C940" s="375" t="s">
        <v>1970</v>
      </c>
      <c r="D940" s="375" t="s">
        <v>2782</v>
      </c>
      <c r="E940" s="375" t="s">
        <v>1965</v>
      </c>
      <c r="F940" s="375" t="s">
        <v>1172</v>
      </c>
    </row>
    <row r="941" spans="1:6">
      <c r="A941" s="375" t="s">
        <v>1973</v>
      </c>
      <c r="B941" s="375" t="s">
        <v>4108</v>
      </c>
      <c r="C941" s="375" t="s">
        <v>1970</v>
      </c>
      <c r="D941" s="375" t="s">
        <v>2782</v>
      </c>
      <c r="E941" s="375" t="s">
        <v>1966</v>
      </c>
      <c r="F941" s="375" t="s">
        <v>1173</v>
      </c>
    </row>
    <row r="942" spans="1:6">
      <c r="A942" s="375" t="s">
        <v>1973</v>
      </c>
      <c r="B942" s="375" t="s">
        <v>4108</v>
      </c>
      <c r="C942" s="375" t="s">
        <v>1971</v>
      </c>
      <c r="D942" s="375" t="s">
        <v>1174</v>
      </c>
      <c r="E942" s="375" t="s">
        <v>1964</v>
      </c>
      <c r="F942" s="375" t="s">
        <v>1174</v>
      </c>
    </row>
    <row r="943" spans="1:6">
      <c r="A943" s="375" t="s">
        <v>1973</v>
      </c>
      <c r="B943" s="375" t="s">
        <v>4108</v>
      </c>
      <c r="C943" s="375" t="s">
        <v>1971</v>
      </c>
      <c r="D943" s="375" t="s">
        <v>1174</v>
      </c>
      <c r="E943" s="375" t="s">
        <v>1965</v>
      </c>
      <c r="F943" s="375" t="s">
        <v>1175</v>
      </c>
    </row>
    <row r="944" spans="1:6">
      <c r="A944" s="375" t="s">
        <v>1973</v>
      </c>
      <c r="B944" s="375" t="s">
        <v>4108</v>
      </c>
      <c r="C944" s="375" t="s">
        <v>1971</v>
      </c>
      <c r="D944" s="375" t="s">
        <v>1174</v>
      </c>
      <c r="E944" s="375" t="s">
        <v>1966</v>
      </c>
      <c r="F944" s="375" t="s">
        <v>1176</v>
      </c>
    </row>
    <row r="945" spans="1:6">
      <c r="A945" s="375" t="s">
        <v>1973</v>
      </c>
      <c r="B945" s="375" t="s">
        <v>4108</v>
      </c>
      <c r="C945" s="375" t="s">
        <v>1971</v>
      </c>
      <c r="D945" s="375" t="s">
        <v>1174</v>
      </c>
      <c r="E945" s="375" t="s">
        <v>1967</v>
      </c>
      <c r="F945" s="375" t="s">
        <v>3606</v>
      </c>
    </row>
    <row r="946" spans="1:6">
      <c r="A946" s="375" t="s">
        <v>1973</v>
      </c>
      <c r="B946" s="375" t="s">
        <v>4108</v>
      </c>
      <c r="C946" s="375" t="s">
        <v>1972</v>
      </c>
      <c r="D946" s="375" t="s">
        <v>1177</v>
      </c>
      <c r="E946" s="375" t="s">
        <v>1964</v>
      </c>
      <c r="F946" s="375" t="s">
        <v>1177</v>
      </c>
    </row>
    <row r="947" spans="1:6">
      <c r="A947" s="375" t="s">
        <v>1973</v>
      </c>
      <c r="B947" s="375" t="s">
        <v>4108</v>
      </c>
      <c r="C947" s="375" t="s">
        <v>1972</v>
      </c>
      <c r="D947" s="375" t="s">
        <v>1177</v>
      </c>
      <c r="E947" s="375" t="s">
        <v>1965</v>
      </c>
      <c r="F947" s="375" t="s">
        <v>4041</v>
      </c>
    </row>
    <row r="948" spans="1:6">
      <c r="A948" s="375" t="s">
        <v>1973</v>
      </c>
      <c r="B948" s="375" t="s">
        <v>4108</v>
      </c>
      <c r="C948" s="375" t="s">
        <v>1972</v>
      </c>
      <c r="D948" s="375" t="s">
        <v>1177</v>
      </c>
      <c r="E948" s="375" t="s">
        <v>1966</v>
      </c>
      <c r="F948" s="375" t="s">
        <v>4042</v>
      </c>
    </row>
    <row r="949" spans="1:6">
      <c r="A949" s="375" t="s">
        <v>1973</v>
      </c>
      <c r="B949" s="375" t="s">
        <v>4108</v>
      </c>
      <c r="C949" s="375" t="s">
        <v>1972</v>
      </c>
      <c r="D949" s="375" t="s">
        <v>1177</v>
      </c>
      <c r="E949" s="375" t="s">
        <v>1967</v>
      </c>
      <c r="F949" s="375" t="s">
        <v>4043</v>
      </c>
    </row>
    <row r="950" spans="1:6">
      <c r="A950" s="375" t="s">
        <v>1973</v>
      </c>
      <c r="B950" s="375" t="s">
        <v>4108</v>
      </c>
      <c r="C950" s="375" t="s">
        <v>1972</v>
      </c>
      <c r="D950" s="375" t="s">
        <v>1177</v>
      </c>
      <c r="E950" s="375" t="s">
        <v>1968</v>
      </c>
      <c r="F950" s="375" t="s">
        <v>3935</v>
      </c>
    </row>
    <row r="951" spans="1:6">
      <c r="A951" s="375" t="s">
        <v>1973</v>
      </c>
      <c r="B951" s="375" t="s">
        <v>4108</v>
      </c>
      <c r="C951" s="375" t="s">
        <v>1973</v>
      </c>
      <c r="D951" s="375" t="s">
        <v>3936</v>
      </c>
      <c r="E951" s="375" t="s">
        <v>1964</v>
      </c>
      <c r="F951" s="375" t="s">
        <v>915</v>
      </c>
    </row>
    <row r="952" spans="1:6">
      <c r="A952" s="375" t="s">
        <v>1973</v>
      </c>
      <c r="B952" s="375" t="s">
        <v>4108</v>
      </c>
      <c r="C952" s="375" t="s">
        <v>1973</v>
      </c>
      <c r="D952" s="375" t="s">
        <v>3936</v>
      </c>
      <c r="E952" s="375" t="s">
        <v>1965</v>
      </c>
      <c r="F952" s="375" t="s">
        <v>2783</v>
      </c>
    </row>
    <row r="953" spans="1:6">
      <c r="A953" s="375" t="s">
        <v>1973</v>
      </c>
      <c r="B953" s="375" t="s">
        <v>4108</v>
      </c>
      <c r="C953" s="375" t="s">
        <v>1973</v>
      </c>
      <c r="D953" s="375" t="s">
        <v>3936</v>
      </c>
      <c r="E953" s="375" t="s">
        <v>1966</v>
      </c>
      <c r="F953" s="375" t="s">
        <v>3937</v>
      </c>
    </row>
    <row r="954" spans="1:6">
      <c r="A954" s="375" t="s">
        <v>1973</v>
      </c>
      <c r="B954" s="375" t="s">
        <v>4108</v>
      </c>
      <c r="C954" s="375" t="s">
        <v>1973</v>
      </c>
      <c r="D954" s="375" t="s">
        <v>3936</v>
      </c>
      <c r="E954" s="375" t="s">
        <v>1967</v>
      </c>
      <c r="F954" s="375" t="s">
        <v>3938</v>
      </c>
    </row>
    <row r="955" spans="1:6">
      <c r="A955" s="375" t="s">
        <v>1973</v>
      </c>
      <c r="B955" s="375" t="s">
        <v>4108</v>
      </c>
      <c r="C955" s="375" t="s">
        <v>1973</v>
      </c>
      <c r="D955" s="375" t="s">
        <v>3936</v>
      </c>
      <c r="E955" s="375" t="s">
        <v>1968</v>
      </c>
      <c r="F955" s="375" t="s">
        <v>3939</v>
      </c>
    </row>
    <row r="956" spans="1:6">
      <c r="A956" s="375" t="s">
        <v>1973</v>
      </c>
      <c r="B956" s="375" t="s">
        <v>4108</v>
      </c>
      <c r="C956" s="375" t="s">
        <v>1973</v>
      </c>
      <c r="D956" s="375" t="s">
        <v>3936</v>
      </c>
      <c r="E956" s="375" t="s">
        <v>1969</v>
      </c>
      <c r="F956" s="375" t="s">
        <v>3940</v>
      </c>
    </row>
    <row r="957" spans="1:6">
      <c r="A957" s="375" t="s">
        <v>1973</v>
      </c>
      <c r="B957" s="375" t="s">
        <v>4108</v>
      </c>
      <c r="C957" s="375" t="s">
        <v>1973</v>
      </c>
      <c r="D957" s="375" t="s">
        <v>3936</v>
      </c>
      <c r="E957" s="375" t="s">
        <v>1970</v>
      </c>
      <c r="F957" s="375" t="s">
        <v>3941</v>
      </c>
    </row>
    <row r="958" spans="1:6">
      <c r="A958" s="375" t="s">
        <v>1973</v>
      </c>
      <c r="B958" s="375" t="s">
        <v>4108</v>
      </c>
      <c r="C958" s="375" t="s">
        <v>1974</v>
      </c>
      <c r="D958" s="375" t="s">
        <v>3942</v>
      </c>
      <c r="E958" s="375" t="s">
        <v>1964</v>
      </c>
      <c r="F958" s="375" t="s">
        <v>3942</v>
      </c>
    </row>
    <row r="959" spans="1:6">
      <c r="A959" s="375" t="s">
        <v>1973</v>
      </c>
      <c r="B959" s="375" t="s">
        <v>4108</v>
      </c>
      <c r="C959" s="375" t="s">
        <v>1974</v>
      </c>
      <c r="D959" s="375" t="s">
        <v>3942</v>
      </c>
      <c r="E959" s="375" t="s">
        <v>1965</v>
      </c>
      <c r="F959" s="375" t="s">
        <v>3943</v>
      </c>
    </row>
    <row r="960" spans="1:6">
      <c r="A960" s="375" t="s">
        <v>1973</v>
      </c>
      <c r="B960" s="375" t="s">
        <v>4108</v>
      </c>
      <c r="C960" s="375" t="s">
        <v>1974</v>
      </c>
      <c r="D960" s="375" t="s">
        <v>3942</v>
      </c>
      <c r="E960" s="375" t="s">
        <v>1966</v>
      </c>
      <c r="F960" s="375" t="s">
        <v>3944</v>
      </c>
    </row>
    <row r="961" spans="1:6">
      <c r="A961" s="375" t="s">
        <v>1973</v>
      </c>
      <c r="B961" s="375" t="s">
        <v>4108</v>
      </c>
      <c r="C961" s="375" t="s">
        <v>1974</v>
      </c>
      <c r="D961" s="375" t="s">
        <v>3942</v>
      </c>
      <c r="E961" s="375" t="s">
        <v>1967</v>
      </c>
      <c r="F961" s="375" t="s">
        <v>2784</v>
      </c>
    </row>
    <row r="962" spans="1:6">
      <c r="A962" s="375" t="s">
        <v>1973</v>
      </c>
      <c r="B962" s="375" t="s">
        <v>4108</v>
      </c>
      <c r="C962" s="375" t="s">
        <v>1974</v>
      </c>
      <c r="D962" s="375" t="s">
        <v>3942</v>
      </c>
      <c r="E962" s="375" t="s">
        <v>1968</v>
      </c>
      <c r="F962" s="375" t="s">
        <v>2967</v>
      </c>
    </row>
    <row r="963" spans="1:6">
      <c r="A963" s="375" t="s">
        <v>1973</v>
      </c>
      <c r="B963" s="375" t="s">
        <v>4108</v>
      </c>
      <c r="C963" s="375" t="s">
        <v>1974</v>
      </c>
      <c r="D963" s="375" t="s">
        <v>3942</v>
      </c>
      <c r="E963" s="375" t="s">
        <v>1969</v>
      </c>
      <c r="F963" s="375" t="s">
        <v>2968</v>
      </c>
    </row>
    <row r="964" spans="1:6">
      <c r="A964" s="375" t="s">
        <v>1973</v>
      </c>
      <c r="B964" s="375" t="s">
        <v>4108</v>
      </c>
      <c r="C964" s="375" t="s">
        <v>1974</v>
      </c>
      <c r="D964" s="375" t="s">
        <v>3942</v>
      </c>
      <c r="E964" s="375" t="s">
        <v>1970</v>
      </c>
      <c r="F964" s="375" t="s">
        <v>2549</v>
      </c>
    </row>
    <row r="965" spans="1:6">
      <c r="A965" s="375" t="s">
        <v>1973</v>
      </c>
      <c r="B965" s="375" t="s">
        <v>4108</v>
      </c>
      <c r="C965" s="375" t="s">
        <v>1974</v>
      </c>
      <c r="D965" s="375" t="s">
        <v>3942</v>
      </c>
      <c r="E965" s="375" t="s">
        <v>1971</v>
      </c>
      <c r="F965" s="375" t="s">
        <v>2785</v>
      </c>
    </row>
    <row r="966" spans="1:6">
      <c r="A966" s="375" t="s">
        <v>1974</v>
      </c>
      <c r="B966" s="375" t="s">
        <v>2532</v>
      </c>
      <c r="C966" s="375" t="s">
        <v>1964</v>
      </c>
      <c r="D966" s="375" t="s">
        <v>2532</v>
      </c>
      <c r="E966" s="375" t="s">
        <v>1964</v>
      </c>
      <c r="F966" s="375" t="s">
        <v>2532</v>
      </c>
    </row>
    <row r="967" spans="1:6">
      <c r="A967" s="375" t="s">
        <v>1974</v>
      </c>
      <c r="B967" s="375" t="s">
        <v>2532</v>
      </c>
      <c r="C967" s="375" t="s">
        <v>1964</v>
      </c>
      <c r="D967" s="375" t="s">
        <v>2532</v>
      </c>
      <c r="E967" s="375" t="s">
        <v>1965</v>
      </c>
      <c r="F967" s="375" t="s">
        <v>2786</v>
      </c>
    </row>
    <row r="968" spans="1:6">
      <c r="A968" s="375" t="s">
        <v>1974</v>
      </c>
      <c r="B968" s="375" t="s">
        <v>2532</v>
      </c>
      <c r="C968" s="375" t="s">
        <v>1964</v>
      </c>
      <c r="D968" s="375" t="s">
        <v>2532</v>
      </c>
      <c r="E968" s="375" t="s">
        <v>1966</v>
      </c>
      <c r="F968" s="375" t="s">
        <v>2533</v>
      </c>
    </row>
    <row r="969" spans="1:6">
      <c r="A969" s="375" t="s">
        <v>1974</v>
      </c>
      <c r="B969" s="375" t="s">
        <v>2532</v>
      </c>
      <c r="C969" s="375" t="s">
        <v>1964</v>
      </c>
      <c r="D969" s="375" t="s">
        <v>2532</v>
      </c>
      <c r="E969" s="375" t="s">
        <v>1967</v>
      </c>
      <c r="F969" s="375" t="s">
        <v>37</v>
      </c>
    </row>
    <row r="970" spans="1:6">
      <c r="A970" s="375" t="s">
        <v>1974</v>
      </c>
      <c r="B970" s="375" t="s">
        <v>2532</v>
      </c>
      <c r="C970" s="375" t="s">
        <v>1964</v>
      </c>
      <c r="D970" s="375" t="s">
        <v>2532</v>
      </c>
      <c r="E970" s="375" t="s">
        <v>1968</v>
      </c>
      <c r="F970" s="375" t="s">
        <v>38</v>
      </c>
    </row>
    <row r="971" spans="1:6">
      <c r="A971" s="375" t="s">
        <v>1974</v>
      </c>
      <c r="B971" s="375" t="s">
        <v>2532</v>
      </c>
      <c r="C971" s="375" t="s">
        <v>1964</v>
      </c>
      <c r="D971" s="375" t="s">
        <v>2532</v>
      </c>
      <c r="E971" s="375" t="s">
        <v>1969</v>
      </c>
      <c r="F971" s="375" t="s">
        <v>39</v>
      </c>
    </row>
    <row r="972" spans="1:6">
      <c r="A972" s="375" t="s">
        <v>1974</v>
      </c>
      <c r="B972" s="375" t="s">
        <v>2532</v>
      </c>
      <c r="C972" s="375" t="s">
        <v>1964</v>
      </c>
      <c r="D972" s="375" t="s">
        <v>2532</v>
      </c>
      <c r="E972" s="375" t="s">
        <v>1970</v>
      </c>
      <c r="F972" s="375" t="s">
        <v>40</v>
      </c>
    </row>
    <row r="973" spans="1:6">
      <c r="A973" s="375" t="s">
        <v>1974</v>
      </c>
      <c r="B973" s="375" t="s">
        <v>2532</v>
      </c>
      <c r="C973" s="375" t="s">
        <v>1964</v>
      </c>
      <c r="D973" s="375" t="s">
        <v>2532</v>
      </c>
      <c r="E973" s="375" t="s">
        <v>1971</v>
      </c>
      <c r="F973" s="375" t="s">
        <v>41</v>
      </c>
    </row>
    <row r="974" spans="1:6">
      <c r="A974" s="375" t="s">
        <v>1974</v>
      </c>
      <c r="B974" s="375" t="s">
        <v>2532</v>
      </c>
      <c r="C974" s="375" t="s">
        <v>1964</v>
      </c>
      <c r="D974" s="375" t="s">
        <v>2532</v>
      </c>
      <c r="E974" s="375" t="s">
        <v>1972</v>
      </c>
      <c r="F974" s="375" t="s">
        <v>42</v>
      </c>
    </row>
    <row r="975" spans="1:6">
      <c r="A975" s="375" t="s">
        <v>1974</v>
      </c>
      <c r="B975" s="375" t="s">
        <v>2532</v>
      </c>
      <c r="C975" s="375" t="s">
        <v>1964</v>
      </c>
      <c r="D975" s="375" t="s">
        <v>2532</v>
      </c>
      <c r="E975" s="375" t="s">
        <v>1973</v>
      </c>
      <c r="F975" s="375" t="s">
        <v>2025</v>
      </c>
    </row>
    <row r="976" spans="1:6">
      <c r="A976" s="375" t="s">
        <v>1974</v>
      </c>
      <c r="B976" s="375" t="s">
        <v>2532</v>
      </c>
      <c r="C976" s="375" t="s">
        <v>1964</v>
      </c>
      <c r="D976" s="375" t="s">
        <v>2532</v>
      </c>
      <c r="E976" s="375" t="s">
        <v>1974</v>
      </c>
      <c r="F976" s="375" t="s">
        <v>3401</v>
      </c>
    </row>
    <row r="977" spans="1:6">
      <c r="A977" s="375" t="s">
        <v>1974</v>
      </c>
      <c r="B977" s="375" t="s">
        <v>2532</v>
      </c>
      <c r="C977" s="375" t="s">
        <v>1964</v>
      </c>
      <c r="D977" s="375" t="s">
        <v>2532</v>
      </c>
      <c r="E977" s="375" t="s">
        <v>1975</v>
      </c>
      <c r="F977" s="375" t="s">
        <v>1178</v>
      </c>
    </row>
    <row r="978" spans="1:6">
      <c r="A978" s="375" t="s">
        <v>1974</v>
      </c>
      <c r="B978" s="375" t="s">
        <v>2532</v>
      </c>
      <c r="C978" s="375" t="s">
        <v>1964</v>
      </c>
      <c r="D978" s="375" t="s">
        <v>2532</v>
      </c>
      <c r="E978" s="375" t="s">
        <v>1976</v>
      </c>
      <c r="F978" s="375" t="s">
        <v>3959</v>
      </c>
    </row>
    <row r="979" spans="1:6">
      <c r="A979" s="375" t="s">
        <v>1974</v>
      </c>
      <c r="B979" s="375" t="s">
        <v>2532</v>
      </c>
      <c r="C979" s="375" t="s">
        <v>1964</v>
      </c>
      <c r="D979" s="375" t="s">
        <v>2532</v>
      </c>
      <c r="E979" s="375" t="s">
        <v>1977</v>
      </c>
      <c r="F979" s="375" t="s">
        <v>2787</v>
      </c>
    </row>
    <row r="980" spans="1:6">
      <c r="A980" s="375" t="s">
        <v>1974</v>
      </c>
      <c r="B980" s="375" t="s">
        <v>2532</v>
      </c>
      <c r="C980" s="375" t="s">
        <v>1965</v>
      </c>
      <c r="D980" s="375" t="s">
        <v>3960</v>
      </c>
      <c r="E980" s="375" t="s">
        <v>1964</v>
      </c>
      <c r="F980" s="375" t="s">
        <v>3961</v>
      </c>
    </row>
    <row r="981" spans="1:6">
      <c r="A981" s="375" t="s">
        <v>1974</v>
      </c>
      <c r="B981" s="375" t="s">
        <v>2532</v>
      </c>
      <c r="C981" s="375" t="s">
        <v>1965</v>
      </c>
      <c r="D981" s="375" t="s">
        <v>3960</v>
      </c>
      <c r="E981" s="375" t="s">
        <v>1965</v>
      </c>
      <c r="F981" s="375" t="s">
        <v>3962</v>
      </c>
    </row>
    <row r="982" spans="1:6">
      <c r="A982" s="375" t="s">
        <v>1974</v>
      </c>
      <c r="B982" s="375" t="s">
        <v>2532</v>
      </c>
      <c r="C982" s="375" t="s">
        <v>1965</v>
      </c>
      <c r="D982" s="375" t="s">
        <v>3960</v>
      </c>
      <c r="E982" s="375" t="s">
        <v>1966</v>
      </c>
      <c r="F982" s="375" t="s">
        <v>3963</v>
      </c>
    </row>
    <row r="983" spans="1:6">
      <c r="A983" s="375" t="s">
        <v>1974</v>
      </c>
      <c r="B983" s="375" t="s">
        <v>2532</v>
      </c>
      <c r="C983" s="375" t="s">
        <v>1965</v>
      </c>
      <c r="D983" s="375" t="s">
        <v>3960</v>
      </c>
      <c r="E983" s="375" t="s">
        <v>1967</v>
      </c>
      <c r="F983" s="375" t="s">
        <v>3964</v>
      </c>
    </row>
    <row r="984" spans="1:6">
      <c r="A984" s="375" t="s">
        <v>1974</v>
      </c>
      <c r="B984" s="375" t="s">
        <v>2532</v>
      </c>
      <c r="C984" s="375" t="s">
        <v>1965</v>
      </c>
      <c r="D984" s="375" t="s">
        <v>3960</v>
      </c>
      <c r="E984" s="375" t="s">
        <v>1968</v>
      </c>
      <c r="F984" s="375" t="s">
        <v>54</v>
      </c>
    </row>
    <row r="985" spans="1:6">
      <c r="A985" s="375" t="s">
        <v>1974</v>
      </c>
      <c r="B985" s="375" t="s">
        <v>2532</v>
      </c>
      <c r="C985" s="375" t="s">
        <v>1965</v>
      </c>
      <c r="D985" s="375" t="s">
        <v>3960</v>
      </c>
      <c r="E985" s="375" t="s">
        <v>1969</v>
      </c>
      <c r="F985" s="375" t="s">
        <v>3965</v>
      </c>
    </row>
    <row r="986" spans="1:6">
      <c r="A986" s="375" t="s">
        <v>1974</v>
      </c>
      <c r="B986" s="375" t="s">
        <v>2532</v>
      </c>
      <c r="C986" s="375" t="s">
        <v>1965</v>
      </c>
      <c r="D986" s="375" t="s">
        <v>3960</v>
      </c>
      <c r="E986" s="375" t="s">
        <v>1970</v>
      </c>
      <c r="F986" s="375" t="s">
        <v>40</v>
      </c>
    </row>
    <row r="987" spans="1:6">
      <c r="A987" s="375" t="s">
        <v>1974</v>
      </c>
      <c r="B987" s="375" t="s">
        <v>2532</v>
      </c>
      <c r="C987" s="375" t="s">
        <v>1965</v>
      </c>
      <c r="D987" s="375" t="s">
        <v>3960</v>
      </c>
      <c r="E987" s="375" t="s">
        <v>1971</v>
      </c>
      <c r="F987" s="375" t="s">
        <v>3966</v>
      </c>
    </row>
    <row r="988" spans="1:6">
      <c r="A988" s="375" t="s">
        <v>1974</v>
      </c>
      <c r="B988" s="375" t="s">
        <v>2532</v>
      </c>
      <c r="C988" s="375" t="s">
        <v>1965</v>
      </c>
      <c r="D988" s="375" t="s">
        <v>3960</v>
      </c>
      <c r="E988" s="375" t="s">
        <v>1972</v>
      </c>
      <c r="F988" s="375" t="s">
        <v>4169</v>
      </c>
    </row>
    <row r="989" spans="1:6">
      <c r="A989" s="375" t="s">
        <v>1974</v>
      </c>
      <c r="B989" s="375" t="s">
        <v>2532</v>
      </c>
      <c r="C989" s="375" t="s">
        <v>1965</v>
      </c>
      <c r="D989" s="375" t="s">
        <v>3960</v>
      </c>
      <c r="E989" s="375" t="s">
        <v>1973</v>
      </c>
      <c r="F989" s="375" t="s">
        <v>4170</v>
      </c>
    </row>
    <row r="990" spans="1:6">
      <c r="A990" s="375" t="s">
        <v>1974</v>
      </c>
      <c r="B990" s="375" t="s">
        <v>2532</v>
      </c>
      <c r="C990" s="375" t="s">
        <v>1965</v>
      </c>
      <c r="D990" s="375" t="s">
        <v>3960</v>
      </c>
      <c r="E990" s="375" t="s">
        <v>1974</v>
      </c>
      <c r="F990" s="375" t="s">
        <v>4171</v>
      </c>
    </row>
    <row r="991" spans="1:6">
      <c r="A991" s="375" t="s">
        <v>1974</v>
      </c>
      <c r="B991" s="375" t="s">
        <v>2532</v>
      </c>
      <c r="C991" s="375" t="s">
        <v>1966</v>
      </c>
      <c r="D991" s="375" t="s">
        <v>4172</v>
      </c>
      <c r="E991" s="375" t="s">
        <v>1964</v>
      </c>
      <c r="F991" s="375" t="s">
        <v>4172</v>
      </c>
    </row>
    <row r="992" spans="1:6">
      <c r="A992" s="375" t="s">
        <v>1974</v>
      </c>
      <c r="B992" s="375" t="s">
        <v>2532</v>
      </c>
      <c r="C992" s="375" t="s">
        <v>1966</v>
      </c>
      <c r="D992" s="375" t="s">
        <v>4172</v>
      </c>
      <c r="E992" s="375" t="s">
        <v>1965</v>
      </c>
      <c r="F992" s="375" t="s">
        <v>4173</v>
      </c>
    </row>
    <row r="993" spans="1:6">
      <c r="A993" s="375" t="s">
        <v>1974</v>
      </c>
      <c r="B993" s="375" t="s">
        <v>2532</v>
      </c>
      <c r="C993" s="375" t="s">
        <v>1966</v>
      </c>
      <c r="D993" s="375" t="s">
        <v>4172</v>
      </c>
      <c r="E993" s="375" t="s">
        <v>1966</v>
      </c>
      <c r="F993" s="375" t="s">
        <v>4174</v>
      </c>
    </row>
    <row r="994" spans="1:6">
      <c r="A994" s="375" t="s">
        <v>1974</v>
      </c>
      <c r="B994" s="375" t="s">
        <v>2532</v>
      </c>
      <c r="C994" s="375" t="s">
        <v>1966</v>
      </c>
      <c r="D994" s="375" t="s">
        <v>4172</v>
      </c>
      <c r="E994" s="375" t="s">
        <v>1967</v>
      </c>
      <c r="F994" s="375" t="s">
        <v>4175</v>
      </c>
    </row>
    <row r="995" spans="1:6">
      <c r="A995" s="375" t="s">
        <v>1974</v>
      </c>
      <c r="B995" s="375" t="s">
        <v>2532</v>
      </c>
      <c r="C995" s="375" t="s">
        <v>1966</v>
      </c>
      <c r="D995" s="375" t="s">
        <v>4172</v>
      </c>
      <c r="E995" s="375" t="s">
        <v>1968</v>
      </c>
      <c r="F995" s="375" t="s">
        <v>561</v>
      </c>
    </row>
    <row r="996" spans="1:6">
      <c r="A996" s="375" t="s">
        <v>1974</v>
      </c>
      <c r="B996" s="375" t="s">
        <v>2532</v>
      </c>
      <c r="C996" s="375" t="s">
        <v>1967</v>
      </c>
      <c r="D996" s="375" t="s">
        <v>4176</v>
      </c>
      <c r="E996" s="375" t="s">
        <v>1964</v>
      </c>
      <c r="F996" s="375" t="s">
        <v>4176</v>
      </c>
    </row>
    <row r="997" spans="1:6">
      <c r="A997" s="375" t="s">
        <v>1974</v>
      </c>
      <c r="B997" s="375" t="s">
        <v>2532</v>
      </c>
      <c r="C997" s="375" t="s">
        <v>1967</v>
      </c>
      <c r="D997" s="375" t="s">
        <v>4176</v>
      </c>
      <c r="E997" s="375" t="s">
        <v>1965</v>
      </c>
      <c r="F997" s="375" t="s">
        <v>4177</v>
      </c>
    </row>
    <row r="998" spans="1:6">
      <c r="A998" s="375" t="s">
        <v>1974</v>
      </c>
      <c r="B998" s="375" t="s">
        <v>2532</v>
      </c>
      <c r="C998" s="375" t="s">
        <v>1967</v>
      </c>
      <c r="D998" s="375" t="s">
        <v>4176</v>
      </c>
      <c r="E998" s="375" t="s">
        <v>1966</v>
      </c>
      <c r="F998" s="375" t="s">
        <v>2246</v>
      </c>
    </row>
    <row r="999" spans="1:6">
      <c r="A999" s="375" t="s">
        <v>1974</v>
      </c>
      <c r="B999" s="375" t="s">
        <v>2532</v>
      </c>
      <c r="C999" s="375" t="s">
        <v>1967</v>
      </c>
      <c r="D999" s="375" t="s">
        <v>4176</v>
      </c>
      <c r="E999" s="375" t="s">
        <v>1967</v>
      </c>
      <c r="F999" s="375" t="s">
        <v>1160</v>
      </c>
    </row>
    <row r="1000" spans="1:6">
      <c r="A1000" s="375" t="s">
        <v>1974</v>
      </c>
      <c r="B1000" s="375" t="s">
        <v>2532</v>
      </c>
      <c r="C1000" s="375" t="s">
        <v>1967</v>
      </c>
      <c r="D1000" s="375" t="s">
        <v>4176</v>
      </c>
      <c r="E1000" s="375" t="s">
        <v>1968</v>
      </c>
      <c r="F1000" s="375" t="s">
        <v>4178</v>
      </c>
    </row>
    <row r="1001" spans="1:6">
      <c r="A1001" s="375" t="s">
        <v>1974</v>
      </c>
      <c r="B1001" s="375" t="s">
        <v>2532</v>
      </c>
      <c r="C1001" s="375" t="s">
        <v>1968</v>
      </c>
      <c r="D1001" s="375" t="s">
        <v>4038</v>
      </c>
      <c r="E1001" s="375" t="s">
        <v>1964</v>
      </c>
      <c r="F1001" s="375" t="s">
        <v>4038</v>
      </c>
    </row>
    <row r="1002" spans="1:6">
      <c r="A1002" s="375" t="s">
        <v>1974</v>
      </c>
      <c r="B1002" s="375" t="s">
        <v>2532</v>
      </c>
      <c r="C1002" s="375" t="s">
        <v>1968</v>
      </c>
      <c r="D1002" s="375" t="s">
        <v>4038</v>
      </c>
      <c r="E1002" s="375" t="s">
        <v>1965</v>
      </c>
      <c r="F1002" s="375" t="s">
        <v>4039</v>
      </c>
    </row>
    <row r="1003" spans="1:6">
      <c r="A1003" s="375" t="s">
        <v>1974</v>
      </c>
      <c r="B1003" s="375" t="s">
        <v>2532</v>
      </c>
      <c r="C1003" s="375" t="s">
        <v>1968</v>
      </c>
      <c r="D1003" s="375" t="s">
        <v>4038</v>
      </c>
      <c r="E1003" s="375" t="s">
        <v>1966</v>
      </c>
      <c r="F1003" s="375" t="s">
        <v>4040</v>
      </c>
    </row>
    <row r="1004" spans="1:6">
      <c r="A1004" s="375" t="s">
        <v>1974</v>
      </c>
      <c r="B1004" s="375" t="s">
        <v>2532</v>
      </c>
      <c r="C1004" s="375" t="s">
        <v>1968</v>
      </c>
      <c r="D1004" s="375" t="s">
        <v>4038</v>
      </c>
      <c r="E1004" s="375" t="s">
        <v>1967</v>
      </c>
      <c r="F1004" s="375" t="s">
        <v>2046</v>
      </c>
    </row>
    <row r="1005" spans="1:6">
      <c r="A1005" s="375" t="s">
        <v>1974</v>
      </c>
      <c r="B1005" s="375" t="s">
        <v>2532</v>
      </c>
      <c r="C1005" s="375" t="s">
        <v>1968</v>
      </c>
      <c r="D1005" s="375" t="s">
        <v>4038</v>
      </c>
      <c r="E1005" s="375" t="s">
        <v>1968</v>
      </c>
      <c r="F1005" s="375" t="s">
        <v>2715</v>
      </c>
    </row>
    <row r="1006" spans="1:6">
      <c r="A1006" s="375" t="s">
        <v>1974</v>
      </c>
      <c r="B1006" s="375" t="s">
        <v>2532</v>
      </c>
      <c r="C1006" s="375" t="s">
        <v>1968</v>
      </c>
      <c r="D1006" s="375" t="s">
        <v>4038</v>
      </c>
      <c r="E1006" s="375" t="s">
        <v>1969</v>
      </c>
      <c r="F1006" s="375" t="s">
        <v>2716</v>
      </c>
    </row>
    <row r="1007" spans="1:6">
      <c r="A1007" s="375" t="s">
        <v>1974</v>
      </c>
      <c r="B1007" s="375" t="s">
        <v>2532</v>
      </c>
      <c r="C1007" s="375" t="s">
        <v>1968</v>
      </c>
      <c r="D1007" s="375" t="s">
        <v>4038</v>
      </c>
      <c r="E1007" s="375" t="s">
        <v>1970</v>
      </c>
      <c r="F1007" s="375" t="s">
        <v>2717</v>
      </c>
    </row>
    <row r="1008" spans="1:6">
      <c r="A1008" s="375" t="s">
        <v>1974</v>
      </c>
      <c r="B1008" s="375" t="s">
        <v>2532</v>
      </c>
      <c r="C1008" s="375" t="s">
        <v>1968</v>
      </c>
      <c r="D1008" s="375" t="s">
        <v>4038</v>
      </c>
      <c r="E1008" s="375" t="s">
        <v>1971</v>
      </c>
      <c r="F1008" s="375" t="s">
        <v>2718</v>
      </c>
    </row>
    <row r="1009" spans="1:6">
      <c r="A1009" s="375" t="s">
        <v>1975</v>
      </c>
      <c r="B1009" s="375" t="s">
        <v>2719</v>
      </c>
      <c r="C1009" s="375" t="s">
        <v>1964</v>
      </c>
      <c r="D1009" s="375" t="s">
        <v>2720</v>
      </c>
      <c r="E1009" s="375" t="s">
        <v>1964</v>
      </c>
      <c r="F1009" s="375" t="s">
        <v>2720</v>
      </c>
    </row>
    <row r="1010" spans="1:6">
      <c r="A1010" s="375" t="s">
        <v>1975</v>
      </c>
      <c r="B1010" s="375" t="s">
        <v>2719</v>
      </c>
      <c r="C1010" s="375" t="s">
        <v>1964</v>
      </c>
      <c r="D1010" s="375" t="s">
        <v>2720</v>
      </c>
      <c r="E1010" s="375" t="s">
        <v>1967</v>
      </c>
      <c r="F1010" s="375" t="s">
        <v>2721</v>
      </c>
    </row>
    <row r="1011" spans="1:6">
      <c r="A1011" s="375" t="s">
        <v>1975</v>
      </c>
      <c r="B1011" s="375" t="s">
        <v>2719</v>
      </c>
      <c r="C1011" s="375" t="s">
        <v>1964</v>
      </c>
      <c r="D1011" s="375" t="s">
        <v>2720</v>
      </c>
      <c r="E1011" s="375" t="s">
        <v>1968</v>
      </c>
      <c r="F1011" s="375" t="s">
        <v>2722</v>
      </c>
    </row>
    <row r="1012" spans="1:6">
      <c r="A1012" s="375" t="s">
        <v>1975</v>
      </c>
      <c r="B1012" s="375" t="s">
        <v>2719</v>
      </c>
      <c r="C1012" s="375" t="s">
        <v>1964</v>
      </c>
      <c r="D1012" s="375" t="s">
        <v>2720</v>
      </c>
      <c r="E1012" s="375" t="s">
        <v>1969</v>
      </c>
      <c r="F1012" s="375" t="s">
        <v>3757</v>
      </c>
    </row>
    <row r="1013" spans="1:6">
      <c r="A1013" s="375" t="s">
        <v>1975</v>
      </c>
      <c r="B1013" s="375" t="s">
        <v>2719</v>
      </c>
      <c r="C1013" s="375" t="s">
        <v>1964</v>
      </c>
      <c r="D1013" s="375" t="s">
        <v>2720</v>
      </c>
      <c r="E1013" s="375" t="s">
        <v>1970</v>
      </c>
      <c r="F1013" s="375" t="s">
        <v>3758</v>
      </c>
    </row>
    <row r="1014" spans="1:6">
      <c r="A1014" s="375" t="s">
        <v>1975</v>
      </c>
      <c r="B1014" s="375" t="s">
        <v>2719</v>
      </c>
      <c r="C1014" s="375" t="s">
        <v>1964</v>
      </c>
      <c r="D1014" s="375" t="s">
        <v>2720</v>
      </c>
      <c r="E1014" s="375" t="s">
        <v>1971</v>
      </c>
      <c r="F1014" s="375" t="s">
        <v>3317</v>
      </c>
    </row>
    <row r="1015" spans="1:6">
      <c r="A1015" s="375" t="s">
        <v>1975</v>
      </c>
      <c r="B1015" s="375" t="s">
        <v>2719</v>
      </c>
      <c r="C1015" s="375" t="s">
        <v>1964</v>
      </c>
      <c r="D1015" s="375" t="s">
        <v>2720</v>
      </c>
      <c r="E1015" s="375" t="s">
        <v>1974</v>
      </c>
      <c r="F1015" s="375" t="s">
        <v>3318</v>
      </c>
    </row>
    <row r="1016" spans="1:6">
      <c r="A1016" s="375" t="s">
        <v>1975</v>
      </c>
      <c r="B1016" s="375" t="s">
        <v>2719</v>
      </c>
      <c r="C1016" s="375" t="s">
        <v>1964</v>
      </c>
      <c r="D1016" s="375" t="s">
        <v>2720</v>
      </c>
      <c r="E1016" s="375" t="s">
        <v>1975</v>
      </c>
      <c r="F1016" s="375" t="s">
        <v>899</v>
      </c>
    </row>
    <row r="1017" spans="1:6">
      <c r="A1017" s="375" t="s">
        <v>1975</v>
      </c>
      <c r="B1017" s="375" t="s">
        <v>2719</v>
      </c>
      <c r="C1017" s="375" t="s">
        <v>1964</v>
      </c>
      <c r="D1017" s="375" t="s">
        <v>2720</v>
      </c>
      <c r="E1017" s="375" t="s">
        <v>1976</v>
      </c>
      <c r="F1017" s="375" t="s">
        <v>3319</v>
      </c>
    </row>
    <row r="1018" spans="1:6">
      <c r="A1018" s="375" t="s">
        <v>1975</v>
      </c>
      <c r="B1018" s="375" t="s">
        <v>2719</v>
      </c>
      <c r="C1018" s="375" t="s">
        <v>1964</v>
      </c>
      <c r="D1018" s="375" t="s">
        <v>2720</v>
      </c>
      <c r="E1018" s="375" t="s">
        <v>1977</v>
      </c>
      <c r="F1018" s="375" t="s">
        <v>3320</v>
      </c>
    </row>
    <row r="1019" spans="1:6">
      <c r="A1019" s="375" t="s">
        <v>1975</v>
      </c>
      <c r="B1019" s="375" t="s">
        <v>2719</v>
      </c>
      <c r="C1019" s="375" t="s">
        <v>1964</v>
      </c>
      <c r="D1019" s="375" t="s">
        <v>2720</v>
      </c>
      <c r="E1019" s="375" t="s">
        <v>1979</v>
      </c>
      <c r="F1019" s="375" t="s">
        <v>3321</v>
      </c>
    </row>
    <row r="1020" spans="1:6">
      <c r="A1020" s="375" t="s">
        <v>1975</v>
      </c>
      <c r="B1020" s="375" t="s">
        <v>2719</v>
      </c>
      <c r="C1020" s="375" t="s">
        <v>1964</v>
      </c>
      <c r="D1020" s="375" t="s">
        <v>2720</v>
      </c>
      <c r="E1020" s="375" t="s">
        <v>1980</v>
      </c>
      <c r="F1020" s="375" t="s">
        <v>3322</v>
      </c>
    </row>
    <row r="1021" spans="1:6">
      <c r="A1021" s="375" t="s">
        <v>1975</v>
      </c>
      <c r="B1021" s="375" t="s">
        <v>2719</v>
      </c>
      <c r="C1021" s="375" t="s">
        <v>1964</v>
      </c>
      <c r="D1021" s="375" t="s">
        <v>2720</v>
      </c>
      <c r="E1021" s="375" t="s">
        <v>1982</v>
      </c>
      <c r="F1021" s="375" t="s">
        <v>3323</v>
      </c>
    </row>
    <row r="1022" spans="1:6">
      <c r="A1022" s="375" t="s">
        <v>1975</v>
      </c>
      <c r="B1022" s="375" t="s">
        <v>2719</v>
      </c>
      <c r="C1022" s="375" t="s">
        <v>1964</v>
      </c>
      <c r="D1022" s="375" t="s">
        <v>2720</v>
      </c>
      <c r="E1022" s="375" t="s">
        <v>4150</v>
      </c>
      <c r="F1022" s="375" t="s">
        <v>3324</v>
      </c>
    </row>
    <row r="1023" spans="1:6">
      <c r="A1023" s="375" t="s">
        <v>1975</v>
      </c>
      <c r="B1023" s="375" t="s">
        <v>2719</v>
      </c>
      <c r="C1023" s="375" t="s">
        <v>1964</v>
      </c>
      <c r="D1023" s="375" t="s">
        <v>2720</v>
      </c>
      <c r="E1023" s="375" t="s">
        <v>4151</v>
      </c>
      <c r="F1023" s="375" t="s">
        <v>3325</v>
      </c>
    </row>
    <row r="1024" spans="1:6">
      <c r="A1024" s="375" t="s">
        <v>1975</v>
      </c>
      <c r="B1024" s="375" t="s">
        <v>2719</v>
      </c>
      <c r="C1024" s="375" t="s">
        <v>1964</v>
      </c>
      <c r="D1024" s="375" t="s">
        <v>2720</v>
      </c>
      <c r="E1024" s="375" t="s">
        <v>4152</v>
      </c>
      <c r="F1024" s="375" t="s">
        <v>3326</v>
      </c>
    </row>
    <row r="1025" spans="1:6">
      <c r="A1025" s="375" t="s">
        <v>1975</v>
      </c>
      <c r="B1025" s="375" t="s">
        <v>2719</v>
      </c>
      <c r="C1025" s="375" t="s">
        <v>1964</v>
      </c>
      <c r="D1025" s="375" t="s">
        <v>2720</v>
      </c>
      <c r="E1025" s="375" t="s">
        <v>4154</v>
      </c>
      <c r="F1025" s="375" t="s">
        <v>3457</v>
      </c>
    </row>
    <row r="1026" spans="1:6">
      <c r="A1026" s="375" t="s">
        <v>1975</v>
      </c>
      <c r="B1026" s="375" t="s">
        <v>2719</v>
      </c>
      <c r="C1026" s="375" t="s">
        <v>1964</v>
      </c>
      <c r="D1026" s="375" t="s">
        <v>2720</v>
      </c>
      <c r="E1026" s="375" t="s">
        <v>4155</v>
      </c>
      <c r="F1026" s="375" t="s">
        <v>3327</v>
      </c>
    </row>
    <row r="1027" spans="1:6">
      <c r="A1027" s="375" t="s">
        <v>1975</v>
      </c>
      <c r="B1027" s="375" t="s">
        <v>2719</v>
      </c>
      <c r="C1027" s="375" t="s">
        <v>1964</v>
      </c>
      <c r="D1027" s="375" t="s">
        <v>2720</v>
      </c>
      <c r="E1027" s="375" t="s">
        <v>4156</v>
      </c>
      <c r="F1027" s="375" t="s">
        <v>3775</v>
      </c>
    </row>
    <row r="1028" spans="1:6">
      <c r="A1028" s="375" t="s">
        <v>1975</v>
      </c>
      <c r="B1028" s="375" t="s">
        <v>2719</v>
      </c>
      <c r="C1028" s="375" t="s">
        <v>1964</v>
      </c>
      <c r="D1028" s="375" t="s">
        <v>2720</v>
      </c>
      <c r="E1028" s="375" t="s">
        <v>4157</v>
      </c>
      <c r="F1028" s="375" t="s">
        <v>3328</v>
      </c>
    </row>
    <row r="1029" spans="1:6">
      <c r="A1029" s="375" t="s">
        <v>1975</v>
      </c>
      <c r="B1029" s="375" t="s">
        <v>2719</v>
      </c>
      <c r="C1029" s="375" t="s">
        <v>1964</v>
      </c>
      <c r="D1029" s="375" t="s">
        <v>2720</v>
      </c>
      <c r="E1029" s="375" t="s">
        <v>4158</v>
      </c>
      <c r="F1029" s="375" t="s">
        <v>3329</v>
      </c>
    </row>
    <row r="1030" spans="1:6">
      <c r="A1030" s="375" t="s">
        <v>1975</v>
      </c>
      <c r="B1030" s="375" t="s">
        <v>2719</v>
      </c>
      <c r="C1030" s="375" t="s">
        <v>1964</v>
      </c>
      <c r="D1030" s="375" t="s">
        <v>2720</v>
      </c>
      <c r="E1030" s="375" t="s">
        <v>4159</v>
      </c>
      <c r="F1030" s="375" t="s">
        <v>3330</v>
      </c>
    </row>
    <row r="1031" spans="1:6">
      <c r="A1031" s="375" t="s">
        <v>1975</v>
      </c>
      <c r="B1031" s="375" t="s">
        <v>2719</v>
      </c>
      <c r="C1031" s="375" t="s">
        <v>1964</v>
      </c>
      <c r="D1031" s="375" t="s">
        <v>2720</v>
      </c>
      <c r="E1031" s="375" t="s">
        <v>2424</v>
      </c>
      <c r="F1031" s="375" t="s">
        <v>3331</v>
      </c>
    </row>
    <row r="1032" spans="1:6">
      <c r="A1032" s="375" t="s">
        <v>1975</v>
      </c>
      <c r="B1032" s="375" t="s">
        <v>2719</v>
      </c>
      <c r="C1032" s="375" t="s">
        <v>1964</v>
      </c>
      <c r="D1032" s="375" t="s">
        <v>2720</v>
      </c>
      <c r="E1032" s="375" t="s">
        <v>2426</v>
      </c>
      <c r="F1032" s="375" t="s">
        <v>3458</v>
      </c>
    </row>
    <row r="1033" spans="1:6">
      <c r="A1033" s="375" t="s">
        <v>1975</v>
      </c>
      <c r="B1033" s="375" t="s">
        <v>2719</v>
      </c>
      <c r="C1033" s="375" t="s">
        <v>1964</v>
      </c>
      <c r="D1033" s="375" t="s">
        <v>2720</v>
      </c>
      <c r="E1033" s="375" t="s">
        <v>2427</v>
      </c>
      <c r="F1033" s="375" t="s">
        <v>3332</v>
      </c>
    </row>
    <row r="1034" spans="1:6">
      <c r="A1034" s="375" t="s">
        <v>1975</v>
      </c>
      <c r="B1034" s="375" t="s">
        <v>2719</v>
      </c>
      <c r="C1034" s="375" t="s">
        <v>1964</v>
      </c>
      <c r="D1034" s="375" t="s">
        <v>2720</v>
      </c>
      <c r="E1034" s="375" t="s">
        <v>2428</v>
      </c>
      <c r="F1034" s="375" t="s">
        <v>3333</v>
      </c>
    </row>
    <row r="1035" spans="1:6">
      <c r="A1035" s="375" t="s">
        <v>1975</v>
      </c>
      <c r="B1035" s="375" t="s">
        <v>2719</v>
      </c>
      <c r="C1035" s="375" t="s">
        <v>1964</v>
      </c>
      <c r="D1035" s="375" t="s">
        <v>2720</v>
      </c>
      <c r="E1035" s="375" t="s">
        <v>2429</v>
      </c>
      <c r="F1035" s="375" t="s">
        <v>1854</v>
      </c>
    </row>
    <row r="1036" spans="1:6">
      <c r="A1036" s="375" t="s">
        <v>1975</v>
      </c>
      <c r="B1036" s="375" t="s">
        <v>2719</v>
      </c>
      <c r="C1036" s="375" t="s">
        <v>1964</v>
      </c>
      <c r="D1036" s="375" t="s">
        <v>2720</v>
      </c>
      <c r="E1036" s="375" t="s">
        <v>2430</v>
      </c>
      <c r="F1036" s="375" t="s">
        <v>1855</v>
      </c>
    </row>
    <row r="1037" spans="1:6">
      <c r="A1037" s="375" t="s">
        <v>1975</v>
      </c>
      <c r="B1037" s="375" t="s">
        <v>2719</v>
      </c>
      <c r="C1037" s="375" t="s">
        <v>1965</v>
      </c>
      <c r="D1037" s="375" t="s">
        <v>908</v>
      </c>
      <c r="E1037" s="375" t="s">
        <v>1964</v>
      </c>
      <c r="F1037" s="375" t="s">
        <v>908</v>
      </c>
    </row>
    <row r="1038" spans="1:6">
      <c r="A1038" s="375" t="s">
        <v>1975</v>
      </c>
      <c r="B1038" s="375" t="s">
        <v>2719</v>
      </c>
      <c r="C1038" s="375" t="s">
        <v>1965</v>
      </c>
      <c r="D1038" s="375" t="s">
        <v>908</v>
      </c>
      <c r="E1038" s="375" t="s">
        <v>1965</v>
      </c>
      <c r="F1038" s="375" t="s">
        <v>1730</v>
      </c>
    </row>
    <row r="1039" spans="1:6">
      <c r="A1039" s="375" t="s">
        <v>1975</v>
      </c>
      <c r="B1039" s="375" t="s">
        <v>2719</v>
      </c>
      <c r="C1039" s="375" t="s">
        <v>1965</v>
      </c>
      <c r="D1039" s="375" t="s">
        <v>908</v>
      </c>
      <c r="E1039" s="375" t="s">
        <v>1966</v>
      </c>
      <c r="F1039" s="375" t="s">
        <v>1856</v>
      </c>
    </row>
    <row r="1040" spans="1:6">
      <c r="A1040" s="375" t="s">
        <v>1975</v>
      </c>
      <c r="B1040" s="375" t="s">
        <v>2719</v>
      </c>
      <c r="C1040" s="375" t="s">
        <v>1965</v>
      </c>
      <c r="D1040" s="375" t="s">
        <v>908</v>
      </c>
      <c r="E1040" s="375" t="s">
        <v>1967</v>
      </c>
      <c r="F1040" s="375" t="s">
        <v>1857</v>
      </c>
    </row>
    <row r="1041" spans="1:6">
      <c r="A1041" s="375" t="s">
        <v>1975</v>
      </c>
      <c r="B1041" s="375" t="s">
        <v>2719</v>
      </c>
      <c r="C1041" s="375" t="s">
        <v>1965</v>
      </c>
      <c r="D1041" s="375" t="s">
        <v>908</v>
      </c>
      <c r="E1041" s="375" t="s">
        <v>1968</v>
      </c>
      <c r="F1041" s="375" t="s">
        <v>4256</v>
      </c>
    </row>
    <row r="1042" spans="1:6">
      <c r="A1042" s="375" t="s">
        <v>1975</v>
      </c>
      <c r="B1042" s="375" t="s">
        <v>2719</v>
      </c>
      <c r="C1042" s="375" t="s">
        <v>1965</v>
      </c>
      <c r="D1042" s="375" t="s">
        <v>908</v>
      </c>
      <c r="E1042" s="375" t="s">
        <v>1969</v>
      </c>
      <c r="F1042" s="375" t="s">
        <v>1858</v>
      </c>
    </row>
    <row r="1043" spans="1:6">
      <c r="A1043" s="375" t="s">
        <v>1975</v>
      </c>
      <c r="B1043" s="375" t="s">
        <v>2719</v>
      </c>
      <c r="C1043" s="375" t="s">
        <v>1965</v>
      </c>
      <c r="D1043" s="375" t="s">
        <v>908</v>
      </c>
      <c r="E1043" s="375" t="s">
        <v>1970</v>
      </c>
      <c r="F1043" s="375" t="s">
        <v>3734</v>
      </c>
    </row>
    <row r="1044" spans="1:6">
      <c r="A1044" s="375" t="s">
        <v>1975</v>
      </c>
      <c r="B1044" s="375" t="s">
        <v>2719</v>
      </c>
      <c r="C1044" s="375" t="s">
        <v>1965</v>
      </c>
      <c r="D1044" s="375" t="s">
        <v>908</v>
      </c>
      <c r="E1044" s="375" t="s">
        <v>1971</v>
      </c>
      <c r="F1044" s="375" t="s">
        <v>3735</v>
      </c>
    </row>
    <row r="1045" spans="1:6">
      <c r="A1045" s="375" t="s">
        <v>1975</v>
      </c>
      <c r="B1045" s="375" t="s">
        <v>2719</v>
      </c>
      <c r="C1045" s="375" t="s">
        <v>1965</v>
      </c>
      <c r="D1045" s="375" t="s">
        <v>908</v>
      </c>
      <c r="E1045" s="375" t="s">
        <v>1972</v>
      </c>
      <c r="F1045" s="375" t="s">
        <v>963</v>
      </c>
    </row>
    <row r="1046" spans="1:6">
      <c r="A1046" s="375" t="s">
        <v>1975</v>
      </c>
      <c r="B1046" s="375" t="s">
        <v>2719</v>
      </c>
      <c r="C1046" s="375" t="s">
        <v>1965</v>
      </c>
      <c r="D1046" s="375" t="s">
        <v>908</v>
      </c>
      <c r="E1046" s="375" t="s">
        <v>1973</v>
      </c>
      <c r="F1046" s="375" t="s">
        <v>3736</v>
      </c>
    </row>
    <row r="1047" spans="1:6">
      <c r="A1047" s="375" t="s">
        <v>1975</v>
      </c>
      <c r="B1047" s="375" t="s">
        <v>2719</v>
      </c>
      <c r="C1047" s="375" t="s">
        <v>1965</v>
      </c>
      <c r="D1047" s="375" t="s">
        <v>908</v>
      </c>
      <c r="E1047" s="375" t="s">
        <v>1974</v>
      </c>
      <c r="F1047" s="375" t="s">
        <v>3737</v>
      </c>
    </row>
    <row r="1048" spans="1:6">
      <c r="A1048" s="375" t="s">
        <v>1975</v>
      </c>
      <c r="B1048" s="375" t="s">
        <v>2719</v>
      </c>
      <c r="C1048" s="375" t="s">
        <v>1965</v>
      </c>
      <c r="D1048" s="375" t="s">
        <v>908</v>
      </c>
      <c r="E1048" s="375" t="s">
        <v>1975</v>
      </c>
      <c r="F1048" s="375" t="s">
        <v>1988</v>
      </c>
    </row>
    <row r="1049" spans="1:6">
      <c r="A1049" s="375" t="s">
        <v>1975</v>
      </c>
      <c r="B1049" s="375" t="s">
        <v>2719</v>
      </c>
      <c r="C1049" s="375" t="s">
        <v>1965</v>
      </c>
      <c r="D1049" s="375" t="s">
        <v>908</v>
      </c>
      <c r="E1049" s="375" t="s">
        <v>1976</v>
      </c>
      <c r="F1049" s="375" t="s">
        <v>1989</v>
      </c>
    </row>
    <row r="1050" spans="1:6">
      <c r="A1050" s="375" t="s">
        <v>1975</v>
      </c>
      <c r="B1050" s="375" t="s">
        <v>2719</v>
      </c>
      <c r="C1050" s="375" t="s">
        <v>1965</v>
      </c>
      <c r="D1050" s="375" t="s">
        <v>908</v>
      </c>
      <c r="E1050" s="375" t="s">
        <v>1977</v>
      </c>
      <c r="F1050" s="375" t="s">
        <v>4029</v>
      </c>
    </row>
    <row r="1051" spans="1:6">
      <c r="A1051" s="375" t="s">
        <v>1975</v>
      </c>
      <c r="B1051" s="375" t="s">
        <v>2719</v>
      </c>
      <c r="C1051" s="375" t="s">
        <v>1965</v>
      </c>
      <c r="D1051" s="375" t="s">
        <v>908</v>
      </c>
      <c r="E1051" s="375" t="s">
        <v>1978</v>
      </c>
      <c r="F1051" s="375" t="s">
        <v>4030</v>
      </c>
    </row>
    <row r="1052" spans="1:6">
      <c r="A1052" s="375" t="s">
        <v>1975</v>
      </c>
      <c r="B1052" s="375" t="s">
        <v>2719</v>
      </c>
      <c r="C1052" s="375" t="s">
        <v>1966</v>
      </c>
      <c r="D1052" s="375" t="s">
        <v>4031</v>
      </c>
      <c r="E1052" s="375" t="s">
        <v>1964</v>
      </c>
      <c r="F1052" s="375" t="s">
        <v>4031</v>
      </c>
    </row>
    <row r="1053" spans="1:6">
      <c r="A1053" s="375" t="s">
        <v>1975</v>
      </c>
      <c r="B1053" s="375" t="s">
        <v>2719</v>
      </c>
      <c r="C1053" s="375" t="s">
        <v>1966</v>
      </c>
      <c r="D1053" s="375" t="s">
        <v>4031</v>
      </c>
      <c r="E1053" s="375" t="s">
        <v>1965</v>
      </c>
      <c r="F1053" s="375" t="s">
        <v>4032</v>
      </c>
    </row>
    <row r="1054" spans="1:6">
      <c r="A1054" s="375" t="s">
        <v>1975</v>
      </c>
      <c r="B1054" s="375" t="s">
        <v>2719</v>
      </c>
      <c r="C1054" s="375" t="s">
        <v>1966</v>
      </c>
      <c r="D1054" s="375" t="s">
        <v>4031</v>
      </c>
      <c r="E1054" s="375" t="s">
        <v>1966</v>
      </c>
      <c r="F1054" s="375" t="s">
        <v>4033</v>
      </c>
    </row>
    <row r="1055" spans="1:6">
      <c r="A1055" s="375" t="s">
        <v>1975</v>
      </c>
      <c r="B1055" s="375" t="s">
        <v>2719</v>
      </c>
      <c r="C1055" s="375" t="s">
        <v>1966</v>
      </c>
      <c r="D1055" s="375" t="s">
        <v>4031</v>
      </c>
      <c r="E1055" s="375" t="s">
        <v>1967</v>
      </c>
      <c r="F1055" s="375" t="s">
        <v>4034</v>
      </c>
    </row>
    <row r="1056" spans="1:6">
      <c r="A1056" s="375" t="s">
        <v>1975</v>
      </c>
      <c r="B1056" s="375" t="s">
        <v>2719</v>
      </c>
      <c r="C1056" s="375" t="s">
        <v>1966</v>
      </c>
      <c r="D1056" s="375" t="s">
        <v>4031</v>
      </c>
      <c r="E1056" s="375" t="s">
        <v>1968</v>
      </c>
      <c r="F1056" s="375" t="s">
        <v>4035</v>
      </c>
    </row>
    <row r="1057" spans="1:6">
      <c r="A1057" s="375" t="s">
        <v>1975</v>
      </c>
      <c r="B1057" s="375" t="s">
        <v>2719</v>
      </c>
      <c r="C1057" s="375" t="s">
        <v>1966</v>
      </c>
      <c r="D1057" s="375" t="s">
        <v>4031</v>
      </c>
      <c r="E1057" s="375" t="s">
        <v>1969</v>
      </c>
      <c r="F1057" s="375" t="s">
        <v>1448</v>
      </c>
    </row>
    <row r="1058" spans="1:6">
      <c r="A1058" s="375" t="s">
        <v>1975</v>
      </c>
      <c r="B1058" s="375" t="s">
        <v>2719</v>
      </c>
      <c r="C1058" s="375" t="s">
        <v>1967</v>
      </c>
      <c r="D1058" s="375" t="s">
        <v>664</v>
      </c>
      <c r="E1058" s="375" t="s">
        <v>1964</v>
      </c>
      <c r="F1058" s="375" t="s">
        <v>664</v>
      </c>
    </row>
    <row r="1059" spans="1:6">
      <c r="A1059" s="375" t="s">
        <v>1975</v>
      </c>
      <c r="B1059" s="375" t="s">
        <v>2719</v>
      </c>
      <c r="C1059" s="375" t="s">
        <v>1967</v>
      </c>
      <c r="D1059" s="375" t="s">
        <v>664</v>
      </c>
      <c r="E1059" s="375" t="s">
        <v>1965</v>
      </c>
      <c r="F1059" s="375" t="s">
        <v>665</v>
      </c>
    </row>
    <row r="1060" spans="1:6">
      <c r="A1060" s="375" t="s">
        <v>1975</v>
      </c>
      <c r="B1060" s="375" t="s">
        <v>2719</v>
      </c>
      <c r="C1060" s="375" t="s">
        <v>1967</v>
      </c>
      <c r="D1060" s="375" t="s">
        <v>664</v>
      </c>
      <c r="E1060" s="375" t="s">
        <v>1966</v>
      </c>
      <c r="F1060" s="375" t="s">
        <v>666</v>
      </c>
    </row>
    <row r="1061" spans="1:6">
      <c r="A1061" s="375" t="s">
        <v>1975</v>
      </c>
      <c r="B1061" s="375" t="s">
        <v>2719</v>
      </c>
      <c r="C1061" s="375" t="s">
        <v>1967</v>
      </c>
      <c r="D1061" s="375" t="s">
        <v>664</v>
      </c>
      <c r="E1061" s="375" t="s">
        <v>1967</v>
      </c>
      <c r="F1061" s="375" t="s">
        <v>667</v>
      </c>
    </row>
    <row r="1062" spans="1:6">
      <c r="A1062" s="375" t="s">
        <v>1975</v>
      </c>
      <c r="B1062" s="375" t="s">
        <v>2719</v>
      </c>
      <c r="C1062" s="375" t="s">
        <v>1967</v>
      </c>
      <c r="D1062" s="375" t="s">
        <v>664</v>
      </c>
      <c r="E1062" s="375" t="s">
        <v>1968</v>
      </c>
      <c r="F1062" s="375" t="s">
        <v>668</v>
      </c>
    </row>
    <row r="1063" spans="1:6">
      <c r="A1063" s="375" t="s">
        <v>1975</v>
      </c>
      <c r="B1063" s="375" t="s">
        <v>2719</v>
      </c>
      <c r="C1063" s="375" t="s">
        <v>1967</v>
      </c>
      <c r="D1063" s="375" t="s">
        <v>664</v>
      </c>
      <c r="E1063" s="375" t="s">
        <v>1969</v>
      </c>
      <c r="F1063" s="375" t="s">
        <v>2389</v>
      </c>
    </row>
    <row r="1064" spans="1:6">
      <c r="A1064" s="375" t="s">
        <v>1975</v>
      </c>
      <c r="B1064" s="375" t="s">
        <v>2719</v>
      </c>
      <c r="C1064" s="375" t="s">
        <v>1967</v>
      </c>
      <c r="D1064" s="375" t="s">
        <v>664</v>
      </c>
      <c r="E1064" s="375" t="s">
        <v>1970</v>
      </c>
      <c r="F1064" s="375" t="s">
        <v>2390</v>
      </c>
    </row>
    <row r="1065" spans="1:6">
      <c r="A1065" s="375" t="s">
        <v>1975</v>
      </c>
      <c r="B1065" s="375" t="s">
        <v>2719</v>
      </c>
      <c r="C1065" s="375" t="s">
        <v>1967</v>
      </c>
      <c r="D1065" s="375" t="s">
        <v>664</v>
      </c>
      <c r="E1065" s="375" t="s">
        <v>1971</v>
      </c>
      <c r="F1065" s="375" t="s">
        <v>2391</v>
      </c>
    </row>
    <row r="1066" spans="1:6">
      <c r="A1066" s="375" t="s">
        <v>1975</v>
      </c>
      <c r="B1066" s="375" t="s">
        <v>2719</v>
      </c>
      <c r="C1066" s="375" t="s">
        <v>1967</v>
      </c>
      <c r="D1066" s="375" t="s">
        <v>664</v>
      </c>
      <c r="E1066" s="375" t="s">
        <v>1972</v>
      </c>
      <c r="F1066" s="375" t="s">
        <v>2392</v>
      </c>
    </row>
    <row r="1067" spans="1:6">
      <c r="A1067" s="375" t="s">
        <v>1975</v>
      </c>
      <c r="B1067" s="375" t="s">
        <v>2719</v>
      </c>
      <c r="C1067" s="375" t="s">
        <v>1967</v>
      </c>
      <c r="D1067" s="375" t="s">
        <v>664</v>
      </c>
      <c r="E1067" s="375" t="s">
        <v>1973</v>
      </c>
      <c r="F1067" s="375" t="s">
        <v>2393</v>
      </c>
    </row>
    <row r="1068" spans="1:6">
      <c r="A1068" s="375" t="s">
        <v>1975</v>
      </c>
      <c r="B1068" s="375" t="s">
        <v>2719</v>
      </c>
      <c r="C1068" s="375" t="s">
        <v>1967</v>
      </c>
      <c r="D1068" s="375" t="s">
        <v>664</v>
      </c>
      <c r="E1068" s="375" t="s">
        <v>1974</v>
      </c>
      <c r="F1068" s="375" t="s">
        <v>2394</v>
      </c>
    </row>
    <row r="1069" spans="1:6">
      <c r="A1069" s="375" t="s">
        <v>1975</v>
      </c>
      <c r="B1069" s="375" t="s">
        <v>2719</v>
      </c>
      <c r="C1069" s="375" t="s">
        <v>1967</v>
      </c>
      <c r="D1069" s="375" t="s">
        <v>664</v>
      </c>
      <c r="E1069" s="375" t="s">
        <v>1975</v>
      </c>
      <c r="F1069" s="375" t="s">
        <v>2395</v>
      </c>
    </row>
    <row r="1070" spans="1:6">
      <c r="A1070" s="375" t="s">
        <v>1975</v>
      </c>
      <c r="B1070" s="375" t="s">
        <v>2719</v>
      </c>
      <c r="C1070" s="375" t="s">
        <v>1967</v>
      </c>
      <c r="D1070" s="375" t="s">
        <v>664</v>
      </c>
      <c r="E1070" s="375" t="s">
        <v>1976</v>
      </c>
      <c r="F1070" s="375" t="s">
        <v>3459</v>
      </c>
    </row>
    <row r="1071" spans="1:6">
      <c r="A1071" s="375" t="s">
        <v>1975</v>
      </c>
      <c r="B1071" s="375" t="s">
        <v>2719</v>
      </c>
      <c r="C1071" s="375" t="s">
        <v>1967</v>
      </c>
      <c r="D1071" s="375" t="s">
        <v>664</v>
      </c>
      <c r="E1071" s="375" t="s">
        <v>1977</v>
      </c>
      <c r="F1071" s="375" t="s">
        <v>2396</v>
      </c>
    </row>
    <row r="1072" spans="1:6">
      <c r="A1072" s="375" t="s">
        <v>1975</v>
      </c>
      <c r="B1072" s="375" t="s">
        <v>2719</v>
      </c>
      <c r="C1072" s="375" t="s">
        <v>1967</v>
      </c>
      <c r="D1072" s="375" t="s">
        <v>664</v>
      </c>
      <c r="E1072" s="375" t="s">
        <v>1978</v>
      </c>
      <c r="F1072" s="375" t="s">
        <v>2397</v>
      </c>
    </row>
    <row r="1073" spans="1:6">
      <c r="A1073" s="375" t="s">
        <v>1975</v>
      </c>
      <c r="B1073" s="375" t="s">
        <v>2719</v>
      </c>
      <c r="C1073" s="375" t="s">
        <v>1967</v>
      </c>
      <c r="D1073" s="375" t="s">
        <v>664</v>
      </c>
      <c r="E1073" s="375" t="s">
        <v>1979</v>
      </c>
      <c r="F1073" s="375" t="s">
        <v>2398</v>
      </c>
    </row>
    <row r="1074" spans="1:6">
      <c r="A1074" s="375" t="s">
        <v>1975</v>
      </c>
      <c r="B1074" s="375" t="s">
        <v>2719</v>
      </c>
      <c r="C1074" s="375" t="s">
        <v>1967</v>
      </c>
      <c r="D1074" s="375" t="s">
        <v>664</v>
      </c>
      <c r="E1074" s="375" t="s">
        <v>1980</v>
      </c>
      <c r="F1074" s="375" t="s">
        <v>2399</v>
      </c>
    </row>
    <row r="1075" spans="1:6">
      <c r="A1075" s="375" t="s">
        <v>1975</v>
      </c>
      <c r="B1075" s="375" t="s">
        <v>2719</v>
      </c>
      <c r="C1075" s="375" t="s">
        <v>1967</v>
      </c>
      <c r="D1075" s="375" t="s">
        <v>664</v>
      </c>
      <c r="E1075" s="375" t="s">
        <v>1981</v>
      </c>
      <c r="F1075" s="375" t="s">
        <v>2400</v>
      </c>
    </row>
    <row r="1076" spans="1:6">
      <c r="A1076" s="375" t="s">
        <v>1975</v>
      </c>
      <c r="B1076" s="375" t="s">
        <v>2719</v>
      </c>
      <c r="C1076" s="375" t="s">
        <v>1967</v>
      </c>
      <c r="D1076" s="375" t="s">
        <v>664</v>
      </c>
      <c r="E1076" s="375" t="s">
        <v>1982</v>
      </c>
      <c r="F1076" s="375" t="s">
        <v>2401</v>
      </c>
    </row>
    <row r="1077" spans="1:6">
      <c r="A1077" s="375" t="s">
        <v>1975</v>
      </c>
      <c r="B1077" s="375" t="s">
        <v>2719</v>
      </c>
      <c r="C1077" s="375" t="s">
        <v>1967</v>
      </c>
      <c r="D1077" s="375" t="s">
        <v>664</v>
      </c>
      <c r="E1077" s="375" t="s">
        <v>4150</v>
      </c>
      <c r="F1077" s="375" t="s">
        <v>2402</v>
      </c>
    </row>
    <row r="1078" spans="1:6">
      <c r="A1078" s="375" t="s">
        <v>1975</v>
      </c>
      <c r="B1078" s="375" t="s">
        <v>2719</v>
      </c>
      <c r="C1078" s="375" t="s">
        <v>1967</v>
      </c>
      <c r="D1078" s="375" t="s">
        <v>664</v>
      </c>
      <c r="E1078" s="375" t="s">
        <v>4151</v>
      </c>
      <c r="F1078" s="375" t="s">
        <v>2403</v>
      </c>
    </row>
    <row r="1079" spans="1:6">
      <c r="A1079" s="375" t="s">
        <v>1975</v>
      </c>
      <c r="B1079" s="375" t="s">
        <v>2719</v>
      </c>
      <c r="C1079" s="375" t="s">
        <v>1967</v>
      </c>
      <c r="D1079" s="375" t="s">
        <v>664</v>
      </c>
      <c r="E1079" s="375" t="s">
        <v>4152</v>
      </c>
      <c r="F1079" s="375" t="s">
        <v>2404</v>
      </c>
    </row>
    <row r="1080" spans="1:6">
      <c r="A1080" s="375" t="s">
        <v>1975</v>
      </c>
      <c r="B1080" s="375" t="s">
        <v>2719</v>
      </c>
      <c r="C1080" s="375" t="s">
        <v>1967</v>
      </c>
      <c r="D1080" s="375" t="s">
        <v>664</v>
      </c>
      <c r="E1080" s="375" t="s">
        <v>4153</v>
      </c>
      <c r="F1080" s="375" t="s">
        <v>837</v>
      </c>
    </row>
    <row r="1081" spans="1:6">
      <c r="A1081" s="375" t="s">
        <v>1975</v>
      </c>
      <c r="B1081" s="375" t="s">
        <v>2719</v>
      </c>
      <c r="C1081" s="375" t="s">
        <v>1967</v>
      </c>
      <c r="D1081" s="375" t="s">
        <v>664</v>
      </c>
      <c r="E1081" s="375" t="s">
        <v>4154</v>
      </c>
      <c r="F1081" s="375" t="s">
        <v>2405</v>
      </c>
    </row>
    <row r="1082" spans="1:6">
      <c r="A1082" s="375" t="s">
        <v>1975</v>
      </c>
      <c r="B1082" s="375" t="s">
        <v>2719</v>
      </c>
      <c r="C1082" s="375" t="s">
        <v>1967</v>
      </c>
      <c r="D1082" s="375" t="s">
        <v>664</v>
      </c>
      <c r="E1082" s="375" t="s">
        <v>4155</v>
      </c>
      <c r="F1082" s="375" t="s">
        <v>2406</v>
      </c>
    </row>
    <row r="1083" spans="1:6">
      <c r="A1083" s="375" t="s">
        <v>1975</v>
      </c>
      <c r="B1083" s="375" t="s">
        <v>2719</v>
      </c>
      <c r="C1083" s="375" t="s">
        <v>1967</v>
      </c>
      <c r="D1083" s="375" t="s">
        <v>664</v>
      </c>
      <c r="E1083" s="375" t="s">
        <v>4156</v>
      </c>
      <c r="F1083" s="375" t="s">
        <v>2407</v>
      </c>
    </row>
    <row r="1084" spans="1:6">
      <c r="A1084" s="375" t="s">
        <v>1975</v>
      </c>
      <c r="B1084" s="375" t="s">
        <v>2719</v>
      </c>
      <c r="C1084" s="375" t="s">
        <v>1967</v>
      </c>
      <c r="D1084" s="375" t="s">
        <v>664</v>
      </c>
      <c r="E1084" s="375" t="s">
        <v>4157</v>
      </c>
      <c r="F1084" s="375" t="s">
        <v>2408</v>
      </c>
    </row>
    <row r="1085" spans="1:6">
      <c r="A1085" s="375" t="s">
        <v>1975</v>
      </c>
      <c r="B1085" s="375" t="s">
        <v>2719</v>
      </c>
      <c r="C1085" s="375" t="s">
        <v>1967</v>
      </c>
      <c r="D1085" s="375" t="s">
        <v>664</v>
      </c>
      <c r="E1085" s="375" t="s">
        <v>4158</v>
      </c>
      <c r="F1085" s="375" t="s">
        <v>2409</v>
      </c>
    </row>
    <row r="1086" spans="1:6">
      <c r="A1086" s="375" t="s">
        <v>1975</v>
      </c>
      <c r="B1086" s="375" t="s">
        <v>2719</v>
      </c>
      <c r="C1086" s="375" t="s">
        <v>1967</v>
      </c>
      <c r="D1086" s="375" t="s">
        <v>664</v>
      </c>
      <c r="E1086" s="375" t="s">
        <v>4159</v>
      </c>
      <c r="F1086" s="375" t="s">
        <v>3242</v>
      </c>
    </row>
    <row r="1087" spans="1:6">
      <c r="A1087" s="375" t="s">
        <v>1975</v>
      </c>
      <c r="B1087" s="375" t="s">
        <v>2719</v>
      </c>
      <c r="C1087" s="375" t="s">
        <v>1967</v>
      </c>
      <c r="D1087" s="375" t="s">
        <v>664</v>
      </c>
      <c r="E1087" s="375" t="s">
        <v>2424</v>
      </c>
      <c r="F1087" s="375" t="s">
        <v>3243</v>
      </c>
    </row>
    <row r="1088" spans="1:6">
      <c r="A1088" s="375" t="s">
        <v>1975</v>
      </c>
      <c r="B1088" s="375" t="s">
        <v>2719</v>
      </c>
      <c r="C1088" s="375" t="s">
        <v>1967</v>
      </c>
      <c r="D1088" s="375" t="s">
        <v>664</v>
      </c>
      <c r="E1088" s="375" t="s">
        <v>2425</v>
      </c>
      <c r="F1088" s="375" t="s">
        <v>3244</v>
      </c>
    </row>
    <row r="1089" spans="1:6">
      <c r="A1089" s="375" t="s">
        <v>1975</v>
      </c>
      <c r="B1089" s="375" t="s">
        <v>2719</v>
      </c>
      <c r="C1089" s="375" t="s">
        <v>1967</v>
      </c>
      <c r="D1089" s="375" t="s">
        <v>664</v>
      </c>
      <c r="E1089" s="375" t="s">
        <v>2426</v>
      </c>
      <c r="F1089" s="375" t="s">
        <v>3245</v>
      </c>
    </row>
    <row r="1090" spans="1:6">
      <c r="A1090" s="375" t="s">
        <v>1975</v>
      </c>
      <c r="B1090" s="375" t="s">
        <v>2719</v>
      </c>
      <c r="C1090" s="375" t="s">
        <v>1967</v>
      </c>
      <c r="D1090" s="375" t="s">
        <v>664</v>
      </c>
      <c r="E1090" s="375" t="s">
        <v>2427</v>
      </c>
      <c r="F1090" s="375" t="s">
        <v>4199</v>
      </c>
    </row>
    <row r="1091" spans="1:6">
      <c r="A1091" s="375" t="s">
        <v>1975</v>
      </c>
      <c r="B1091" s="375" t="s">
        <v>2719</v>
      </c>
      <c r="C1091" s="375" t="s">
        <v>1967</v>
      </c>
      <c r="D1091" s="375" t="s">
        <v>664</v>
      </c>
      <c r="E1091" s="375" t="s">
        <v>2428</v>
      </c>
      <c r="F1091" s="375" t="s">
        <v>3246</v>
      </c>
    </row>
    <row r="1092" spans="1:6">
      <c r="A1092" s="375" t="s">
        <v>1975</v>
      </c>
      <c r="B1092" s="375" t="s">
        <v>2719</v>
      </c>
      <c r="C1092" s="375" t="s">
        <v>1968</v>
      </c>
      <c r="D1092" s="375" t="s">
        <v>2719</v>
      </c>
      <c r="E1092" s="375" t="s">
        <v>1964</v>
      </c>
      <c r="F1092" s="375" t="s">
        <v>2719</v>
      </c>
    </row>
    <row r="1093" spans="1:6">
      <c r="A1093" s="375" t="s">
        <v>1975</v>
      </c>
      <c r="B1093" s="375" t="s">
        <v>2719</v>
      </c>
      <c r="C1093" s="375" t="s">
        <v>1968</v>
      </c>
      <c r="D1093" s="375" t="s">
        <v>2719</v>
      </c>
      <c r="E1093" s="375" t="s">
        <v>1965</v>
      </c>
      <c r="F1093" s="375" t="s">
        <v>4004</v>
      </c>
    </row>
    <row r="1094" spans="1:6">
      <c r="A1094" s="375" t="s">
        <v>1975</v>
      </c>
      <c r="B1094" s="375" t="s">
        <v>2719</v>
      </c>
      <c r="C1094" s="375" t="s">
        <v>1968</v>
      </c>
      <c r="D1094" s="375" t="s">
        <v>2719</v>
      </c>
      <c r="E1094" s="375" t="s">
        <v>1966</v>
      </c>
      <c r="F1094" s="375" t="s">
        <v>4005</v>
      </c>
    </row>
    <row r="1095" spans="1:6">
      <c r="A1095" s="375" t="s">
        <v>1975</v>
      </c>
      <c r="B1095" s="375" t="s">
        <v>2719</v>
      </c>
      <c r="C1095" s="375" t="s">
        <v>1968</v>
      </c>
      <c r="D1095" s="375" t="s">
        <v>2719</v>
      </c>
      <c r="E1095" s="375" t="s">
        <v>1967</v>
      </c>
      <c r="F1095" s="375" t="s">
        <v>4006</v>
      </c>
    </row>
    <row r="1096" spans="1:6">
      <c r="A1096" s="375" t="s">
        <v>1975</v>
      </c>
      <c r="B1096" s="375" t="s">
        <v>2719</v>
      </c>
      <c r="C1096" s="375" t="s">
        <v>1969</v>
      </c>
      <c r="D1096" s="375" t="s">
        <v>4007</v>
      </c>
      <c r="E1096" s="375" t="s">
        <v>1964</v>
      </c>
      <c r="F1096" s="375" t="s">
        <v>4007</v>
      </c>
    </row>
    <row r="1097" spans="1:6">
      <c r="A1097" s="375" t="s">
        <v>1975</v>
      </c>
      <c r="B1097" s="375" t="s">
        <v>2719</v>
      </c>
      <c r="C1097" s="375" t="s">
        <v>1969</v>
      </c>
      <c r="D1097" s="375" t="s">
        <v>4007</v>
      </c>
      <c r="E1097" s="375" t="s">
        <v>1965</v>
      </c>
      <c r="F1097" s="375" t="s">
        <v>4008</v>
      </c>
    </row>
    <row r="1098" spans="1:6">
      <c r="A1098" s="375" t="s">
        <v>1975</v>
      </c>
      <c r="B1098" s="375" t="s">
        <v>2719</v>
      </c>
      <c r="C1098" s="375" t="s">
        <v>1969</v>
      </c>
      <c r="D1098" s="375" t="s">
        <v>4007</v>
      </c>
      <c r="E1098" s="375" t="s">
        <v>1966</v>
      </c>
      <c r="F1098" s="375" t="s">
        <v>4009</v>
      </c>
    </row>
    <row r="1099" spans="1:6">
      <c r="A1099" s="375" t="s">
        <v>1975</v>
      </c>
      <c r="B1099" s="375" t="s">
        <v>2719</v>
      </c>
      <c r="C1099" s="375" t="s">
        <v>1969</v>
      </c>
      <c r="D1099" s="375" t="s">
        <v>4007</v>
      </c>
      <c r="E1099" s="375" t="s">
        <v>1967</v>
      </c>
      <c r="F1099" s="375" t="s">
        <v>4010</v>
      </c>
    </row>
    <row r="1100" spans="1:6">
      <c r="A1100" s="375" t="s">
        <v>1975</v>
      </c>
      <c r="B1100" s="375" t="s">
        <v>2719</v>
      </c>
      <c r="C1100" s="375" t="s">
        <v>1969</v>
      </c>
      <c r="D1100" s="375" t="s">
        <v>4007</v>
      </c>
      <c r="E1100" s="375" t="s">
        <v>1968</v>
      </c>
      <c r="F1100" s="375" t="s">
        <v>4011</v>
      </c>
    </row>
    <row r="1101" spans="1:6">
      <c r="A1101" s="375" t="s">
        <v>1975</v>
      </c>
      <c r="B1101" s="375" t="s">
        <v>2719</v>
      </c>
      <c r="C1101" s="375" t="s">
        <v>1969</v>
      </c>
      <c r="D1101" s="375" t="s">
        <v>4007</v>
      </c>
      <c r="E1101" s="375" t="s">
        <v>1969</v>
      </c>
      <c r="F1101" s="375" t="s">
        <v>4012</v>
      </c>
    </row>
    <row r="1102" spans="1:6">
      <c r="A1102" s="375" t="s">
        <v>1975</v>
      </c>
      <c r="B1102" s="375" t="s">
        <v>2719</v>
      </c>
      <c r="C1102" s="375" t="s">
        <v>1969</v>
      </c>
      <c r="D1102" s="375" t="s">
        <v>4007</v>
      </c>
      <c r="E1102" s="375" t="s">
        <v>1970</v>
      </c>
      <c r="F1102" s="375" t="s">
        <v>4013</v>
      </c>
    </row>
    <row r="1103" spans="1:6">
      <c r="A1103" s="375" t="s">
        <v>1975</v>
      </c>
      <c r="B1103" s="375" t="s">
        <v>2719</v>
      </c>
      <c r="C1103" s="375" t="s">
        <v>1969</v>
      </c>
      <c r="D1103" s="375" t="s">
        <v>4007</v>
      </c>
      <c r="E1103" s="375" t="s">
        <v>1971</v>
      </c>
      <c r="F1103" s="375" t="s">
        <v>4014</v>
      </c>
    </row>
    <row r="1104" spans="1:6">
      <c r="A1104" s="375" t="s">
        <v>1975</v>
      </c>
      <c r="B1104" s="375" t="s">
        <v>2719</v>
      </c>
      <c r="C1104" s="375" t="s">
        <v>1970</v>
      </c>
      <c r="D1104" s="375" t="s">
        <v>4015</v>
      </c>
      <c r="E1104" s="375" t="s">
        <v>1964</v>
      </c>
      <c r="F1104" s="375" t="s">
        <v>4015</v>
      </c>
    </row>
    <row r="1105" spans="1:6">
      <c r="A1105" s="375" t="s">
        <v>1975</v>
      </c>
      <c r="B1105" s="375" t="s">
        <v>2719</v>
      </c>
      <c r="C1105" s="375" t="s">
        <v>1970</v>
      </c>
      <c r="D1105" s="375" t="s">
        <v>4015</v>
      </c>
      <c r="E1105" s="375" t="s">
        <v>1965</v>
      </c>
      <c r="F1105" s="375" t="s">
        <v>558</v>
      </c>
    </row>
    <row r="1106" spans="1:6">
      <c r="A1106" s="375" t="s">
        <v>1975</v>
      </c>
      <c r="B1106" s="375" t="s">
        <v>2719</v>
      </c>
      <c r="C1106" s="375" t="s">
        <v>1970</v>
      </c>
      <c r="D1106" s="375" t="s">
        <v>4015</v>
      </c>
      <c r="E1106" s="375" t="s">
        <v>1966</v>
      </c>
      <c r="F1106" s="375" t="s">
        <v>4016</v>
      </c>
    </row>
    <row r="1107" spans="1:6">
      <c r="A1107" s="375" t="s">
        <v>1975</v>
      </c>
      <c r="B1107" s="375" t="s">
        <v>2719</v>
      </c>
      <c r="C1107" s="375" t="s">
        <v>1970</v>
      </c>
      <c r="D1107" s="375" t="s">
        <v>4015</v>
      </c>
      <c r="E1107" s="375" t="s">
        <v>1967</v>
      </c>
      <c r="F1107" s="375" t="s">
        <v>4017</v>
      </c>
    </row>
    <row r="1108" spans="1:6">
      <c r="A1108" s="375" t="s">
        <v>1975</v>
      </c>
      <c r="B1108" s="375" t="s">
        <v>2719</v>
      </c>
      <c r="C1108" s="375" t="s">
        <v>1970</v>
      </c>
      <c r="D1108" s="375" t="s">
        <v>4015</v>
      </c>
      <c r="E1108" s="375" t="s">
        <v>1968</v>
      </c>
      <c r="F1108" s="375" t="s">
        <v>2176</v>
      </c>
    </row>
    <row r="1109" spans="1:6">
      <c r="A1109" s="375" t="s">
        <v>1975</v>
      </c>
      <c r="B1109" s="375" t="s">
        <v>2719</v>
      </c>
      <c r="C1109" s="375" t="s">
        <v>1970</v>
      </c>
      <c r="D1109" s="375" t="s">
        <v>4015</v>
      </c>
      <c r="E1109" s="375" t="s">
        <v>1969</v>
      </c>
      <c r="F1109" s="375" t="s">
        <v>4196</v>
      </c>
    </row>
    <row r="1110" spans="1:6">
      <c r="A1110" s="375" t="s">
        <v>1975</v>
      </c>
      <c r="B1110" s="375" t="s">
        <v>2719</v>
      </c>
      <c r="C1110" s="375" t="s">
        <v>1970</v>
      </c>
      <c r="D1110" s="375" t="s">
        <v>4015</v>
      </c>
      <c r="E1110" s="375" t="s">
        <v>1970</v>
      </c>
      <c r="F1110" s="375" t="s">
        <v>3516</v>
      </c>
    </row>
    <row r="1111" spans="1:6">
      <c r="A1111" s="375" t="s">
        <v>1975</v>
      </c>
      <c r="B1111" s="375" t="s">
        <v>2719</v>
      </c>
      <c r="C1111" s="375" t="s">
        <v>1970</v>
      </c>
      <c r="D1111" s="375" t="s">
        <v>4015</v>
      </c>
      <c r="E1111" s="375" t="s">
        <v>1971</v>
      </c>
      <c r="F1111" s="375" t="s">
        <v>1536</v>
      </c>
    </row>
    <row r="1112" spans="1:6">
      <c r="A1112" s="375" t="s">
        <v>1975</v>
      </c>
      <c r="B1112" s="375" t="s">
        <v>2719</v>
      </c>
      <c r="C1112" s="375" t="s">
        <v>1970</v>
      </c>
      <c r="D1112" s="375" t="s">
        <v>4015</v>
      </c>
      <c r="E1112" s="375" t="s">
        <v>1972</v>
      </c>
      <c r="F1112" s="375" t="s">
        <v>1537</v>
      </c>
    </row>
    <row r="1113" spans="1:6">
      <c r="A1113" s="375" t="s">
        <v>1975</v>
      </c>
      <c r="B1113" s="375" t="s">
        <v>2719</v>
      </c>
      <c r="C1113" s="375" t="s">
        <v>1971</v>
      </c>
      <c r="D1113" s="375" t="s">
        <v>4199</v>
      </c>
      <c r="E1113" s="375" t="s">
        <v>1964</v>
      </c>
      <c r="F1113" s="375" t="s">
        <v>1538</v>
      </c>
    </row>
    <row r="1114" spans="1:6">
      <c r="A1114" s="375" t="s">
        <v>1975</v>
      </c>
      <c r="B1114" s="375" t="s">
        <v>2719</v>
      </c>
      <c r="C1114" s="375" t="s">
        <v>1971</v>
      </c>
      <c r="D1114" s="375" t="s">
        <v>4199</v>
      </c>
      <c r="E1114" s="375" t="s">
        <v>1965</v>
      </c>
      <c r="F1114" s="375" t="s">
        <v>1539</v>
      </c>
    </row>
    <row r="1115" spans="1:6">
      <c r="A1115" s="375" t="s">
        <v>1975</v>
      </c>
      <c r="B1115" s="375" t="s">
        <v>2719</v>
      </c>
      <c r="C1115" s="375" t="s">
        <v>1971</v>
      </c>
      <c r="D1115" s="375" t="s">
        <v>4199</v>
      </c>
      <c r="E1115" s="375" t="s">
        <v>1966</v>
      </c>
      <c r="F1115" s="375" t="s">
        <v>1540</v>
      </c>
    </row>
    <row r="1116" spans="1:6">
      <c r="A1116" s="375" t="s">
        <v>1975</v>
      </c>
      <c r="B1116" s="375" t="s">
        <v>2719</v>
      </c>
      <c r="C1116" s="375" t="s">
        <v>1971</v>
      </c>
      <c r="D1116" s="375" t="s">
        <v>4199</v>
      </c>
      <c r="E1116" s="375" t="s">
        <v>1967</v>
      </c>
      <c r="F1116" s="375" t="s">
        <v>1541</v>
      </c>
    </row>
    <row r="1117" spans="1:6">
      <c r="A1117" s="375" t="s">
        <v>1975</v>
      </c>
      <c r="B1117" s="375" t="s">
        <v>2719</v>
      </c>
      <c r="C1117" s="375" t="s">
        <v>1971</v>
      </c>
      <c r="D1117" s="375" t="s">
        <v>4199</v>
      </c>
      <c r="E1117" s="375" t="s">
        <v>1968</v>
      </c>
      <c r="F1117" s="375" t="s">
        <v>1542</v>
      </c>
    </row>
    <row r="1118" spans="1:6">
      <c r="A1118" s="375" t="s">
        <v>1975</v>
      </c>
      <c r="B1118" s="375" t="s">
        <v>2719</v>
      </c>
      <c r="C1118" s="375" t="s">
        <v>1971</v>
      </c>
      <c r="D1118" s="375" t="s">
        <v>4199</v>
      </c>
      <c r="E1118" s="375" t="s">
        <v>1969</v>
      </c>
      <c r="F1118" s="375" t="s">
        <v>837</v>
      </c>
    </row>
    <row r="1119" spans="1:6">
      <c r="A1119" s="375" t="s">
        <v>1975</v>
      </c>
      <c r="B1119" s="375" t="s">
        <v>2719</v>
      </c>
      <c r="C1119" s="375" t="s">
        <v>1971</v>
      </c>
      <c r="D1119" s="375" t="s">
        <v>4199</v>
      </c>
      <c r="E1119" s="375" t="s">
        <v>1970</v>
      </c>
      <c r="F1119" s="375" t="s">
        <v>1543</v>
      </c>
    </row>
    <row r="1120" spans="1:6">
      <c r="A1120" s="375" t="s">
        <v>1975</v>
      </c>
      <c r="B1120" s="375" t="s">
        <v>2719</v>
      </c>
      <c r="C1120" s="375" t="s">
        <v>1971</v>
      </c>
      <c r="D1120" s="375" t="s">
        <v>4199</v>
      </c>
      <c r="E1120" s="375" t="s">
        <v>1971</v>
      </c>
      <c r="F1120" s="375" t="s">
        <v>1544</v>
      </c>
    </row>
    <row r="1121" spans="1:6">
      <c r="A1121" s="375" t="s">
        <v>1975</v>
      </c>
      <c r="B1121" s="375" t="s">
        <v>2719</v>
      </c>
      <c r="C1121" s="375" t="s">
        <v>1971</v>
      </c>
      <c r="D1121" s="375" t="s">
        <v>4199</v>
      </c>
      <c r="E1121" s="375" t="s">
        <v>1972</v>
      </c>
      <c r="F1121" s="375" t="s">
        <v>1545</v>
      </c>
    </row>
    <row r="1122" spans="1:6">
      <c r="A1122" s="375" t="s">
        <v>1975</v>
      </c>
      <c r="B1122" s="375" t="s">
        <v>2719</v>
      </c>
      <c r="C1122" s="375" t="s">
        <v>1971</v>
      </c>
      <c r="D1122" s="375" t="s">
        <v>4199</v>
      </c>
      <c r="E1122" s="375" t="s">
        <v>1973</v>
      </c>
      <c r="F1122" s="375" t="s">
        <v>4199</v>
      </c>
    </row>
    <row r="1123" spans="1:6">
      <c r="A1123" s="375" t="s">
        <v>1975</v>
      </c>
      <c r="B1123" s="375" t="s">
        <v>2719</v>
      </c>
      <c r="C1123" s="375" t="s">
        <v>1972</v>
      </c>
      <c r="D1123" s="375" t="s">
        <v>1546</v>
      </c>
      <c r="E1123" s="375" t="s">
        <v>1964</v>
      </c>
      <c r="F1123" s="375" t="s">
        <v>1546</v>
      </c>
    </row>
    <row r="1124" spans="1:6">
      <c r="A1124" s="375" t="s">
        <v>1975</v>
      </c>
      <c r="B1124" s="375" t="s">
        <v>2719</v>
      </c>
      <c r="C1124" s="375" t="s">
        <v>1972</v>
      </c>
      <c r="D1124" s="375" t="s">
        <v>1546</v>
      </c>
      <c r="E1124" s="375" t="s">
        <v>1965</v>
      </c>
      <c r="F1124" s="375" t="s">
        <v>3196</v>
      </c>
    </row>
    <row r="1125" spans="1:6">
      <c r="A1125" s="375" t="s">
        <v>1975</v>
      </c>
      <c r="B1125" s="375" t="s">
        <v>2719</v>
      </c>
      <c r="C1125" s="375" t="s">
        <v>1972</v>
      </c>
      <c r="D1125" s="375" t="s">
        <v>1546</v>
      </c>
      <c r="E1125" s="375" t="s">
        <v>1966</v>
      </c>
      <c r="F1125" s="375" t="s">
        <v>3197</v>
      </c>
    </row>
    <row r="1126" spans="1:6">
      <c r="A1126" s="375" t="s">
        <v>1975</v>
      </c>
      <c r="B1126" s="375" t="s">
        <v>2719</v>
      </c>
      <c r="C1126" s="375" t="s">
        <v>1972</v>
      </c>
      <c r="D1126" s="375" t="s">
        <v>1546</v>
      </c>
      <c r="E1126" s="375" t="s">
        <v>1967</v>
      </c>
      <c r="F1126" s="375" t="s">
        <v>3198</v>
      </c>
    </row>
    <row r="1127" spans="1:6">
      <c r="A1127" s="375" t="s">
        <v>1975</v>
      </c>
      <c r="B1127" s="375" t="s">
        <v>2719</v>
      </c>
      <c r="C1127" s="375" t="s">
        <v>1972</v>
      </c>
      <c r="D1127" s="375" t="s">
        <v>1546</v>
      </c>
      <c r="E1127" s="375" t="s">
        <v>1968</v>
      </c>
      <c r="F1127" s="375" t="s">
        <v>3199</v>
      </c>
    </row>
    <row r="1128" spans="1:6">
      <c r="A1128" s="375" t="s">
        <v>1975</v>
      </c>
      <c r="B1128" s="375" t="s">
        <v>2719</v>
      </c>
      <c r="C1128" s="375" t="s">
        <v>1972</v>
      </c>
      <c r="D1128" s="375" t="s">
        <v>1546</v>
      </c>
      <c r="E1128" s="375" t="s">
        <v>1969</v>
      </c>
      <c r="F1128" s="375" t="s">
        <v>700</v>
      </c>
    </row>
    <row r="1129" spans="1:6">
      <c r="A1129" s="375" t="s">
        <v>1975</v>
      </c>
      <c r="B1129" s="375" t="s">
        <v>2719</v>
      </c>
      <c r="C1129" s="375" t="s">
        <v>1972</v>
      </c>
      <c r="D1129" s="375" t="s">
        <v>1546</v>
      </c>
      <c r="E1129" s="375" t="s">
        <v>1970</v>
      </c>
      <c r="F1129" s="375" t="s">
        <v>701</v>
      </c>
    </row>
    <row r="1130" spans="1:6">
      <c r="A1130" s="375" t="s">
        <v>1975</v>
      </c>
      <c r="B1130" s="375" t="s">
        <v>2719</v>
      </c>
      <c r="C1130" s="375" t="s">
        <v>1972</v>
      </c>
      <c r="D1130" s="375" t="s">
        <v>1546</v>
      </c>
      <c r="E1130" s="375" t="s">
        <v>1971</v>
      </c>
      <c r="F1130" s="375" t="s">
        <v>3460</v>
      </c>
    </row>
    <row r="1131" spans="1:6">
      <c r="A1131" s="375" t="s">
        <v>1975</v>
      </c>
      <c r="B1131" s="375" t="s">
        <v>2719</v>
      </c>
      <c r="C1131" s="375" t="s">
        <v>1972</v>
      </c>
      <c r="D1131" s="375" t="s">
        <v>1546</v>
      </c>
      <c r="E1131" s="375" t="s">
        <v>1972</v>
      </c>
      <c r="F1131" s="375" t="s">
        <v>1179</v>
      </c>
    </row>
    <row r="1132" spans="1:6">
      <c r="A1132" s="375" t="s">
        <v>1976</v>
      </c>
      <c r="B1132" s="375" t="s">
        <v>2048</v>
      </c>
      <c r="C1132" s="375" t="s">
        <v>1964</v>
      </c>
      <c r="D1132" s="375" t="s">
        <v>1180</v>
      </c>
      <c r="E1132" s="375" t="s">
        <v>1964</v>
      </c>
      <c r="F1132" s="375" t="s">
        <v>1180</v>
      </c>
    </row>
    <row r="1133" spans="1:6">
      <c r="A1133" s="375" t="s">
        <v>1976</v>
      </c>
      <c r="B1133" s="375" t="s">
        <v>2048</v>
      </c>
      <c r="C1133" s="375" t="s">
        <v>1964</v>
      </c>
      <c r="D1133" s="375" t="s">
        <v>1180</v>
      </c>
      <c r="E1133" s="375" t="s">
        <v>1965</v>
      </c>
      <c r="F1133" s="375" t="s">
        <v>1181</v>
      </c>
    </row>
    <row r="1134" spans="1:6">
      <c r="A1134" s="375" t="s">
        <v>1976</v>
      </c>
      <c r="B1134" s="375" t="s">
        <v>2048</v>
      </c>
      <c r="C1134" s="375" t="s">
        <v>1964</v>
      </c>
      <c r="D1134" s="375" t="s">
        <v>1180</v>
      </c>
      <c r="E1134" s="375" t="s">
        <v>1966</v>
      </c>
      <c r="F1134" s="375" t="s">
        <v>1182</v>
      </c>
    </row>
    <row r="1135" spans="1:6">
      <c r="A1135" s="375" t="s">
        <v>1976</v>
      </c>
      <c r="B1135" s="375" t="s">
        <v>2048</v>
      </c>
      <c r="C1135" s="375" t="s">
        <v>1964</v>
      </c>
      <c r="D1135" s="375" t="s">
        <v>1180</v>
      </c>
      <c r="E1135" s="375" t="s">
        <v>1967</v>
      </c>
      <c r="F1135" s="375" t="s">
        <v>1183</v>
      </c>
    </row>
    <row r="1136" spans="1:6">
      <c r="A1136" s="375" t="s">
        <v>1976</v>
      </c>
      <c r="B1136" s="375" t="s">
        <v>2048</v>
      </c>
      <c r="C1136" s="375" t="s">
        <v>1964</v>
      </c>
      <c r="D1136" s="375" t="s">
        <v>1180</v>
      </c>
      <c r="E1136" s="375" t="s">
        <v>1968</v>
      </c>
      <c r="F1136" s="375" t="s">
        <v>3672</v>
      </c>
    </row>
    <row r="1137" spans="1:6">
      <c r="A1137" s="375" t="s">
        <v>1976</v>
      </c>
      <c r="B1137" s="375" t="s">
        <v>2048</v>
      </c>
      <c r="C1137" s="375" t="s">
        <v>1964</v>
      </c>
      <c r="D1137" s="375" t="s">
        <v>1180</v>
      </c>
      <c r="E1137" s="375" t="s">
        <v>1969</v>
      </c>
      <c r="F1137" s="375" t="s">
        <v>4179</v>
      </c>
    </row>
    <row r="1138" spans="1:6">
      <c r="A1138" s="375" t="s">
        <v>1976</v>
      </c>
      <c r="B1138" s="375" t="s">
        <v>2048</v>
      </c>
      <c r="C1138" s="375" t="s">
        <v>1964</v>
      </c>
      <c r="D1138" s="375" t="s">
        <v>1180</v>
      </c>
      <c r="E1138" s="375" t="s">
        <v>1970</v>
      </c>
      <c r="F1138" s="375" t="s">
        <v>4180</v>
      </c>
    </row>
    <row r="1139" spans="1:6">
      <c r="A1139" s="375" t="s">
        <v>1976</v>
      </c>
      <c r="B1139" s="375" t="s">
        <v>2048</v>
      </c>
      <c r="C1139" s="375" t="s">
        <v>1964</v>
      </c>
      <c r="D1139" s="375" t="s">
        <v>1180</v>
      </c>
      <c r="E1139" s="375" t="s">
        <v>1971</v>
      </c>
      <c r="F1139" s="375" t="s">
        <v>4181</v>
      </c>
    </row>
    <row r="1140" spans="1:6">
      <c r="A1140" s="375" t="s">
        <v>1976</v>
      </c>
      <c r="B1140" s="375" t="s">
        <v>2048</v>
      </c>
      <c r="C1140" s="375" t="s">
        <v>1964</v>
      </c>
      <c r="D1140" s="375" t="s">
        <v>1180</v>
      </c>
      <c r="E1140" s="375" t="s">
        <v>1972</v>
      </c>
      <c r="F1140" s="375" t="s">
        <v>4182</v>
      </c>
    </row>
    <row r="1141" spans="1:6">
      <c r="A1141" s="375" t="s">
        <v>1976</v>
      </c>
      <c r="B1141" s="375" t="s">
        <v>2048</v>
      </c>
      <c r="C1141" s="375" t="s">
        <v>1964</v>
      </c>
      <c r="D1141" s="375" t="s">
        <v>1180</v>
      </c>
      <c r="E1141" s="375" t="s">
        <v>1973</v>
      </c>
      <c r="F1141" s="375" t="s">
        <v>4183</v>
      </c>
    </row>
    <row r="1142" spans="1:6">
      <c r="A1142" s="375" t="s">
        <v>1976</v>
      </c>
      <c r="B1142" s="375" t="s">
        <v>2048</v>
      </c>
      <c r="C1142" s="375" t="s">
        <v>1964</v>
      </c>
      <c r="D1142" s="375" t="s">
        <v>1180</v>
      </c>
      <c r="E1142" s="375" t="s">
        <v>1974</v>
      </c>
      <c r="F1142" s="375" t="s">
        <v>4184</v>
      </c>
    </row>
    <row r="1143" spans="1:6">
      <c r="A1143" s="375" t="s">
        <v>1976</v>
      </c>
      <c r="B1143" s="375" t="s">
        <v>2048</v>
      </c>
      <c r="C1143" s="375" t="s">
        <v>1965</v>
      </c>
      <c r="D1143" s="375" t="s">
        <v>4185</v>
      </c>
      <c r="E1143" s="375" t="s">
        <v>1964</v>
      </c>
      <c r="F1143" s="375" t="s">
        <v>4185</v>
      </c>
    </row>
    <row r="1144" spans="1:6">
      <c r="A1144" s="375" t="s">
        <v>1976</v>
      </c>
      <c r="B1144" s="375" t="s">
        <v>2048</v>
      </c>
      <c r="C1144" s="375" t="s">
        <v>1965</v>
      </c>
      <c r="D1144" s="375" t="s">
        <v>4185</v>
      </c>
      <c r="E1144" s="375" t="s">
        <v>1965</v>
      </c>
      <c r="F1144" s="375" t="s">
        <v>4186</v>
      </c>
    </row>
    <row r="1145" spans="1:6">
      <c r="A1145" s="375" t="s">
        <v>1976</v>
      </c>
      <c r="B1145" s="375" t="s">
        <v>2048</v>
      </c>
      <c r="C1145" s="375" t="s">
        <v>1965</v>
      </c>
      <c r="D1145" s="375" t="s">
        <v>4185</v>
      </c>
      <c r="E1145" s="375" t="s">
        <v>1966</v>
      </c>
      <c r="F1145" s="375" t="s">
        <v>4187</v>
      </c>
    </row>
    <row r="1146" spans="1:6">
      <c r="A1146" s="375" t="s">
        <v>1976</v>
      </c>
      <c r="B1146" s="375" t="s">
        <v>2048</v>
      </c>
      <c r="C1146" s="375" t="s">
        <v>1965</v>
      </c>
      <c r="D1146" s="375" t="s">
        <v>4185</v>
      </c>
      <c r="E1146" s="375" t="s">
        <v>1967</v>
      </c>
      <c r="F1146" s="375" t="s">
        <v>234</v>
      </c>
    </row>
    <row r="1147" spans="1:6">
      <c r="A1147" s="375" t="s">
        <v>1976</v>
      </c>
      <c r="B1147" s="375" t="s">
        <v>2048</v>
      </c>
      <c r="C1147" s="375" t="s">
        <v>1965</v>
      </c>
      <c r="D1147" s="375" t="s">
        <v>4185</v>
      </c>
      <c r="E1147" s="375" t="s">
        <v>1968</v>
      </c>
      <c r="F1147" s="375" t="s">
        <v>235</v>
      </c>
    </row>
    <row r="1148" spans="1:6">
      <c r="A1148" s="375" t="s">
        <v>1976</v>
      </c>
      <c r="B1148" s="375" t="s">
        <v>2048</v>
      </c>
      <c r="C1148" s="375" t="s">
        <v>1965</v>
      </c>
      <c r="D1148" s="375" t="s">
        <v>4185</v>
      </c>
      <c r="E1148" s="375" t="s">
        <v>1969</v>
      </c>
      <c r="F1148" s="375" t="s">
        <v>236</v>
      </c>
    </row>
    <row r="1149" spans="1:6">
      <c r="A1149" s="375" t="s">
        <v>1976</v>
      </c>
      <c r="B1149" s="375" t="s">
        <v>2048</v>
      </c>
      <c r="C1149" s="375" t="s">
        <v>1965</v>
      </c>
      <c r="D1149" s="375" t="s">
        <v>4185</v>
      </c>
      <c r="E1149" s="375" t="s">
        <v>1970</v>
      </c>
      <c r="F1149" s="375" t="s">
        <v>3431</v>
      </c>
    </row>
    <row r="1150" spans="1:6">
      <c r="A1150" s="375" t="s">
        <v>1976</v>
      </c>
      <c r="B1150" s="375" t="s">
        <v>2048</v>
      </c>
      <c r="C1150" s="375" t="s">
        <v>1965</v>
      </c>
      <c r="D1150" s="375" t="s">
        <v>4185</v>
      </c>
      <c r="E1150" s="375" t="s">
        <v>1971</v>
      </c>
      <c r="F1150" s="375" t="s">
        <v>3461</v>
      </c>
    </row>
    <row r="1151" spans="1:6">
      <c r="A1151" s="375" t="s">
        <v>1976</v>
      </c>
      <c r="B1151" s="375" t="s">
        <v>2048</v>
      </c>
      <c r="C1151" s="375" t="s">
        <v>1966</v>
      </c>
      <c r="D1151" s="375" t="s">
        <v>3592</v>
      </c>
      <c r="E1151" s="375" t="s">
        <v>1964</v>
      </c>
      <c r="F1151" s="375" t="s">
        <v>3592</v>
      </c>
    </row>
    <row r="1152" spans="1:6">
      <c r="A1152" s="375" t="s">
        <v>1976</v>
      </c>
      <c r="B1152" s="375" t="s">
        <v>2048</v>
      </c>
      <c r="C1152" s="375" t="s">
        <v>1966</v>
      </c>
      <c r="D1152" s="375" t="s">
        <v>3592</v>
      </c>
      <c r="E1152" s="375" t="s">
        <v>1965</v>
      </c>
      <c r="F1152" s="375" t="s">
        <v>2300</v>
      </c>
    </row>
    <row r="1153" spans="1:6">
      <c r="A1153" s="375" t="s">
        <v>1976</v>
      </c>
      <c r="B1153" s="375" t="s">
        <v>2048</v>
      </c>
      <c r="C1153" s="375" t="s">
        <v>1966</v>
      </c>
      <c r="D1153" s="375" t="s">
        <v>3592</v>
      </c>
      <c r="E1153" s="375" t="s">
        <v>1966</v>
      </c>
      <c r="F1153" s="375" t="s">
        <v>3607</v>
      </c>
    </row>
    <row r="1154" spans="1:6">
      <c r="A1154" s="375" t="s">
        <v>1976</v>
      </c>
      <c r="B1154" s="375" t="s">
        <v>2048</v>
      </c>
      <c r="C1154" s="375" t="s">
        <v>1966</v>
      </c>
      <c r="D1154" s="375" t="s">
        <v>3592</v>
      </c>
      <c r="E1154" s="375" t="s">
        <v>1967</v>
      </c>
      <c r="F1154" s="375" t="s">
        <v>487</v>
      </c>
    </row>
    <row r="1155" spans="1:6">
      <c r="A1155" s="375" t="s">
        <v>1976</v>
      </c>
      <c r="B1155" s="375" t="s">
        <v>2048</v>
      </c>
      <c r="C1155" s="375" t="s">
        <v>1966</v>
      </c>
      <c r="D1155" s="375" t="s">
        <v>3592</v>
      </c>
      <c r="E1155" s="375" t="s">
        <v>1968</v>
      </c>
      <c r="F1155" s="375" t="s">
        <v>4148</v>
      </c>
    </row>
    <row r="1156" spans="1:6">
      <c r="A1156" s="375" t="s">
        <v>1976</v>
      </c>
      <c r="B1156" s="375" t="s">
        <v>2048</v>
      </c>
      <c r="C1156" s="375" t="s">
        <v>1966</v>
      </c>
      <c r="D1156" s="375" t="s">
        <v>3592</v>
      </c>
      <c r="E1156" s="375" t="s">
        <v>1969</v>
      </c>
      <c r="F1156" s="375" t="s">
        <v>4149</v>
      </c>
    </row>
    <row r="1157" spans="1:6">
      <c r="A1157" s="375" t="s">
        <v>1976</v>
      </c>
      <c r="B1157" s="375" t="s">
        <v>2048</v>
      </c>
      <c r="C1157" s="375" t="s">
        <v>1967</v>
      </c>
      <c r="D1157" s="375" t="s">
        <v>1533</v>
      </c>
      <c r="E1157" s="375" t="s">
        <v>1964</v>
      </c>
      <c r="F1157" s="375" t="s">
        <v>1533</v>
      </c>
    </row>
    <row r="1158" spans="1:6">
      <c r="A1158" s="375" t="s">
        <v>1976</v>
      </c>
      <c r="B1158" s="375" t="s">
        <v>2048</v>
      </c>
      <c r="C1158" s="375" t="s">
        <v>1967</v>
      </c>
      <c r="D1158" s="375" t="s">
        <v>1533</v>
      </c>
      <c r="E1158" s="375" t="s">
        <v>1965</v>
      </c>
      <c r="F1158" s="375" t="s">
        <v>1534</v>
      </c>
    </row>
    <row r="1159" spans="1:6">
      <c r="A1159" s="375" t="s">
        <v>1976</v>
      </c>
      <c r="B1159" s="375" t="s">
        <v>2048</v>
      </c>
      <c r="C1159" s="375" t="s">
        <v>1967</v>
      </c>
      <c r="D1159" s="375" t="s">
        <v>1533</v>
      </c>
      <c r="E1159" s="375" t="s">
        <v>1966</v>
      </c>
      <c r="F1159" s="375" t="s">
        <v>40</v>
      </c>
    </row>
    <row r="1160" spans="1:6">
      <c r="A1160" s="375" t="s">
        <v>1976</v>
      </c>
      <c r="B1160" s="375" t="s">
        <v>2048</v>
      </c>
      <c r="C1160" s="375" t="s">
        <v>1968</v>
      </c>
      <c r="D1160" s="375" t="s">
        <v>2395</v>
      </c>
      <c r="E1160" s="375" t="s">
        <v>1964</v>
      </c>
      <c r="F1160" s="375" t="s">
        <v>2395</v>
      </c>
    </row>
    <row r="1161" spans="1:6">
      <c r="A1161" s="375" t="s">
        <v>1976</v>
      </c>
      <c r="B1161" s="375" t="s">
        <v>2048</v>
      </c>
      <c r="C1161" s="375" t="s">
        <v>1968</v>
      </c>
      <c r="D1161" s="375" t="s">
        <v>2395</v>
      </c>
      <c r="E1161" s="375" t="s">
        <v>1965</v>
      </c>
      <c r="F1161" s="375" t="s">
        <v>1535</v>
      </c>
    </row>
    <row r="1162" spans="1:6">
      <c r="A1162" s="375" t="s">
        <v>1976</v>
      </c>
      <c r="B1162" s="375" t="s">
        <v>2048</v>
      </c>
      <c r="C1162" s="375" t="s">
        <v>1968</v>
      </c>
      <c r="D1162" s="375" t="s">
        <v>2395</v>
      </c>
      <c r="E1162" s="375" t="s">
        <v>1966</v>
      </c>
      <c r="F1162" s="375" t="s">
        <v>2713</v>
      </c>
    </row>
    <row r="1163" spans="1:6">
      <c r="A1163" s="375" t="s">
        <v>1976</v>
      </c>
      <c r="B1163" s="375" t="s">
        <v>2048</v>
      </c>
      <c r="C1163" s="375" t="s">
        <v>1968</v>
      </c>
      <c r="D1163" s="375" t="s">
        <v>2395</v>
      </c>
      <c r="E1163" s="375" t="s">
        <v>1967</v>
      </c>
      <c r="F1163" s="375" t="s">
        <v>2714</v>
      </c>
    </row>
    <row r="1164" spans="1:6">
      <c r="A1164" s="375" t="s">
        <v>1976</v>
      </c>
      <c r="B1164" s="375" t="s">
        <v>2048</v>
      </c>
      <c r="C1164" s="375" t="s">
        <v>1969</v>
      </c>
      <c r="D1164" s="375" t="s">
        <v>2222</v>
      </c>
      <c r="E1164" s="375" t="s">
        <v>1964</v>
      </c>
      <c r="F1164" s="375" t="s">
        <v>2222</v>
      </c>
    </row>
    <row r="1165" spans="1:6">
      <c r="A1165" s="375" t="s">
        <v>1976</v>
      </c>
      <c r="B1165" s="375" t="s">
        <v>2048</v>
      </c>
      <c r="C1165" s="375" t="s">
        <v>1969</v>
      </c>
      <c r="D1165" s="375" t="s">
        <v>2222</v>
      </c>
      <c r="E1165" s="375" t="s">
        <v>1965</v>
      </c>
      <c r="F1165" s="375" t="s">
        <v>2867</v>
      </c>
    </row>
    <row r="1166" spans="1:6">
      <c r="A1166" s="375" t="s">
        <v>1976</v>
      </c>
      <c r="B1166" s="375" t="s">
        <v>2048</v>
      </c>
      <c r="C1166" s="375" t="s">
        <v>1969</v>
      </c>
      <c r="D1166" s="375" t="s">
        <v>2222</v>
      </c>
      <c r="E1166" s="375" t="s">
        <v>1967</v>
      </c>
      <c r="F1166" s="375" t="s">
        <v>2868</v>
      </c>
    </row>
    <row r="1167" spans="1:6">
      <c r="A1167" s="375" t="s">
        <v>1976</v>
      </c>
      <c r="B1167" s="375" t="s">
        <v>2048</v>
      </c>
      <c r="C1167" s="375" t="s">
        <v>1969</v>
      </c>
      <c r="D1167" s="375" t="s">
        <v>2222</v>
      </c>
      <c r="E1167" s="375" t="s">
        <v>1968</v>
      </c>
      <c r="F1167" s="375" t="s">
        <v>2869</v>
      </c>
    </row>
    <row r="1168" spans="1:6">
      <c r="A1168" s="375" t="s">
        <v>1976</v>
      </c>
      <c r="B1168" s="375" t="s">
        <v>2048</v>
      </c>
      <c r="C1168" s="375" t="s">
        <v>1969</v>
      </c>
      <c r="D1168" s="375" t="s">
        <v>2222</v>
      </c>
      <c r="E1168" s="375" t="s">
        <v>1969</v>
      </c>
      <c r="F1168" s="375" t="s">
        <v>2870</v>
      </c>
    </row>
    <row r="1169" spans="1:6">
      <c r="A1169" s="375" t="s">
        <v>1976</v>
      </c>
      <c r="B1169" s="375" t="s">
        <v>2048</v>
      </c>
      <c r="C1169" s="375" t="s">
        <v>1969</v>
      </c>
      <c r="D1169" s="375" t="s">
        <v>2222</v>
      </c>
      <c r="E1169" s="375" t="s">
        <v>1971</v>
      </c>
      <c r="F1169" s="375" t="s">
        <v>1422</v>
      </c>
    </row>
    <row r="1170" spans="1:6">
      <c r="A1170" s="375" t="s">
        <v>1976</v>
      </c>
      <c r="B1170" s="375" t="s">
        <v>2048</v>
      </c>
      <c r="C1170" s="375" t="s">
        <v>1969</v>
      </c>
      <c r="D1170" s="375" t="s">
        <v>2222</v>
      </c>
      <c r="E1170" s="375" t="s">
        <v>1973</v>
      </c>
      <c r="F1170" s="375" t="s">
        <v>1423</v>
      </c>
    </row>
    <row r="1171" spans="1:6">
      <c r="A1171" s="375" t="s">
        <v>1976</v>
      </c>
      <c r="B1171" s="375" t="s">
        <v>2048</v>
      </c>
      <c r="C1171" s="375" t="s">
        <v>1969</v>
      </c>
      <c r="D1171" s="375" t="s">
        <v>2222</v>
      </c>
      <c r="E1171" s="375" t="s">
        <v>1974</v>
      </c>
      <c r="F1171" s="375" t="s">
        <v>1424</v>
      </c>
    </row>
    <row r="1172" spans="1:6">
      <c r="A1172" s="375" t="s">
        <v>1976</v>
      </c>
      <c r="B1172" s="375" t="s">
        <v>2048</v>
      </c>
      <c r="C1172" s="375" t="s">
        <v>1969</v>
      </c>
      <c r="D1172" s="375" t="s">
        <v>2222</v>
      </c>
      <c r="E1172" s="375" t="s">
        <v>1976</v>
      </c>
      <c r="F1172" s="375" t="s">
        <v>1184</v>
      </c>
    </row>
    <row r="1173" spans="1:6">
      <c r="A1173" s="375" t="s">
        <v>1976</v>
      </c>
      <c r="B1173" s="375" t="s">
        <v>2048</v>
      </c>
      <c r="C1173" s="375" t="s">
        <v>1969</v>
      </c>
      <c r="D1173" s="375" t="s">
        <v>2222</v>
      </c>
      <c r="E1173" s="375" t="s">
        <v>1977</v>
      </c>
      <c r="F1173" s="375" t="s">
        <v>1185</v>
      </c>
    </row>
    <row r="1174" spans="1:6">
      <c r="A1174" s="375" t="s">
        <v>1976</v>
      </c>
      <c r="B1174" s="375" t="s">
        <v>2048</v>
      </c>
      <c r="C1174" s="375" t="s">
        <v>1970</v>
      </c>
      <c r="D1174" s="375" t="s">
        <v>2904</v>
      </c>
      <c r="E1174" s="375" t="s">
        <v>1964</v>
      </c>
      <c r="F1174" s="375" t="s">
        <v>2905</v>
      </c>
    </row>
    <row r="1175" spans="1:6">
      <c r="A1175" s="375" t="s">
        <v>1976</v>
      </c>
      <c r="B1175" s="375" t="s">
        <v>2048</v>
      </c>
      <c r="C1175" s="375" t="s">
        <v>1970</v>
      </c>
      <c r="D1175" s="375" t="s">
        <v>2904</v>
      </c>
      <c r="E1175" s="375" t="s">
        <v>1965</v>
      </c>
      <c r="F1175" s="375" t="s">
        <v>2634</v>
      </c>
    </row>
    <row r="1176" spans="1:6">
      <c r="A1176" s="375" t="s">
        <v>1976</v>
      </c>
      <c r="B1176" s="375" t="s">
        <v>2048</v>
      </c>
      <c r="C1176" s="375" t="s">
        <v>1970</v>
      </c>
      <c r="D1176" s="375" t="s">
        <v>2904</v>
      </c>
      <c r="E1176" s="375" t="s">
        <v>1966</v>
      </c>
      <c r="F1176" s="375" t="s">
        <v>2635</v>
      </c>
    </row>
    <row r="1177" spans="1:6">
      <c r="A1177" s="375" t="s">
        <v>1976</v>
      </c>
      <c r="B1177" s="375" t="s">
        <v>2048</v>
      </c>
      <c r="C1177" s="375" t="s">
        <v>1970</v>
      </c>
      <c r="D1177" s="375" t="s">
        <v>2904</v>
      </c>
      <c r="E1177" s="375" t="s">
        <v>1967</v>
      </c>
      <c r="F1177" s="375" t="s">
        <v>2904</v>
      </c>
    </row>
    <row r="1178" spans="1:6">
      <c r="A1178" s="375" t="s">
        <v>1976</v>
      </c>
      <c r="B1178" s="375" t="s">
        <v>2048</v>
      </c>
      <c r="C1178" s="375" t="s">
        <v>1970</v>
      </c>
      <c r="D1178" s="375" t="s">
        <v>2904</v>
      </c>
      <c r="E1178" s="375" t="s">
        <v>1968</v>
      </c>
      <c r="F1178" s="375" t="s">
        <v>660</v>
      </c>
    </row>
    <row r="1179" spans="1:6">
      <c r="A1179" s="375" t="s">
        <v>1976</v>
      </c>
      <c r="B1179" s="375" t="s">
        <v>2048</v>
      </c>
      <c r="C1179" s="375" t="s">
        <v>1971</v>
      </c>
      <c r="D1179" s="375" t="s">
        <v>661</v>
      </c>
      <c r="E1179" s="375" t="s">
        <v>1964</v>
      </c>
      <c r="F1179" s="375" t="s">
        <v>2650</v>
      </c>
    </row>
    <row r="1180" spans="1:6">
      <c r="A1180" s="375" t="s">
        <v>1976</v>
      </c>
      <c r="B1180" s="375" t="s">
        <v>2048</v>
      </c>
      <c r="C1180" s="375" t="s">
        <v>1971</v>
      </c>
      <c r="D1180" s="375" t="s">
        <v>661</v>
      </c>
      <c r="E1180" s="375" t="s">
        <v>1965</v>
      </c>
      <c r="F1180" s="375" t="s">
        <v>2651</v>
      </c>
    </row>
    <row r="1181" spans="1:6">
      <c r="A1181" s="375" t="s">
        <v>1976</v>
      </c>
      <c r="B1181" s="375" t="s">
        <v>2048</v>
      </c>
      <c r="C1181" s="375" t="s">
        <v>1971</v>
      </c>
      <c r="D1181" s="375" t="s">
        <v>661</v>
      </c>
      <c r="E1181" s="375" t="s">
        <v>1966</v>
      </c>
      <c r="F1181" s="375" t="s">
        <v>2652</v>
      </c>
    </row>
    <row r="1182" spans="1:6">
      <c r="A1182" s="375" t="s">
        <v>1976</v>
      </c>
      <c r="B1182" s="375" t="s">
        <v>2048</v>
      </c>
      <c r="C1182" s="375" t="s">
        <v>1971</v>
      </c>
      <c r="D1182" s="375" t="s">
        <v>661</v>
      </c>
      <c r="E1182" s="375" t="s">
        <v>1967</v>
      </c>
      <c r="F1182" s="375" t="s">
        <v>2653</v>
      </c>
    </row>
    <row r="1183" spans="1:6">
      <c r="A1183" s="375" t="s">
        <v>1976</v>
      </c>
      <c r="B1183" s="375" t="s">
        <v>2048</v>
      </c>
      <c r="C1183" s="375" t="s">
        <v>1971</v>
      </c>
      <c r="D1183" s="375" t="s">
        <v>661</v>
      </c>
      <c r="E1183" s="375" t="s">
        <v>1968</v>
      </c>
      <c r="F1183" s="375" t="s">
        <v>2654</v>
      </c>
    </row>
    <row r="1184" spans="1:6">
      <c r="A1184" s="375" t="s">
        <v>1976</v>
      </c>
      <c r="B1184" s="375" t="s">
        <v>2048</v>
      </c>
      <c r="C1184" s="375" t="s">
        <v>1971</v>
      </c>
      <c r="D1184" s="375" t="s">
        <v>661</v>
      </c>
      <c r="E1184" s="375" t="s">
        <v>1969</v>
      </c>
      <c r="F1184" s="375" t="s">
        <v>2655</v>
      </c>
    </row>
    <row r="1185" spans="1:6">
      <c r="A1185" s="375" t="s">
        <v>1976</v>
      </c>
      <c r="B1185" s="375" t="s">
        <v>2048</v>
      </c>
      <c r="C1185" s="375" t="s">
        <v>1971</v>
      </c>
      <c r="D1185" s="375" t="s">
        <v>661</v>
      </c>
      <c r="E1185" s="375" t="s">
        <v>1970</v>
      </c>
      <c r="F1185" s="375" t="s">
        <v>2656</v>
      </c>
    </row>
    <row r="1186" spans="1:6">
      <c r="A1186" s="375" t="s">
        <v>1976</v>
      </c>
      <c r="B1186" s="375" t="s">
        <v>2048</v>
      </c>
      <c r="C1186" s="375" t="s">
        <v>1971</v>
      </c>
      <c r="D1186" s="375" t="s">
        <v>661</v>
      </c>
      <c r="E1186" s="375" t="s">
        <v>1971</v>
      </c>
      <c r="F1186" s="375" t="s">
        <v>2657</v>
      </c>
    </row>
    <row r="1187" spans="1:6">
      <c r="A1187" s="375" t="s">
        <v>1976</v>
      </c>
      <c r="B1187" s="375" t="s">
        <v>2048</v>
      </c>
      <c r="C1187" s="375" t="s">
        <v>1971</v>
      </c>
      <c r="D1187" s="375" t="s">
        <v>661</v>
      </c>
      <c r="E1187" s="375" t="s">
        <v>1972</v>
      </c>
      <c r="F1187" s="375" t="s">
        <v>661</v>
      </c>
    </row>
    <row r="1188" spans="1:6">
      <c r="A1188" s="375" t="s">
        <v>1976</v>
      </c>
      <c r="B1188" s="375" t="s">
        <v>2048</v>
      </c>
      <c r="C1188" s="375" t="s">
        <v>1971</v>
      </c>
      <c r="D1188" s="375" t="s">
        <v>661</v>
      </c>
      <c r="E1188" s="375" t="s">
        <v>1973</v>
      </c>
      <c r="F1188" s="375" t="s">
        <v>2658</v>
      </c>
    </row>
    <row r="1189" spans="1:6">
      <c r="A1189" s="375" t="s">
        <v>1976</v>
      </c>
      <c r="B1189" s="375" t="s">
        <v>2048</v>
      </c>
      <c r="C1189" s="375" t="s">
        <v>1971</v>
      </c>
      <c r="D1189" s="375" t="s">
        <v>661</v>
      </c>
      <c r="E1189" s="375" t="s">
        <v>1974</v>
      </c>
      <c r="F1189" s="375" t="s">
        <v>2659</v>
      </c>
    </row>
    <row r="1190" spans="1:6">
      <c r="A1190" s="375" t="s">
        <v>1976</v>
      </c>
      <c r="B1190" s="375" t="s">
        <v>2048</v>
      </c>
      <c r="C1190" s="375" t="s">
        <v>1971</v>
      </c>
      <c r="D1190" s="375" t="s">
        <v>661</v>
      </c>
      <c r="E1190" s="375" t="s">
        <v>1975</v>
      </c>
      <c r="F1190" s="375" t="s">
        <v>2660</v>
      </c>
    </row>
    <row r="1191" spans="1:6">
      <c r="A1191" s="375" t="s">
        <v>1976</v>
      </c>
      <c r="B1191" s="375" t="s">
        <v>2048</v>
      </c>
      <c r="C1191" s="375" t="s">
        <v>1971</v>
      </c>
      <c r="D1191" s="375" t="s">
        <v>661</v>
      </c>
      <c r="E1191" s="375" t="s">
        <v>1976</v>
      </c>
      <c r="F1191" s="375" t="s">
        <v>2661</v>
      </c>
    </row>
    <row r="1192" spans="1:6">
      <c r="A1192" s="375" t="s">
        <v>1976</v>
      </c>
      <c r="B1192" s="375" t="s">
        <v>2048</v>
      </c>
      <c r="C1192" s="375" t="s">
        <v>1972</v>
      </c>
      <c r="D1192" s="375" t="s">
        <v>3608</v>
      </c>
      <c r="E1192" s="375" t="s">
        <v>1964</v>
      </c>
      <c r="F1192" s="375" t="s">
        <v>2380</v>
      </c>
    </row>
    <row r="1193" spans="1:6">
      <c r="A1193" s="375" t="s">
        <v>1976</v>
      </c>
      <c r="B1193" s="375" t="s">
        <v>2048</v>
      </c>
      <c r="C1193" s="375" t="s">
        <v>1972</v>
      </c>
      <c r="D1193" s="375" t="s">
        <v>3608</v>
      </c>
      <c r="E1193" s="375" t="s">
        <v>1965</v>
      </c>
      <c r="F1193" s="375" t="s">
        <v>2381</v>
      </c>
    </row>
    <row r="1194" spans="1:6">
      <c r="A1194" s="375" t="s">
        <v>1976</v>
      </c>
      <c r="B1194" s="375" t="s">
        <v>2048</v>
      </c>
      <c r="C1194" s="375" t="s">
        <v>1972</v>
      </c>
      <c r="D1194" s="375" t="s">
        <v>3608</v>
      </c>
      <c r="E1194" s="375" t="s">
        <v>1966</v>
      </c>
      <c r="F1194" s="375" t="s">
        <v>2382</v>
      </c>
    </row>
    <row r="1195" spans="1:6">
      <c r="A1195" s="375" t="s">
        <v>1976</v>
      </c>
      <c r="B1195" s="375" t="s">
        <v>2048</v>
      </c>
      <c r="C1195" s="375" t="s">
        <v>1972</v>
      </c>
      <c r="D1195" s="375" t="s">
        <v>3608</v>
      </c>
      <c r="E1195" s="375" t="s">
        <v>1967</v>
      </c>
      <c r="F1195" s="375" t="s">
        <v>2142</v>
      </c>
    </row>
    <row r="1196" spans="1:6">
      <c r="A1196" s="375" t="s">
        <v>1976</v>
      </c>
      <c r="B1196" s="375" t="s">
        <v>2048</v>
      </c>
      <c r="C1196" s="375" t="s">
        <v>1972</v>
      </c>
      <c r="D1196" s="375" t="s">
        <v>3608</v>
      </c>
      <c r="E1196" s="375" t="s">
        <v>1968</v>
      </c>
      <c r="F1196" s="375" t="s">
        <v>2143</v>
      </c>
    </row>
    <row r="1197" spans="1:6">
      <c r="A1197" s="375" t="s">
        <v>1976</v>
      </c>
      <c r="B1197" s="375" t="s">
        <v>2048</v>
      </c>
      <c r="C1197" s="375" t="s">
        <v>1972</v>
      </c>
      <c r="D1197" s="375" t="s">
        <v>3608</v>
      </c>
      <c r="E1197" s="375" t="s">
        <v>1969</v>
      </c>
      <c r="F1197" s="375" t="s">
        <v>2144</v>
      </c>
    </row>
    <row r="1198" spans="1:6">
      <c r="A1198" s="375" t="s">
        <v>1976</v>
      </c>
      <c r="B1198" s="375" t="s">
        <v>2048</v>
      </c>
      <c r="C1198" s="375" t="s">
        <v>1972</v>
      </c>
      <c r="D1198" s="375" t="s">
        <v>3608</v>
      </c>
      <c r="E1198" s="375" t="s">
        <v>1970</v>
      </c>
      <c r="F1198" s="375" t="s">
        <v>2145</v>
      </c>
    </row>
    <row r="1199" spans="1:6">
      <c r="A1199" s="375" t="s">
        <v>1976</v>
      </c>
      <c r="B1199" s="375" t="s">
        <v>2048</v>
      </c>
      <c r="C1199" s="375" t="s">
        <v>1972</v>
      </c>
      <c r="D1199" s="375" t="s">
        <v>3608</v>
      </c>
      <c r="E1199" s="375" t="s">
        <v>1971</v>
      </c>
      <c r="F1199" s="375" t="s">
        <v>2186</v>
      </c>
    </row>
    <row r="1200" spans="1:6">
      <c r="A1200" s="375" t="s">
        <v>1976</v>
      </c>
      <c r="B1200" s="375" t="s">
        <v>2048</v>
      </c>
      <c r="C1200" s="375" t="s">
        <v>1973</v>
      </c>
      <c r="D1200" s="375" t="s">
        <v>3790</v>
      </c>
      <c r="E1200" s="375" t="s">
        <v>1964</v>
      </c>
      <c r="F1200" s="375" t="s">
        <v>3790</v>
      </c>
    </row>
    <row r="1201" spans="1:6">
      <c r="A1201" s="375" t="s">
        <v>1976</v>
      </c>
      <c r="B1201" s="375" t="s">
        <v>2048</v>
      </c>
      <c r="C1201" s="375" t="s">
        <v>1973</v>
      </c>
      <c r="D1201" s="375" t="s">
        <v>3790</v>
      </c>
      <c r="E1201" s="375" t="s">
        <v>1965</v>
      </c>
      <c r="F1201" s="375" t="s">
        <v>384</v>
      </c>
    </row>
    <row r="1202" spans="1:6">
      <c r="A1202" s="375" t="s">
        <v>1976</v>
      </c>
      <c r="B1202" s="375" t="s">
        <v>2048</v>
      </c>
      <c r="C1202" s="375" t="s">
        <v>1973</v>
      </c>
      <c r="D1202" s="375" t="s">
        <v>3790</v>
      </c>
      <c r="E1202" s="375" t="s">
        <v>1966</v>
      </c>
      <c r="F1202" s="375" t="s">
        <v>385</v>
      </c>
    </row>
    <row r="1203" spans="1:6">
      <c r="A1203" s="375" t="s">
        <v>1976</v>
      </c>
      <c r="B1203" s="375" t="s">
        <v>2048</v>
      </c>
      <c r="C1203" s="375" t="s">
        <v>1973</v>
      </c>
      <c r="D1203" s="375" t="s">
        <v>3790</v>
      </c>
      <c r="E1203" s="375" t="s">
        <v>1967</v>
      </c>
      <c r="F1203" s="375" t="s">
        <v>386</v>
      </c>
    </row>
    <row r="1204" spans="1:6">
      <c r="A1204" s="375" t="s">
        <v>1976</v>
      </c>
      <c r="B1204" s="375" t="s">
        <v>2048</v>
      </c>
      <c r="C1204" s="375" t="s">
        <v>1973</v>
      </c>
      <c r="D1204" s="375" t="s">
        <v>3790</v>
      </c>
      <c r="E1204" s="375" t="s">
        <v>1968</v>
      </c>
      <c r="F1204" s="375" t="s">
        <v>2943</v>
      </c>
    </row>
    <row r="1205" spans="1:6">
      <c r="A1205" s="375" t="s">
        <v>1976</v>
      </c>
      <c r="B1205" s="375" t="s">
        <v>2048</v>
      </c>
      <c r="C1205" s="375" t="s">
        <v>1973</v>
      </c>
      <c r="D1205" s="375" t="s">
        <v>3790</v>
      </c>
      <c r="E1205" s="375" t="s">
        <v>1969</v>
      </c>
      <c r="F1205" s="375" t="s">
        <v>387</v>
      </c>
    </row>
    <row r="1206" spans="1:6">
      <c r="A1206" s="375" t="s">
        <v>1976</v>
      </c>
      <c r="B1206" s="375" t="s">
        <v>2048</v>
      </c>
      <c r="C1206" s="375" t="s">
        <v>1973</v>
      </c>
      <c r="D1206" s="375" t="s">
        <v>3790</v>
      </c>
      <c r="E1206" s="375" t="s">
        <v>1970</v>
      </c>
      <c r="F1206" s="375" t="s">
        <v>388</v>
      </c>
    </row>
    <row r="1207" spans="1:6">
      <c r="A1207" s="375" t="s">
        <v>1976</v>
      </c>
      <c r="B1207" s="375" t="s">
        <v>2048</v>
      </c>
      <c r="C1207" s="375" t="s">
        <v>1973</v>
      </c>
      <c r="D1207" s="375" t="s">
        <v>3790</v>
      </c>
      <c r="E1207" s="375" t="s">
        <v>1971</v>
      </c>
      <c r="F1207" s="375" t="s">
        <v>389</v>
      </c>
    </row>
    <row r="1208" spans="1:6">
      <c r="A1208" s="375" t="s">
        <v>1976</v>
      </c>
      <c r="B1208" s="375" t="s">
        <v>2048</v>
      </c>
      <c r="C1208" s="375" t="s">
        <v>1974</v>
      </c>
      <c r="D1208" s="375" t="s">
        <v>3045</v>
      </c>
      <c r="E1208" s="375" t="s">
        <v>1964</v>
      </c>
      <c r="F1208" s="375" t="s">
        <v>3046</v>
      </c>
    </row>
    <row r="1209" spans="1:6">
      <c r="A1209" s="375" t="s">
        <v>1976</v>
      </c>
      <c r="B1209" s="375" t="s">
        <v>2048</v>
      </c>
      <c r="C1209" s="375" t="s">
        <v>1974</v>
      </c>
      <c r="D1209" s="375" t="s">
        <v>3045</v>
      </c>
      <c r="E1209" s="375" t="s">
        <v>1965</v>
      </c>
      <c r="F1209" s="375" t="s">
        <v>3086</v>
      </c>
    </row>
    <row r="1210" spans="1:6">
      <c r="A1210" s="375" t="s">
        <v>1976</v>
      </c>
      <c r="B1210" s="375" t="s">
        <v>2048</v>
      </c>
      <c r="C1210" s="375" t="s">
        <v>1974</v>
      </c>
      <c r="D1210" s="375" t="s">
        <v>3045</v>
      </c>
      <c r="E1210" s="375" t="s">
        <v>1966</v>
      </c>
      <c r="F1210" s="375" t="s">
        <v>3609</v>
      </c>
    </row>
    <row r="1211" spans="1:6">
      <c r="A1211" s="375" t="s">
        <v>1976</v>
      </c>
      <c r="B1211" s="375" t="s">
        <v>2048</v>
      </c>
      <c r="C1211" s="375" t="s">
        <v>1974</v>
      </c>
      <c r="D1211" s="375" t="s">
        <v>3045</v>
      </c>
      <c r="E1211" s="375" t="s">
        <v>1967</v>
      </c>
      <c r="F1211" s="375" t="s">
        <v>3047</v>
      </c>
    </row>
    <row r="1212" spans="1:6">
      <c r="A1212" s="375" t="s">
        <v>1976</v>
      </c>
      <c r="B1212" s="375" t="s">
        <v>2048</v>
      </c>
      <c r="C1212" s="375" t="s">
        <v>1975</v>
      </c>
      <c r="D1212" s="375" t="s">
        <v>3048</v>
      </c>
      <c r="E1212" s="375" t="s">
        <v>1964</v>
      </c>
      <c r="F1212" s="375" t="s">
        <v>3048</v>
      </c>
    </row>
    <row r="1213" spans="1:6">
      <c r="A1213" s="375" t="s">
        <v>1976</v>
      </c>
      <c r="B1213" s="375" t="s">
        <v>2048</v>
      </c>
      <c r="C1213" s="375" t="s">
        <v>1975</v>
      </c>
      <c r="D1213" s="375" t="s">
        <v>3048</v>
      </c>
      <c r="E1213" s="375" t="s">
        <v>1965</v>
      </c>
      <c r="F1213" s="375" t="s">
        <v>3049</v>
      </c>
    </row>
    <row r="1214" spans="1:6">
      <c r="A1214" s="375" t="s">
        <v>1976</v>
      </c>
      <c r="B1214" s="375" t="s">
        <v>2048</v>
      </c>
      <c r="C1214" s="375" t="s">
        <v>1975</v>
      </c>
      <c r="D1214" s="375" t="s">
        <v>3048</v>
      </c>
      <c r="E1214" s="375" t="s">
        <v>1966</v>
      </c>
      <c r="F1214" s="375" t="s">
        <v>2876</v>
      </c>
    </row>
    <row r="1215" spans="1:6">
      <c r="A1215" s="375" t="s">
        <v>1977</v>
      </c>
      <c r="B1215" s="375" t="s">
        <v>2877</v>
      </c>
      <c r="C1215" s="375" t="s">
        <v>1964</v>
      </c>
      <c r="D1215" s="375" t="s">
        <v>2878</v>
      </c>
      <c r="E1215" s="375" t="s">
        <v>1964</v>
      </c>
      <c r="F1215" s="375" t="s">
        <v>2878</v>
      </c>
    </row>
    <row r="1216" spans="1:6">
      <c r="A1216" s="375" t="s">
        <v>1977</v>
      </c>
      <c r="B1216" s="375" t="s">
        <v>2877</v>
      </c>
      <c r="C1216" s="375" t="s">
        <v>1964</v>
      </c>
      <c r="D1216" s="375" t="s">
        <v>2878</v>
      </c>
      <c r="E1216" s="375" t="s">
        <v>1965</v>
      </c>
      <c r="F1216" s="375" t="s">
        <v>2879</v>
      </c>
    </row>
    <row r="1217" spans="1:6">
      <c r="A1217" s="375" t="s">
        <v>1977</v>
      </c>
      <c r="B1217" s="375" t="s">
        <v>2877</v>
      </c>
      <c r="C1217" s="375" t="s">
        <v>1964</v>
      </c>
      <c r="D1217" s="375" t="s">
        <v>2878</v>
      </c>
      <c r="E1217" s="375" t="s">
        <v>1966</v>
      </c>
      <c r="F1217" s="375" t="s">
        <v>2880</v>
      </c>
    </row>
    <row r="1218" spans="1:6">
      <c r="A1218" s="375" t="s">
        <v>1977</v>
      </c>
      <c r="B1218" s="375" t="s">
        <v>2877</v>
      </c>
      <c r="C1218" s="375" t="s">
        <v>1964</v>
      </c>
      <c r="D1218" s="375" t="s">
        <v>2878</v>
      </c>
      <c r="E1218" s="375" t="s">
        <v>1967</v>
      </c>
      <c r="F1218" s="375" t="s">
        <v>2881</v>
      </c>
    </row>
    <row r="1219" spans="1:6">
      <c r="A1219" s="375" t="s">
        <v>1977</v>
      </c>
      <c r="B1219" s="375" t="s">
        <v>2877</v>
      </c>
      <c r="C1219" s="375" t="s">
        <v>1964</v>
      </c>
      <c r="D1219" s="375" t="s">
        <v>2878</v>
      </c>
      <c r="E1219" s="375" t="s">
        <v>1968</v>
      </c>
      <c r="F1219" s="375" t="s">
        <v>2882</v>
      </c>
    </row>
    <row r="1220" spans="1:6">
      <c r="A1220" s="375" t="s">
        <v>1977</v>
      </c>
      <c r="B1220" s="375" t="s">
        <v>2877</v>
      </c>
      <c r="C1220" s="375" t="s">
        <v>1964</v>
      </c>
      <c r="D1220" s="375" t="s">
        <v>2878</v>
      </c>
      <c r="E1220" s="375" t="s">
        <v>1969</v>
      </c>
      <c r="F1220" s="375" t="s">
        <v>2883</v>
      </c>
    </row>
    <row r="1221" spans="1:6">
      <c r="A1221" s="375" t="s">
        <v>1977</v>
      </c>
      <c r="B1221" s="375" t="s">
        <v>2877</v>
      </c>
      <c r="C1221" s="375" t="s">
        <v>1964</v>
      </c>
      <c r="D1221" s="375" t="s">
        <v>2878</v>
      </c>
      <c r="E1221" s="375" t="s">
        <v>1970</v>
      </c>
      <c r="F1221" s="375" t="s">
        <v>3610</v>
      </c>
    </row>
    <row r="1222" spans="1:6">
      <c r="A1222" s="375" t="s">
        <v>1977</v>
      </c>
      <c r="B1222" s="375" t="s">
        <v>2877</v>
      </c>
      <c r="C1222" s="375" t="s">
        <v>1964</v>
      </c>
      <c r="D1222" s="375" t="s">
        <v>2878</v>
      </c>
      <c r="E1222" s="375" t="s">
        <v>1971</v>
      </c>
      <c r="F1222" s="375" t="s">
        <v>2885</v>
      </c>
    </row>
    <row r="1223" spans="1:6">
      <c r="A1223" s="375" t="s">
        <v>1977</v>
      </c>
      <c r="B1223" s="375" t="s">
        <v>2877</v>
      </c>
      <c r="C1223" s="375" t="s">
        <v>1964</v>
      </c>
      <c r="D1223" s="375" t="s">
        <v>2878</v>
      </c>
      <c r="E1223" s="375" t="s">
        <v>1972</v>
      </c>
      <c r="F1223" s="375" t="s">
        <v>3544</v>
      </c>
    </row>
    <row r="1224" spans="1:6">
      <c r="A1224" s="375" t="s">
        <v>1977</v>
      </c>
      <c r="B1224" s="375" t="s">
        <v>2877</v>
      </c>
      <c r="C1224" s="375" t="s">
        <v>1964</v>
      </c>
      <c r="D1224" s="375" t="s">
        <v>2878</v>
      </c>
      <c r="E1224" s="375" t="s">
        <v>1973</v>
      </c>
      <c r="F1224" s="375" t="s">
        <v>651</v>
      </c>
    </row>
    <row r="1225" spans="1:6">
      <c r="A1225" s="375" t="s">
        <v>1977</v>
      </c>
      <c r="B1225" s="375" t="s">
        <v>2877</v>
      </c>
      <c r="C1225" s="375" t="s">
        <v>1964</v>
      </c>
      <c r="D1225" s="375" t="s">
        <v>2878</v>
      </c>
      <c r="E1225" s="375" t="s">
        <v>1974</v>
      </c>
      <c r="F1225" s="375" t="s">
        <v>652</v>
      </c>
    </row>
    <row r="1226" spans="1:6">
      <c r="A1226" s="375" t="s">
        <v>1977</v>
      </c>
      <c r="B1226" s="375" t="s">
        <v>2877</v>
      </c>
      <c r="C1226" s="375" t="s">
        <v>1964</v>
      </c>
      <c r="D1226" s="375" t="s">
        <v>2878</v>
      </c>
      <c r="E1226" s="375" t="s">
        <v>1975</v>
      </c>
      <c r="F1226" s="375" t="s">
        <v>653</v>
      </c>
    </row>
    <row r="1227" spans="1:6">
      <c r="A1227" s="375" t="s">
        <v>1977</v>
      </c>
      <c r="B1227" s="375" t="s">
        <v>2877</v>
      </c>
      <c r="C1227" s="375" t="s">
        <v>1964</v>
      </c>
      <c r="D1227" s="375" t="s">
        <v>2878</v>
      </c>
      <c r="E1227" s="375" t="s">
        <v>1976</v>
      </c>
      <c r="F1227" s="375" t="s">
        <v>3789</v>
      </c>
    </row>
    <row r="1228" spans="1:6">
      <c r="A1228" s="375" t="s">
        <v>1977</v>
      </c>
      <c r="B1228" s="375" t="s">
        <v>2877</v>
      </c>
      <c r="C1228" s="375" t="s">
        <v>1964</v>
      </c>
      <c r="D1228" s="375" t="s">
        <v>2878</v>
      </c>
      <c r="E1228" s="375" t="s">
        <v>1977</v>
      </c>
      <c r="F1228" s="375" t="s">
        <v>559</v>
      </c>
    </row>
    <row r="1229" spans="1:6">
      <c r="A1229" s="375" t="s">
        <v>1977</v>
      </c>
      <c r="B1229" s="375" t="s">
        <v>2877</v>
      </c>
      <c r="C1229" s="375" t="s">
        <v>1964</v>
      </c>
      <c r="D1229" s="375" t="s">
        <v>2878</v>
      </c>
      <c r="E1229" s="375" t="s">
        <v>1978</v>
      </c>
      <c r="F1229" s="375" t="s">
        <v>3462</v>
      </c>
    </row>
    <row r="1230" spans="1:6">
      <c r="A1230" s="375" t="s">
        <v>1977</v>
      </c>
      <c r="B1230" s="375" t="s">
        <v>2877</v>
      </c>
      <c r="C1230" s="375" t="s">
        <v>1964</v>
      </c>
      <c r="D1230" s="375" t="s">
        <v>2878</v>
      </c>
      <c r="E1230" s="375" t="s">
        <v>1979</v>
      </c>
      <c r="F1230" s="375" t="s">
        <v>3463</v>
      </c>
    </row>
    <row r="1231" spans="1:6">
      <c r="A1231" s="375" t="s">
        <v>1977</v>
      </c>
      <c r="B1231" s="375" t="s">
        <v>2877</v>
      </c>
      <c r="C1231" s="375" t="s">
        <v>1964</v>
      </c>
      <c r="D1231" s="375" t="s">
        <v>2878</v>
      </c>
      <c r="E1231" s="375" t="s">
        <v>1980</v>
      </c>
      <c r="F1231" s="375" t="s">
        <v>3464</v>
      </c>
    </row>
    <row r="1232" spans="1:6">
      <c r="A1232" s="375" t="s">
        <v>1977</v>
      </c>
      <c r="B1232" s="375" t="s">
        <v>2877</v>
      </c>
      <c r="C1232" s="375" t="s">
        <v>1964</v>
      </c>
      <c r="D1232" s="375" t="s">
        <v>2878</v>
      </c>
      <c r="E1232" s="375" t="s">
        <v>1981</v>
      </c>
      <c r="F1232" s="375" t="s">
        <v>3465</v>
      </c>
    </row>
    <row r="1233" spans="1:6">
      <c r="A1233" s="375" t="s">
        <v>1977</v>
      </c>
      <c r="B1233" s="375" t="s">
        <v>2877</v>
      </c>
      <c r="C1233" s="375" t="s">
        <v>1964</v>
      </c>
      <c r="D1233" s="375" t="s">
        <v>2878</v>
      </c>
      <c r="E1233" s="375" t="s">
        <v>1982</v>
      </c>
      <c r="F1233" s="375" t="s">
        <v>3466</v>
      </c>
    </row>
    <row r="1234" spans="1:6">
      <c r="A1234" s="375" t="s">
        <v>1977</v>
      </c>
      <c r="B1234" s="375" t="s">
        <v>2877</v>
      </c>
      <c r="C1234" s="375" t="s">
        <v>1964</v>
      </c>
      <c r="D1234" s="375" t="s">
        <v>2878</v>
      </c>
      <c r="E1234" s="375" t="s">
        <v>4150</v>
      </c>
      <c r="F1234" s="375" t="s">
        <v>3467</v>
      </c>
    </row>
    <row r="1235" spans="1:6">
      <c r="A1235" s="375" t="s">
        <v>1977</v>
      </c>
      <c r="B1235" s="375" t="s">
        <v>2877</v>
      </c>
      <c r="C1235" s="375" t="s">
        <v>1965</v>
      </c>
      <c r="D1235" s="375" t="s">
        <v>3468</v>
      </c>
      <c r="E1235" s="375" t="s">
        <v>1964</v>
      </c>
      <c r="F1235" s="375" t="s">
        <v>3468</v>
      </c>
    </row>
    <row r="1236" spans="1:6">
      <c r="A1236" s="375" t="s">
        <v>1977</v>
      </c>
      <c r="B1236" s="375" t="s">
        <v>2877</v>
      </c>
      <c r="C1236" s="375" t="s">
        <v>1965</v>
      </c>
      <c r="D1236" s="375" t="s">
        <v>3468</v>
      </c>
      <c r="E1236" s="375" t="s">
        <v>1965</v>
      </c>
      <c r="F1236" s="375" t="s">
        <v>3469</v>
      </c>
    </row>
    <row r="1237" spans="1:6">
      <c r="A1237" s="375" t="s">
        <v>1977</v>
      </c>
      <c r="B1237" s="375" t="s">
        <v>2877</v>
      </c>
      <c r="C1237" s="375" t="s">
        <v>1965</v>
      </c>
      <c r="D1237" s="375" t="s">
        <v>3468</v>
      </c>
      <c r="E1237" s="375" t="s">
        <v>1966</v>
      </c>
      <c r="F1237" s="375" t="s">
        <v>1489</v>
      </c>
    </row>
    <row r="1238" spans="1:6">
      <c r="A1238" s="375" t="s">
        <v>1977</v>
      </c>
      <c r="B1238" s="375" t="s">
        <v>2877</v>
      </c>
      <c r="C1238" s="375" t="s">
        <v>1965</v>
      </c>
      <c r="D1238" s="375" t="s">
        <v>3468</v>
      </c>
      <c r="E1238" s="375" t="s">
        <v>1967</v>
      </c>
      <c r="F1238" s="375" t="s">
        <v>1490</v>
      </c>
    </row>
    <row r="1239" spans="1:6">
      <c r="A1239" s="375" t="s">
        <v>1977</v>
      </c>
      <c r="B1239" s="375" t="s">
        <v>2877</v>
      </c>
      <c r="C1239" s="375" t="s">
        <v>1965</v>
      </c>
      <c r="D1239" s="375" t="s">
        <v>3468</v>
      </c>
      <c r="E1239" s="375" t="s">
        <v>1968</v>
      </c>
      <c r="F1239" s="375" t="s">
        <v>1491</v>
      </c>
    </row>
    <row r="1240" spans="1:6">
      <c r="A1240" s="375" t="s">
        <v>1977</v>
      </c>
      <c r="B1240" s="375" t="s">
        <v>2877</v>
      </c>
      <c r="C1240" s="375" t="s">
        <v>1965</v>
      </c>
      <c r="D1240" s="375" t="s">
        <v>3468</v>
      </c>
      <c r="E1240" s="375" t="s">
        <v>1969</v>
      </c>
      <c r="F1240" s="375" t="s">
        <v>40</v>
      </c>
    </row>
    <row r="1241" spans="1:6">
      <c r="A1241" s="375" t="s">
        <v>1977</v>
      </c>
      <c r="B1241" s="375" t="s">
        <v>2877</v>
      </c>
      <c r="C1241" s="375" t="s">
        <v>1966</v>
      </c>
      <c r="D1241" s="375" t="s">
        <v>2877</v>
      </c>
      <c r="E1241" s="375" t="s">
        <v>1964</v>
      </c>
      <c r="F1241" s="375" t="s">
        <v>2877</v>
      </c>
    </row>
    <row r="1242" spans="1:6">
      <c r="A1242" s="375" t="s">
        <v>1977</v>
      </c>
      <c r="B1242" s="375" t="s">
        <v>2877</v>
      </c>
      <c r="C1242" s="375" t="s">
        <v>1966</v>
      </c>
      <c r="D1242" s="375" t="s">
        <v>2877</v>
      </c>
      <c r="E1242" s="375" t="s">
        <v>1965</v>
      </c>
      <c r="F1242" s="375" t="s">
        <v>1492</v>
      </c>
    </row>
    <row r="1243" spans="1:6">
      <c r="A1243" s="375" t="s">
        <v>1977</v>
      </c>
      <c r="B1243" s="375" t="s">
        <v>2877</v>
      </c>
      <c r="C1243" s="375" t="s">
        <v>1966</v>
      </c>
      <c r="D1243" s="375" t="s">
        <v>2877</v>
      </c>
      <c r="E1243" s="375" t="s">
        <v>1966</v>
      </c>
      <c r="F1243" s="375" t="s">
        <v>1493</v>
      </c>
    </row>
    <row r="1244" spans="1:6">
      <c r="A1244" s="375" t="s">
        <v>1977</v>
      </c>
      <c r="B1244" s="375" t="s">
        <v>2877</v>
      </c>
      <c r="C1244" s="375" t="s">
        <v>1966</v>
      </c>
      <c r="D1244" s="375" t="s">
        <v>2877</v>
      </c>
      <c r="E1244" s="375" t="s">
        <v>1967</v>
      </c>
      <c r="F1244" s="375" t="s">
        <v>1494</v>
      </c>
    </row>
    <row r="1245" spans="1:6">
      <c r="A1245" s="375" t="s">
        <v>1977</v>
      </c>
      <c r="B1245" s="375" t="s">
        <v>2877</v>
      </c>
      <c r="C1245" s="375" t="s">
        <v>1966</v>
      </c>
      <c r="D1245" s="375" t="s">
        <v>2877</v>
      </c>
      <c r="E1245" s="375" t="s">
        <v>1968</v>
      </c>
      <c r="F1245" s="375" t="s">
        <v>1495</v>
      </c>
    </row>
    <row r="1246" spans="1:6">
      <c r="A1246" s="375" t="s">
        <v>1977</v>
      </c>
      <c r="B1246" s="375" t="s">
        <v>2877</v>
      </c>
      <c r="C1246" s="375" t="s">
        <v>1966</v>
      </c>
      <c r="D1246" s="375" t="s">
        <v>2877</v>
      </c>
      <c r="E1246" s="375" t="s">
        <v>1969</v>
      </c>
      <c r="F1246" s="375" t="s">
        <v>438</v>
      </c>
    </row>
    <row r="1247" spans="1:6">
      <c r="A1247" s="375" t="s">
        <v>1977</v>
      </c>
      <c r="B1247" s="375" t="s">
        <v>2877</v>
      </c>
      <c r="C1247" s="375" t="s">
        <v>1966</v>
      </c>
      <c r="D1247" s="375" t="s">
        <v>2877</v>
      </c>
      <c r="E1247" s="375" t="s">
        <v>1970</v>
      </c>
      <c r="F1247" s="375" t="s">
        <v>263</v>
      </c>
    </row>
    <row r="1248" spans="1:6">
      <c r="A1248" s="375" t="s">
        <v>1977</v>
      </c>
      <c r="B1248" s="375" t="s">
        <v>2877</v>
      </c>
      <c r="C1248" s="375" t="s">
        <v>1966</v>
      </c>
      <c r="D1248" s="375" t="s">
        <v>2877</v>
      </c>
      <c r="E1248" s="375" t="s">
        <v>1971</v>
      </c>
      <c r="F1248" s="375" t="s">
        <v>248</v>
      </c>
    </row>
    <row r="1249" spans="1:6">
      <c r="A1249" s="375" t="s">
        <v>1977</v>
      </c>
      <c r="B1249" s="375" t="s">
        <v>2877</v>
      </c>
      <c r="C1249" s="375" t="s">
        <v>1966</v>
      </c>
      <c r="D1249" s="375" t="s">
        <v>2877</v>
      </c>
      <c r="E1249" s="375" t="s">
        <v>1972</v>
      </c>
      <c r="F1249" s="375" t="s">
        <v>249</v>
      </c>
    </row>
    <row r="1250" spans="1:6">
      <c r="A1250" s="375" t="s">
        <v>1977</v>
      </c>
      <c r="B1250" s="375" t="s">
        <v>2877</v>
      </c>
      <c r="C1250" s="375" t="s">
        <v>1966</v>
      </c>
      <c r="D1250" s="375" t="s">
        <v>2877</v>
      </c>
      <c r="E1250" s="375" t="s">
        <v>1973</v>
      </c>
      <c r="F1250" s="375" t="s">
        <v>41</v>
      </c>
    </row>
    <row r="1251" spans="1:6">
      <c r="A1251" s="375" t="s">
        <v>1977</v>
      </c>
      <c r="B1251" s="375" t="s">
        <v>2877</v>
      </c>
      <c r="C1251" s="375" t="s">
        <v>1966</v>
      </c>
      <c r="D1251" s="375" t="s">
        <v>2877</v>
      </c>
      <c r="E1251" s="375" t="s">
        <v>1974</v>
      </c>
      <c r="F1251" s="375" t="s">
        <v>660</v>
      </c>
    </row>
    <row r="1252" spans="1:6">
      <c r="A1252" s="375" t="s">
        <v>1977</v>
      </c>
      <c r="B1252" s="375" t="s">
        <v>2877</v>
      </c>
      <c r="C1252" s="375" t="s">
        <v>1966</v>
      </c>
      <c r="D1252" s="375" t="s">
        <v>2877</v>
      </c>
      <c r="E1252" s="375" t="s">
        <v>1975</v>
      </c>
      <c r="F1252" s="375" t="s">
        <v>250</v>
      </c>
    </row>
    <row r="1253" spans="1:6">
      <c r="A1253" s="375" t="s">
        <v>1978</v>
      </c>
      <c r="B1253" s="375" t="s">
        <v>251</v>
      </c>
      <c r="C1253" s="375" t="s">
        <v>1964</v>
      </c>
      <c r="D1253" s="375" t="s">
        <v>251</v>
      </c>
      <c r="E1253" s="375" t="s">
        <v>1964</v>
      </c>
      <c r="F1253" s="375" t="s">
        <v>251</v>
      </c>
    </row>
    <row r="1254" spans="1:6">
      <c r="A1254" s="375" t="s">
        <v>1978</v>
      </c>
      <c r="B1254" s="375" t="s">
        <v>251</v>
      </c>
      <c r="C1254" s="375" t="s">
        <v>1964</v>
      </c>
      <c r="D1254" s="375" t="s">
        <v>251</v>
      </c>
      <c r="E1254" s="375" t="s">
        <v>1965</v>
      </c>
      <c r="F1254" s="375" t="s">
        <v>252</v>
      </c>
    </row>
    <row r="1255" spans="1:6">
      <c r="A1255" s="375" t="s">
        <v>1978</v>
      </c>
      <c r="B1255" s="375" t="s">
        <v>251</v>
      </c>
      <c r="C1255" s="375" t="s">
        <v>1964</v>
      </c>
      <c r="D1255" s="375" t="s">
        <v>251</v>
      </c>
      <c r="E1255" s="375" t="s">
        <v>1966</v>
      </c>
      <c r="F1255" s="375" t="s">
        <v>253</v>
      </c>
    </row>
    <row r="1256" spans="1:6">
      <c r="A1256" s="375" t="s">
        <v>1978</v>
      </c>
      <c r="B1256" s="375" t="s">
        <v>251</v>
      </c>
      <c r="C1256" s="375" t="s">
        <v>1964</v>
      </c>
      <c r="D1256" s="375" t="s">
        <v>251</v>
      </c>
      <c r="E1256" s="375" t="s">
        <v>1967</v>
      </c>
      <c r="F1256" s="375" t="s">
        <v>254</v>
      </c>
    </row>
    <row r="1257" spans="1:6">
      <c r="A1257" s="375" t="s">
        <v>1978</v>
      </c>
      <c r="B1257" s="375" t="s">
        <v>251</v>
      </c>
      <c r="C1257" s="375" t="s">
        <v>1964</v>
      </c>
      <c r="D1257" s="375" t="s">
        <v>251</v>
      </c>
      <c r="E1257" s="375" t="s">
        <v>1968</v>
      </c>
      <c r="F1257" s="375" t="s">
        <v>3899</v>
      </c>
    </row>
    <row r="1258" spans="1:6">
      <c r="A1258" s="375" t="s">
        <v>1978</v>
      </c>
      <c r="B1258" s="375" t="s">
        <v>251</v>
      </c>
      <c r="C1258" s="375" t="s">
        <v>1964</v>
      </c>
      <c r="D1258" s="375" t="s">
        <v>251</v>
      </c>
      <c r="E1258" s="375" t="s">
        <v>1969</v>
      </c>
      <c r="F1258" s="375" t="s">
        <v>255</v>
      </c>
    </row>
    <row r="1259" spans="1:6">
      <c r="A1259" s="375" t="s">
        <v>1978</v>
      </c>
      <c r="B1259" s="375" t="s">
        <v>251</v>
      </c>
      <c r="C1259" s="375" t="s">
        <v>1964</v>
      </c>
      <c r="D1259" s="375" t="s">
        <v>251</v>
      </c>
      <c r="E1259" s="375" t="s">
        <v>1970</v>
      </c>
      <c r="F1259" s="375" t="s">
        <v>256</v>
      </c>
    </row>
    <row r="1260" spans="1:6">
      <c r="A1260" s="375" t="s">
        <v>1978</v>
      </c>
      <c r="B1260" s="375" t="s">
        <v>251</v>
      </c>
      <c r="C1260" s="375" t="s">
        <v>1964</v>
      </c>
      <c r="D1260" s="375" t="s">
        <v>251</v>
      </c>
      <c r="E1260" s="375" t="s">
        <v>1971</v>
      </c>
      <c r="F1260" s="375" t="s">
        <v>1605</v>
      </c>
    </row>
    <row r="1261" spans="1:6">
      <c r="A1261" s="375" t="s">
        <v>1978</v>
      </c>
      <c r="B1261" s="375" t="s">
        <v>251</v>
      </c>
      <c r="C1261" s="375" t="s">
        <v>1964</v>
      </c>
      <c r="D1261" s="375" t="s">
        <v>251</v>
      </c>
      <c r="E1261" s="375" t="s">
        <v>1972</v>
      </c>
      <c r="F1261" s="375" t="s">
        <v>1606</v>
      </c>
    </row>
    <row r="1262" spans="1:6">
      <c r="A1262" s="375" t="s">
        <v>1978</v>
      </c>
      <c r="B1262" s="375" t="s">
        <v>251</v>
      </c>
      <c r="C1262" s="375" t="s">
        <v>1964</v>
      </c>
      <c r="D1262" s="375" t="s">
        <v>251</v>
      </c>
      <c r="E1262" s="375" t="s">
        <v>1973</v>
      </c>
      <c r="F1262" s="375" t="s">
        <v>1858</v>
      </c>
    </row>
    <row r="1263" spans="1:6">
      <c r="A1263" s="375" t="s">
        <v>1978</v>
      </c>
      <c r="B1263" s="375" t="s">
        <v>251</v>
      </c>
      <c r="C1263" s="375" t="s">
        <v>1964</v>
      </c>
      <c r="D1263" s="375" t="s">
        <v>251</v>
      </c>
      <c r="E1263" s="375" t="s">
        <v>1974</v>
      </c>
      <c r="F1263" s="375" t="s">
        <v>1607</v>
      </c>
    </row>
    <row r="1264" spans="1:6">
      <c r="A1264" s="375" t="s">
        <v>1978</v>
      </c>
      <c r="B1264" s="375" t="s">
        <v>251</v>
      </c>
      <c r="C1264" s="375" t="s">
        <v>1964</v>
      </c>
      <c r="D1264" s="375" t="s">
        <v>251</v>
      </c>
      <c r="E1264" s="375" t="s">
        <v>1975</v>
      </c>
      <c r="F1264" s="375" t="s">
        <v>2046</v>
      </c>
    </row>
    <row r="1265" spans="1:6">
      <c r="A1265" s="375" t="s">
        <v>1978</v>
      </c>
      <c r="B1265" s="375" t="s">
        <v>251</v>
      </c>
      <c r="C1265" s="375" t="s">
        <v>1964</v>
      </c>
      <c r="D1265" s="375" t="s">
        <v>251</v>
      </c>
      <c r="E1265" s="375" t="s">
        <v>1976</v>
      </c>
      <c r="F1265" s="375" t="s">
        <v>1608</v>
      </c>
    </row>
    <row r="1266" spans="1:6">
      <c r="A1266" s="375" t="s">
        <v>1978</v>
      </c>
      <c r="B1266" s="375" t="s">
        <v>251</v>
      </c>
      <c r="C1266" s="375" t="s">
        <v>1964</v>
      </c>
      <c r="D1266" s="375" t="s">
        <v>251</v>
      </c>
      <c r="E1266" s="375" t="s">
        <v>1977</v>
      </c>
      <c r="F1266" s="375" t="s">
        <v>1609</v>
      </c>
    </row>
    <row r="1267" spans="1:6">
      <c r="A1267" s="375" t="s">
        <v>1978</v>
      </c>
      <c r="B1267" s="375" t="s">
        <v>251</v>
      </c>
      <c r="C1267" s="375" t="s">
        <v>1964</v>
      </c>
      <c r="D1267" s="375" t="s">
        <v>251</v>
      </c>
      <c r="E1267" s="375" t="s">
        <v>1978</v>
      </c>
      <c r="F1267" s="375" t="s">
        <v>2883</v>
      </c>
    </row>
    <row r="1268" spans="1:6">
      <c r="A1268" s="375" t="s">
        <v>1978</v>
      </c>
      <c r="B1268" s="375" t="s">
        <v>251</v>
      </c>
      <c r="C1268" s="375" t="s">
        <v>1964</v>
      </c>
      <c r="D1268" s="375" t="s">
        <v>251</v>
      </c>
      <c r="E1268" s="375" t="s">
        <v>1979</v>
      </c>
      <c r="F1268" s="375" t="s">
        <v>1610</v>
      </c>
    </row>
    <row r="1269" spans="1:6">
      <c r="A1269" s="375" t="s">
        <v>1978</v>
      </c>
      <c r="B1269" s="375" t="s">
        <v>251</v>
      </c>
      <c r="C1269" s="375" t="s">
        <v>1964</v>
      </c>
      <c r="D1269" s="375" t="s">
        <v>251</v>
      </c>
      <c r="E1269" s="375" t="s">
        <v>1980</v>
      </c>
      <c r="F1269" s="375" t="s">
        <v>1611</v>
      </c>
    </row>
    <row r="1270" spans="1:6">
      <c r="A1270" s="375" t="s">
        <v>1978</v>
      </c>
      <c r="B1270" s="375" t="s">
        <v>251</v>
      </c>
      <c r="C1270" s="375" t="s">
        <v>1964</v>
      </c>
      <c r="D1270" s="375" t="s">
        <v>251</v>
      </c>
      <c r="E1270" s="375" t="s">
        <v>1981</v>
      </c>
      <c r="F1270" s="375" t="s">
        <v>1612</v>
      </c>
    </row>
    <row r="1271" spans="1:6">
      <c r="A1271" s="375" t="s">
        <v>1978</v>
      </c>
      <c r="B1271" s="375" t="s">
        <v>251</v>
      </c>
      <c r="C1271" s="375" t="s">
        <v>1964</v>
      </c>
      <c r="D1271" s="375" t="s">
        <v>251</v>
      </c>
      <c r="E1271" s="375" t="s">
        <v>1982</v>
      </c>
      <c r="F1271" s="375" t="s">
        <v>1613</v>
      </c>
    </row>
    <row r="1272" spans="1:6">
      <c r="A1272" s="375" t="s">
        <v>1978</v>
      </c>
      <c r="B1272" s="375" t="s">
        <v>251</v>
      </c>
      <c r="C1272" s="375" t="s">
        <v>1964</v>
      </c>
      <c r="D1272" s="375" t="s">
        <v>251</v>
      </c>
      <c r="E1272" s="375" t="s">
        <v>4150</v>
      </c>
      <c r="F1272" s="375" t="s">
        <v>1614</v>
      </c>
    </row>
    <row r="1273" spans="1:6">
      <c r="A1273" s="375" t="s">
        <v>1978</v>
      </c>
      <c r="B1273" s="375" t="s">
        <v>251</v>
      </c>
      <c r="C1273" s="375" t="s">
        <v>1964</v>
      </c>
      <c r="D1273" s="375" t="s">
        <v>251</v>
      </c>
      <c r="E1273" s="375" t="s">
        <v>4151</v>
      </c>
      <c r="F1273" s="375" t="s">
        <v>3470</v>
      </c>
    </row>
    <row r="1274" spans="1:6">
      <c r="A1274" s="375" t="s">
        <v>1978</v>
      </c>
      <c r="B1274" s="375" t="s">
        <v>251</v>
      </c>
      <c r="C1274" s="375" t="s">
        <v>1964</v>
      </c>
      <c r="D1274" s="375" t="s">
        <v>251</v>
      </c>
      <c r="E1274" s="375" t="s">
        <v>4152</v>
      </c>
      <c r="F1274" s="375" t="s">
        <v>2850</v>
      </c>
    </row>
    <row r="1275" spans="1:6">
      <c r="A1275" s="375" t="s">
        <v>1978</v>
      </c>
      <c r="B1275" s="375" t="s">
        <v>251</v>
      </c>
      <c r="C1275" s="375" t="s">
        <v>1964</v>
      </c>
      <c r="D1275" s="375" t="s">
        <v>251</v>
      </c>
      <c r="E1275" s="375" t="s">
        <v>4153</v>
      </c>
      <c r="F1275" s="375" t="s">
        <v>1615</v>
      </c>
    </row>
    <row r="1276" spans="1:6">
      <c r="A1276" s="375" t="s">
        <v>1978</v>
      </c>
      <c r="B1276" s="375" t="s">
        <v>251</v>
      </c>
      <c r="C1276" s="375" t="s">
        <v>1964</v>
      </c>
      <c r="D1276" s="375" t="s">
        <v>251</v>
      </c>
      <c r="E1276" s="375" t="s">
        <v>4154</v>
      </c>
      <c r="F1276" s="375" t="s">
        <v>1616</v>
      </c>
    </row>
    <row r="1277" spans="1:6">
      <c r="A1277" s="375" t="s">
        <v>1978</v>
      </c>
      <c r="B1277" s="375" t="s">
        <v>251</v>
      </c>
      <c r="C1277" s="375" t="s">
        <v>1964</v>
      </c>
      <c r="D1277" s="375" t="s">
        <v>251</v>
      </c>
      <c r="E1277" s="375" t="s">
        <v>4155</v>
      </c>
      <c r="F1277" s="375" t="s">
        <v>1617</v>
      </c>
    </row>
    <row r="1278" spans="1:6">
      <c r="A1278" s="375" t="s">
        <v>1978</v>
      </c>
      <c r="B1278" s="375" t="s">
        <v>251</v>
      </c>
      <c r="C1278" s="375" t="s">
        <v>1964</v>
      </c>
      <c r="D1278" s="375" t="s">
        <v>251</v>
      </c>
      <c r="E1278" s="375" t="s">
        <v>4156</v>
      </c>
      <c r="F1278" s="375" t="s">
        <v>2433</v>
      </c>
    </row>
    <row r="1279" spans="1:6">
      <c r="A1279" s="375" t="s">
        <v>1978</v>
      </c>
      <c r="B1279" s="375" t="s">
        <v>251</v>
      </c>
      <c r="C1279" s="375" t="s">
        <v>1964</v>
      </c>
      <c r="D1279" s="375" t="s">
        <v>251</v>
      </c>
      <c r="E1279" s="375" t="s">
        <v>4157</v>
      </c>
      <c r="F1279" s="375" t="s">
        <v>2434</v>
      </c>
    </row>
    <row r="1280" spans="1:6">
      <c r="A1280" s="375" t="s">
        <v>1978</v>
      </c>
      <c r="B1280" s="375" t="s">
        <v>251</v>
      </c>
      <c r="C1280" s="375" t="s">
        <v>1964</v>
      </c>
      <c r="D1280" s="375" t="s">
        <v>251</v>
      </c>
      <c r="E1280" s="375" t="s">
        <v>4158</v>
      </c>
      <c r="F1280" s="375" t="s">
        <v>2435</v>
      </c>
    </row>
    <row r="1281" spans="1:6">
      <c r="A1281" s="375" t="s">
        <v>1978</v>
      </c>
      <c r="B1281" s="375" t="s">
        <v>251</v>
      </c>
      <c r="C1281" s="375" t="s">
        <v>1964</v>
      </c>
      <c r="D1281" s="375" t="s">
        <v>251</v>
      </c>
      <c r="E1281" s="375" t="s">
        <v>4159</v>
      </c>
      <c r="F1281" s="375" t="s">
        <v>260</v>
      </c>
    </row>
    <row r="1282" spans="1:6">
      <c r="A1282" s="375" t="s">
        <v>1978</v>
      </c>
      <c r="B1282" s="375" t="s">
        <v>251</v>
      </c>
      <c r="C1282" s="375" t="s">
        <v>1964</v>
      </c>
      <c r="D1282" s="375" t="s">
        <v>251</v>
      </c>
      <c r="E1282" s="375" t="s">
        <v>2424</v>
      </c>
      <c r="F1282" s="375" t="s">
        <v>261</v>
      </c>
    </row>
    <row r="1283" spans="1:6">
      <c r="A1283" s="375" t="s">
        <v>1978</v>
      </c>
      <c r="B1283" s="375" t="s">
        <v>251</v>
      </c>
      <c r="C1283" s="375" t="s">
        <v>1964</v>
      </c>
      <c r="D1283" s="375" t="s">
        <v>251</v>
      </c>
      <c r="E1283" s="375" t="s">
        <v>2425</v>
      </c>
      <c r="F1283" s="375" t="s">
        <v>2664</v>
      </c>
    </row>
    <row r="1284" spans="1:6">
      <c r="A1284" s="375" t="s">
        <v>1978</v>
      </c>
      <c r="B1284" s="375" t="s">
        <v>251</v>
      </c>
      <c r="C1284" s="375" t="s">
        <v>1964</v>
      </c>
      <c r="D1284" s="375" t="s">
        <v>251</v>
      </c>
      <c r="E1284" s="375" t="s">
        <v>2426</v>
      </c>
      <c r="F1284" s="375" t="s">
        <v>1407</v>
      </c>
    </row>
    <row r="1285" spans="1:6">
      <c r="A1285" s="375" t="s">
        <v>1978</v>
      </c>
      <c r="B1285" s="375" t="s">
        <v>251</v>
      </c>
      <c r="C1285" s="375" t="s">
        <v>1964</v>
      </c>
      <c r="D1285" s="375" t="s">
        <v>251</v>
      </c>
      <c r="E1285" s="375" t="s">
        <v>2427</v>
      </c>
      <c r="F1285" s="375" t="s">
        <v>1408</v>
      </c>
    </row>
    <row r="1286" spans="1:6">
      <c r="A1286" s="375" t="s">
        <v>1978</v>
      </c>
      <c r="B1286" s="375" t="s">
        <v>251</v>
      </c>
      <c r="C1286" s="375" t="s">
        <v>1964</v>
      </c>
      <c r="D1286" s="375" t="s">
        <v>251</v>
      </c>
      <c r="E1286" s="375" t="s">
        <v>2428</v>
      </c>
      <c r="F1286" s="375" t="s">
        <v>2006</v>
      </c>
    </row>
    <row r="1287" spans="1:6">
      <c r="A1287" s="375" t="s">
        <v>1978</v>
      </c>
      <c r="B1287" s="375" t="s">
        <v>251</v>
      </c>
      <c r="C1287" s="375" t="s">
        <v>1964</v>
      </c>
      <c r="D1287" s="375" t="s">
        <v>251</v>
      </c>
      <c r="E1287" s="375" t="s">
        <v>2429</v>
      </c>
      <c r="F1287" s="375" t="s">
        <v>1409</v>
      </c>
    </row>
    <row r="1288" spans="1:6">
      <c r="A1288" s="375" t="s">
        <v>1978</v>
      </c>
      <c r="B1288" s="375" t="s">
        <v>251</v>
      </c>
      <c r="C1288" s="375" t="s">
        <v>1964</v>
      </c>
      <c r="D1288" s="375" t="s">
        <v>251</v>
      </c>
      <c r="E1288" s="375" t="s">
        <v>2430</v>
      </c>
      <c r="F1288" s="375" t="s">
        <v>720</v>
      </c>
    </row>
    <row r="1289" spans="1:6">
      <c r="A1289" s="375" t="s">
        <v>1978</v>
      </c>
      <c r="B1289" s="375" t="s">
        <v>251</v>
      </c>
      <c r="C1289" s="375" t="s">
        <v>1964</v>
      </c>
      <c r="D1289" s="375" t="s">
        <v>251</v>
      </c>
      <c r="E1289" s="375" t="s">
        <v>2431</v>
      </c>
      <c r="F1289" s="375" t="s">
        <v>1410</v>
      </c>
    </row>
    <row r="1290" spans="1:6">
      <c r="A1290" s="375" t="s">
        <v>1978</v>
      </c>
      <c r="B1290" s="375" t="s">
        <v>251</v>
      </c>
      <c r="C1290" s="375" t="s">
        <v>1964</v>
      </c>
      <c r="D1290" s="375" t="s">
        <v>251</v>
      </c>
      <c r="E1290" s="375" t="s">
        <v>2432</v>
      </c>
      <c r="F1290" s="375" t="s">
        <v>1411</v>
      </c>
    </row>
    <row r="1291" spans="1:6">
      <c r="A1291" s="375" t="s">
        <v>1978</v>
      </c>
      <c r="B1291" s="375" t="s">
        <v>251</v>
      </c>
      <c r="C1291" s="375" t="s">
        <v>1964</v>
      </c>
      <c r="D1291" s="375" t="s">
        <v>251</v>
      </c>
      <c r="E1291" s="375" t="s">
        <v>1961</v>
      </c>
      <c r="F1291" s="375" t="s">
        <v>559</v>
      </c>
    </row>
    <row r="1292" spans="1:6">
      <c r="A1292" s="375" t="s">
        <v>1978</v>
      </c>
      <c r="B1292" s="375" t="s">
        <v>251</v>
      </c>
      <c r="C1292" s="375" t="s">
        <v>1964</v>
      </c>
      <c r="D1292" s="375" t="s">
        <v>251</v>
      </c>
      <c r="E1292" s="375" t="s">
        <v>1962</v>
      </c>
      <c r="F1292" s="375" t="s">
        <v>1577</v>
      </c>
    </row>
    <row r="1293" spans="1:6">
      <c r="A1293" s="375" t="s">
        <v>1978</v>
      </c>
      <c r="B1293" s="375" t="s">
        <v>251</v>
      </c>
      <c r="C1293" s="375" t="s">
        <v>1964</v>
      </c>
      <c r="D1293" s="375" t="s">
        <v>251</v>
      </c>
      <c r="E1293" s="375" t="s">
        <v>1482</v>
      </c>
      <c r="F1293" s="375" t="s">
        <v>1578</v>
      </c>
    </row>
    <row r="1294" spans="1:6">
      <c r="A1294" s="375" t="s">
        <v>1978</v>
      </c>
      <c r="B1294" s="375" t="s">
        <v>251</v>
      </c>
      <c r="C1294" s="375" t="s">
        <v>1964</v>
      </c>
      <c r="D1294" s="375" t="s">
        <v>251</v>
      </c>
      <c r="E1294" s="375" t="s">
        <v>1483</v>
      </c>
      <c r="F1294" s="375" t="s">
        <v>360</v>
      </c>
    </row>
    <row r="1295" spans="1:6">
      <c r="A1295" s="375" t="s">
        <v>1978</v>
      </c>
      <c r="B1295" s="375" t="s">
        <v>251</v>
      </c>
      <c r="C1295" s="375" t="s">
        <v>1964</v>
      </c>
      <c r="D1295" s="375" t="s">
        <v>251</v>
      </c>
      <c r="E1295" s="375" t="s">
        <v>278</v>
      </c>
      <c r="F1295" s="375" t="s">
        <v>3682</v>
      </c>
    </row>
    <row r="1296" spans="1:6">
      <c r="A1296" s="375" t="s">
        <v>1978</v>
      </c>
      <c r="B1296" s="375" t="s">
        <v>251</v>
      </c>
      <c r="C1296" s="375" t="s">
        <v>1965</v>
      </c>
      <c r="D1296" s="375" t="s">
        <v>3683</v>
      </c>
      <c r="E1296" s="375" t="s">
        <v>1964</v>
      </c>
      <c r="F1296" s="375" t="s">
        <v>3683</v>
      </c>
    </row>
    <row r="1297" spans="1:6">
      <c r="A1297" s="375" t="s">
        <v>1978</v>
      </c>
      <c r="B1297" s="375" t="s">
        <v>251</v>
      </c>
      <c r="C1297" s="375" t="s">
        <v>1965</v>
      </c>
      <c r="D1297" s="375" t="s">
        <v>3683</v>
      </c>
      <c r="E1297" s="375" t="s">
        <v>1965</v>
      </c>
      <c r="F1297" s="375" t="s">
        <v>2187</v>
      </c>
    </row>
    <row r="1298" spans="1:6">
      <c r="A1298" s="375" t="s">
        <v>1978</v>
      </c>
      <c r="B1298" s="375" t="s">
        <v>251</v>
      </c>
      <c r="C1298" s="375" t="s">
        <v>1965</v>
      </c>
      <c r="D1298" s="375" t="s">
        <v>3683</v>
      </c>
      <c r="E1298" s="375" t="s">
        <v>1966</v>
      </c>
      <c r="F1298" s="375" t="s">
        <v>2188</v>
      </c>
    </row>
    <row r="1299" spans="1:6">
      <c r="A1299" s="375" t="s">
        <v>1978</v>
      </c>
      <c r="B1299" s="375" t="s">
        <v>251</v>
      </c>
      <c r="C1299" s="375" t="s">
        <v>1965</v>
      </c>
      <c r="D1299" s="375" t="s">
        <v>3683</v>
      </c>
      <c r="E1299" s="375" t="s">
        <v>1967</v>
      </c>
      <c r="F1299" s="375" t="s">
        <v>2189</v>
      </c>
    </row>
    <row r="1300" spans="1:6">
      <c r="A1300" s="375" t="s">
        <v>1978</v>
      </c>
      <c r="B1300" s="375" t="s">
        <v>251</v>
      </c>
      <c r="C1300" s="375" t="s">
        <v>1965</v>
      </c>
      <c r="D1300" s="375" t="s">
        <v>3683</v>
      </c>
      <c r="E1300" s="375" t="s">
        <v>1968</v>
      </c>
      <c r="F1300" s="375" t="s">
        <v>2190</v>
      </c>
    </row>
    <row r="1301" spans="1:6">
      <c r="A1301" s="375" t="s">
        <v>1978</v>
      </c>
      <c r="B1301" s="375" t="s">
        <v>251</v>
      </c>
      <c r="C1301" s="375" t="s">
        <v>1966</v>
      </c>
      <c r="D1301" s="375" t="s">
        <v>2191</v>
      </c>
      <c r="E1301" s="375" t="s">
        <v>1964</v>
      </c>
      <c r="F1301" s="375" t="s">
        <v>2191</v>
      </c>
    </row>
    <row r="1302" spans="1:6">
      <c r="A1302" s="375" t="s">
        <v>1978</v>
      </c>
      <c r="B1302" s="375" t="s">
        <v>251</v>
      </c>
      <c r="C1302" s="375" t="s">
        <v>1966</v>
      </c>
      <c r="D1302" s="375" t="s">
        <v>2191</v>
      </c>
      <c r="E1302" s="375" t="s">
        <v>1965</v>
      </c>
      <c r="F1302" s="375" t="s">
        <v>2192</v>
      </c>
    </row>
    <row r="1303" spans="1:6">
      <c r="A1303" s="375" t="s">
        <v>1978</v>
      </c>
      <c r="B1303" s="375" t="s">
        <v>251</v>
      </c>
      <c r="C1303" s="375" t="s">
        <v>1966</v>
      </c>
      <c r="D1303" s="375" t="s">
        <v>2191</v>
      </c>
      <c r="E1303" s="375" t="s">
        <v>1966</v>
      </c>
      <c r="F1303" s="375" t="s">
        <v>2193</v>
      </c>
    </row>
    <row r="1304" spans="1:6">
      <c r="A1304" s="375" t="s">
        <v>1978</v>
      </c>
      <c r="B1304" s="375" t="s">
        <v>251</v>
      </c>
      <c r="C1304" s="375" t="s">
        <v>1966</v>
      </c>
      <c r="D1304" s="375" t="s">
        <v>2191</v>
      </c>
      <c r="E1304" s="375" t="s">
        <v>1967</v>
      </c>
      <c r="F1304" s="375" t="s">
        <v>2194</v>
      </c>
    </row>
    <row r="1305" spans="1:6">
      <c r="A1305" s="375" t="s">
        <v>1978</v>
      </c>
      <c r="B1305" s="375" t="s">
        <v>251</v>
      </c>
      <c r="C1305" s="375" t="s">
        <v>1966</v>
      </c>
      <c r="D1305" s="375" t="s">
        <v>2191</v>
      </c>
      <c r="E1305" s="375" t="s">
        <v>1968</v>
      </c>
      <c r="F1305" s="375" t="s">
        <v>2195</v>
      </c>
    </row>
    <row r="1306" spans="1:6">
      <c r="A1306" s="375" t="s">
        <v>1978</v>
      </c>
      <c r="B1306" s="375" t="s">
        <v>251</v>
      </c>
      <c r="C1306" s="375" t="s">
        <v>1967</v>
      </c>
      <c r="D1306" s="375" t="s">
        <v>2165</v>
      </c>
      <c r="E1306" s="375" t="s">
        <v>1964</v>
      </c>
      <c r="F1306" s="375" t="s">
        <v>2165</v>
      </c>
    </row>
    <row r="1307" spans="1:6">
      <c r="A1307" s="375" t="s">
        <v>1978</v>
      </c>
      <c r="B1307" s="375" t="s">
        <v>251</v>
      </c>
      <c r="C1307" s="375" t="s">
        <v>1967</v>
      </c>
      <c r="D1307" s="375" t="s">
        <v>2165</v>
      </c>
      <c r="E1307" s="375" t="s">
        <v>1965</v>
      </c>
      <c r="F1307" s="375" t="s">
        <v>2166</v>
      </c>
    </row>
    <row r="1308" spans="1:6">
      <c r="A1308" s="375" t="s">
        <v>1978</v>
      </c>
      <c r="B1308" s="375" t="s">
        <v>251</v>
      </c>
      <c r="C1308" s="375" t="s">
        <v>1967</v>
      </c>
      <c r="D1308" s="375" t="s">
        <v>2165</v>
      </c>
      <c r="E1308" s="375" t="s">
        <v>1966</v>
      </c>
      <c r="F1308" s="375" t="s">
        <v>2167</v>
      </c>
    </row>
    <row r="1309" spans="1:6">
      <c r="A1309" s="375" t="s">
        <v>1978</v>
      </c>
      <c r="B1309" s="375" t="s">
        <v>251</v>
      </c>
      <c r="C1309" s="375" t="s">
        <v>1967</v>
      </c>
      <c r="D1309" s="375" t="s">
        <v>2165</v>
      </c>
      <c r="E1309" s="375" t="s">
        <v>1967</v>
      </c>
      <c r="F1309" s="375" t="s">
        <v>2168</v>
      </c>
    </row>
    <row r="1310" spans="1:6">
      <c r="A1310" s="375" t="s">
        <v>1978</v>
      </c>
      <c r="B1310" s="375" t="s">
        <v>251</v>
      </c>
      <c r="C1310" s="375" t="s">
        <v>1967</v>
      </c>
      <c r="D1310" s="375" t="s">
        <v>2165</v>
      </c>
      <c r="E1310" s="375" t="s">
        <v>1968</v>
      </c>
      <c r="F1310" s="375" t="s">
        <v>2169</v>
      </c>
    </row>
    <row r="1311" spans="1:6">
      <c r="A1311" s="375" t="s">
        <v>1978</v>
      </c>
      <c r="B1311" s="375" t="s">
        <v>251</v>
      </c>
      <c r="C1311" s="375" t="s">
        <v>1967</v>
      </c>
      <c r="D1311" s="375" t="s">
        <v>2165</v>
      </c>
      <c r="E1311" s="375" t="s">
        <v>1969</v>
      </c>
      <c r="F1311" s="375" t="s">
        <v>1173</v>
      </c>
    </row>
    <row r="1312" spans="1:6">
      <c r="A1312" s="375" t="s">
        <v>1978</v>
      </c>
      <c r="B1312" s="375" t="s">
        <v>251</v>
      </c>
      <c r="C1312" s="375" t="s">
        <v>1967</v>
      </c>
      <c r="D1312" s="375" t="s">
        <v>2165</v>
      </c>
      <c r="E1312" s="375" t="s">
        <v>1970</v>
      </c>
      <c r="F1312" s="375" t="s">
        <v>2857</v>
      </c>
    </row>
    <row r="1313" spans="1:6">
      <c r="A1313" s="375" t="s">
        <v>1978</v>
      </c>
      <c r="B1313" s="375" t="s">
        <v>251</v>
      </c>
      <c r="C1313" s="375" t="s">
        <v>1968</v>
      </c>
      <c r="D1313" s="375" t="s">
        <v>3471</v>
      </c>
      <c r="E1313" s="375" t="s">
        <v>1964</v>
      </c>
      <c r="F1313" s="375" t="s">
        <v>3472</v>
      </c>
    </row>
    <row r="1314" spans="1:6">
      <c r="A1314" s="375" t="s">
        <v>1978</v>
      </c>
      <c r="B1314" s="375" t="s">
        <v>251</v>
      </c>
      <c r="C1314" s="375" t="s">
        <v>1968</v>
      </c>
      <c r="D1314" s="375" t="s">
        <v>3471</v>
      </c>
      <c r="E1314" s="375" t="s">
        <v>1965</v>
      </c>
      <c r="F1314" s="375" t="s">
        <v>2858</v>
      </c>
    </row>
    <row r="1315" spans="1:6">
      <c r="A1315" s="375" t="s">
        <v>1978</v>
      </c>
      <c r="B1315" s="375" t="s">
        <v>251</v>
      </c>
      <c r="C1315" s="375" t="s">
        <v>1968</v>
      </c>
      <c r="D1315" s="375" t="s">
        <v>3471</v>
      </c>
      <c r="E1315" s="375" t="s">
        <v>1966</v>
      </c>
      <c r="F1315" s="375" t="s">
        <v>2859</v>
      </c>
    </row>
    <row r="1316" spans="1:6">
      <c r="A1316" s="375" t="s">
        <v>1978</v>
      </c>
      <c r="B1316" s="375" t="s">
        <v>251</v>
      </c>
      <c r="C1316" s="375" t="s">
        <v>1968</v>
      </c>
      <c r="D1316" s="375" t="s">
        <v>3471</v>
      </c>
      <c r="E1316" s="375" t="s">
        <v>1967</v>
      </c>
      <c r="F1316" s="375" t="s">
        <v>2860</v>
      </c>
    </row>
    <row r="1317" spans="1:6">
      <c r="A1317" s="375" t="s">
        <v>1978</v>
      </c>
      <c r="B1317" s="375" t="s">
        <v>251</v>
      </c>
      <c r="C1317" s="375" t="s">
        <v>1968</v>
      </c>
      <c r="D1317" s="375" t="s">
        <v>3471</v>
      </c>
      <c r="E1317" s="375" t="s">
        <v>1968</v>
      </c>
      <c r="F1317" s="375" t="s">
        <v>3758</v>
      </c>
    </row>
    <row r="1318" spans="1:6">
      <c r="A1318" s="375" t="s">
        <v>1978</v>
      </c>
      <c r="B1318" s="375" t="s">
        <v>251</v>
      </c>
      <c r="C1318" s="375" t="s">
        <v>1968</v>
      </c>
      <c r="D1318" s="375" t="s">
        <v>3471</v>
      </c>
      <c r="E1318" s="375" t="s">
        <v>1969</v>
      </c>
      <c r="F1318" s="375" t="s">
        <v>2861</v>
      </c>
    </row>
    <row r="1319" spans="1:6">
      <c r="A1319" s="375" t="s">
        <v>1978</v>
      </c>
      <c r="B1319" s="375" t="s">
        <v>251</v>
      </c>
      <c r="C1319" s="375" t="s">
        <v>1968</v>
      </c>
      <c r="D1319" s="375" t="s">
        <v>3471</v>
      </c>
      <c r="E1319" s="375" t="s">
        <v>1970</v>
      </c>
      <c r="F1319" s="375" t="s">
        <v>2862</v>
      </c>
    </row>
    <row r="1320" spans="1:6">
      <c r="A1320" s="375" t="s">
        <v>1978</v>
      </c>
      <c r="B1320" s="375" t="s">
        <v>251</v>
      </c>
      <c r="C1320" s="375" t="s">
        <v>1968</v>
      </c>
      <c r="D1320" s="375" t="s">
        <v>3471</v>
      </c>
      <c r="E1320" s="375" t="s">
        <v>1971</v>
      </c>
      <c r="F1320" s="375" t="s">
        <v>2863</v>
      </c>
    </row>
    <row r="1321" spans="1:6">
      <c r="A1321" s="375" t="s">
        <v>1978</v>
      </c>
      <c r="B1321" s="375" t="s">
        <v>251</v>
      </c>
      <c r="C1321" s="375" t="s">
        <v>1968</v>
      </c>
      <c r="D1321" s="375" t="s">
        <v>3471</v>
      </c>
      <c r="E1321" s="375" t="s">
        <v>1972</v>
      </c>
      <c r="F1321" s="375" t="s">
        <v>2864</v>
      </c>
    </row>
    <row r="1322" spans="1:6">
      <c r="A1322" s="375" t="s">
        <v>1978</v>
      </c>
      <c r="B1322" s="375" t="s">
        <v>251</v>
      </c>
      <c r="C1322" s="375" t="s">
        <v>1968</v>
      </c>
      <c r="D1322" s="375" t="s">
        <v>3471</v>
      </c>
      <c r="E1322" s="375" t="s">
        <v>1973</v>
      </c>
      <c r="F1322" s="375" t="s">
        <v>2865</v>
      </c>
    </row>
    <row r="1323" spans="1:6">
      <c r="A1323" s="375" t="s">
        <v>1978</v>
      </c>
      <c r="B1323" s="375" t="s">
        <v>251</v>
      </c>
      <c r="C1323" s="375" t="s">
        <v>1968</v>
      </c>
      <c r="D1323" s="375" t="s">
        <v>3471</v>
      </c>
      <c r="E1323" s="375" t="s">
        <v>1974</v>
      </c>
      <c r="F1323" s="375" t="s">
        <v>2866</v>
      </c>
    </row>
    <row r="1324" spans="1:6">
      <c r="A1324" s="375" t="s">
        <v>1978</v>
      </c>
      <c r="B1324" s="375" t="s">
        <v>251</v>
      </c>
      <c r="C1324" s="375" t="s">
        <v>1968</v>
      </c>
      <c r="D1324" s="375" t="s">
        <v>3471</v>
      </c>
      <c r="E1324" s="375" t="s">
        <v>1975</v>
      </c>
      <c r="F1324" s="375" t="s">
        <v>2354</v>
      </c>
    </row>
    <row r="1325" spans="1:6">
      <c r="A1325" s="375" t="s">
        <v>1978</v>
      </c>
      <c r="B1325" s="375" t="s">
        <v>251</v>
      </c>
      <c r="C1325" s="375" t="s">
        <v>1968</v>
      </c>
      <c r="D1325" s="375" t="s">
        <v>3471</v>
      </c>
      <c r="E1325" s="375" t="s">
        <v>1976</v>
      </c>
      <c r="F1325" s="375" t="s">
        <v>1449</v>
      </c>
    </row>
    <row r="1326" spans="1:6">
      <c r="A1326" s="375" t="s">
        <v>1978</v>
      </c>
      <c r="B1326" s="375" t="s">
        <v>251</v>
      </c>
      <c r="C1326" s="375" t="s">
        <v>1968</v>
      </c>
      <c r="D1326" s="375" t="s">
        <v>3471</v>
      </c>
      <c r="E1326" s="375" t="s">
        <v>1977</v>
      </c>
      <c r="F1326" s="375" t="s">
        <v>2006</v>
      </c>
    </row>
    <row r="1327" spans="1:6">
      <c r="A1327" s="375" t="s">
        <v>1978</v>
      </c>
      <c r="B1327" s="375" t="s">
        <v>251</v>
      </c>
      <c r="C1327" s="375" t="s">
        <v>1968</v>
      </c>
      <c r="D1327" s="375" t="s">
        <v>3471</v>
      </c>
      <c r="E1327" s="375" t="s">
        <v>1978</v>
      </c>
      <c r="F1327" s="375" t="s">
        <v>2355</v>
      </c>
    </row>
    <row r="1328" spans="1:6">
      <c r="A1328" s="375" t="s">
        <v>1978</v>
      </c>
      <c r="B1328" s="375" t="s">
        <v>251</v>
      </c>
      <c r="C1328" s="375" t="s">
        <v>1968</v>
      </c>
      <c r="D1328" s="375" t="s">
        <v>3471</v>
      </c>
      <c r="E1328" s="375" t="s">
        <v>1979</v>
      </c>
      <c r="F1328" s="375" t="s">
        <v>3473</v>
      </c>
    </row>
    <row r="1329" spans="1:6">
      <c r="A1329" s="375" t="s">
        <v>1978</v>
      </c>
      <c r="B1329" s="375" t="s">
        <v>251</v>
      </c>
      <c r="C1329" s="375" t="s">
        <v>1969</v>
      </c>
      <c r="D1329" s="375" t="s">
        <v>2356</v>
      </c>
      <c r="E1329" s="375" t="s">
        <v>1964</v>
      </c>
      <c r="F1329" s="375" t="s">
        <v>2356</v>
      </c>
    </row>
    <row r="1330" spans="1:6">
      <c r="A1330" s="375" t="s">
        <v>1978</v>
      </c>
      <c r="B1330" s="375" t="s">
        <v>251</v>
      </c>
      <c r="C1330" s="375" t="s">
        <v>1969</v>
      </c>
      <c r="D1330" s="375" t="s">
        <v>2356</v>
      </c>
      <c r="E1330" s="375" t="s">
        <v>1965</v>
      </c>
      <c r="F1330" s="375" t="s">
        <v>2357</v>
      </c>
    </row>
    <row r="1331" spans="1:6">
      <c r="A1331" s="375" t="s">
        <v>1978</v>
      </c>
      <c r="B1331" s="375" t="s">
        <v>251</v>
      </c>
      <c r="C1331" s="375" t="s">
        <v>1969</v>
      </c>
      <c r="D1331" s="375" t="s">
        <v>2356</v>
      </c>
      <c r="E1331" s="375" t="s">
        <v>1966</v>
      </c>
      <c r="F1331" s="375" t="s">
        <v>3390</v>
      </c>
    </row>
    <row r="1332" spans="1:6">
      <c r="A1332" s="375" t="s">
        <v>1978</v>
      </c>
      <c r="B1332" s="375" t="s">
        <v>251</v>
      </c>
      <c r="C1332" s="375" t="s">
        <v>1969</v>
      </c>
      <c r="D1332" s="375" t="s">
        <v>2356</v>
      </c>
      <c r="E1332" s="375" t="s">
        <v>1967</v>
      </c>
      <c r="F1332" s="375" t="s">
        <v>3391</v>
      </c>
    </row>
    <row r="1333" spans="1:6">
      <c r="A1333" s="375" t="s">
        <v>1978</v>
      </c>
      <c r="B1333" s="375" t="s">
        <v>251</v>
      </c>
      <c r="C1333" s="375" t="s">
        <v>1969</v>
      </c>
      <c r="D1333" s="375" t="s">
        <v>2356</v>
      </c>
      <c r="E1333" s="375" t="s">
        <v>1968</v>
      </c>
      <c r="F1333" s="375" t="s">
        <v>1604</v>
      </c>
    </row>
    <row r="1334" spans="1:6">
      <c r="A1334" s="375" t="s">
        <v>1978</v>
      </c>
      <c r="B1334" s="375" t="s">
        <v>251</v>
      </c>
      <c r="C1334" s="375" t="s">
        <v>1969</v>
      </c>
      <c r="D1334" s="375" t="s">
        <v>2356</v>
      </c>
      <c r="E1334" s="375" t="s">
        <v>1969</v>
      </c>
      <c r="F1334" s="375" t="s">
        <v>508</v>
      </c>
    </row>
    <row r="1335" spans="1:6">
      <c r="A1335" s="375" t="s">
        <v>1978</v>
      </c>
      <c r="B1335" s="375" t="s">
        <v>251</v>
      </c>
      <c r="C1335" s="375" t="s">
        <v>1969</v>
      </c>
      <c r="D1335" s="375" t="s">
        <v>2356</v>
      </c>
      <c r="E1335" s="375" t="s">
        <v>1970</v>
      </c>
      <c r="F1335" s="375" t="s">
        <v>509</v>
      </c>
    </row>
    <row r="1336" spans="1:6">
      <c r="A1336" s="375" t="s">
        <v>1978</v>
      </c>
      <c r="B1336" s="375" t="s">
        <v>251</v>
      </c>
      <c r="C1336" s="375" t="s">
        <v>1969</v>
      </c>
      <c r="D1336" s="375" t="s">
        <v>2356</v>
      </c>
      <c r="E1336" s="375" t="s">
        <v>1971</v>
      </c>
      <c r="F1336" s="375" t="s">
        <v>510</v>
      </c>
    </row>
    <row r="1337" spans="1:6">
      <c r="A1337" s="375" t="s">
        <v>1978</v>
      </c>
      <c r="B1337" s="375" t="s">
        <v>251</v>
      </c>
      <c r="C1337" s="375" t="s">
        <v>1969</v>
      </c>
      <c r="D1337" s="375" t="s">
        <v>2356</v>
      </c>
      <c r="E1337" s="375" t="s">
        <v>1972</v>
      </c>
      <c r="F1337" s="375" t="s">
        <v>3574</v>
      </c>
    </row>
    <row r="1338" spans="1:6">
      <c r="A1338" s="375" t="s">
        <v>1978</v>
      </c>
      <c r="B1338" s="375" t="s">
        <v>251</v>
      </c>
      <c r="C1338" s="375" t="s">
        <v>1969</v>
      </c>
      <c r="D1338" s="375" t="s">
        <v>2356</v>
      </c>
      <c r="E1338" s="375" t="s">
        <v>1973</v>
      </c>
      <c r="F1338" s="375" t="s">
        <v>2460</v>
      </c>
    </row>
    <row r="1339" spans="1:6">
      <c r="A1339" s="375" t="s">
        <v>1978</v>
      </c>
      <c r="B1339" s="375" t="s">
        <v>251</v>
      </c>
      <c r="C1339" s="375" t="s">
        <v>1969</v>
      </c>
      <c r="D1339" s="375" t="s">
        <v>2356</v>
      </c>
      <c r="E1339" s="375" t="s">
        <v>1974</v>
      </c>
      <c r="F1339" s="375" t="s">
        <v>2461</v>
      </c>
    </row>
    <row r="1340" spans="1:6">
      <c r="A1340" s="375" t="s">
        <v>1978</v>
      </c>
      <c r="B1340" s="375" t="s">
        <v>251</v>
      </c>
      <c r="C1340" s="375" t="s">
        <v>1969</v>
      </c>
      <c r="D1340" s="375" t="s">
        <v>2356</v>
      </c>
      <c r="E1340" s="375" t="s">
        <v>1975</v>
      </c>
      <c r="F1340" s="375" t="s">
        <v>2462</v>
      </c>
    </row>
    <row r="1341" spans="1:6">
      <c r="A1341" s="375" t="s">
        <v>1978</v>
      </c>
      <c r="B1341" s="375" t="s">
        <v>251</v>
      </c>
      <c r="C1341" s="375" t="s">
        <v>1970</v>
      </c>
      <c r="D1341" s="375" t="s">
        <v>2463</v>
      </c>
      <c r="E1341" s="375" t="s">
        <v>1964</v>
      </c>
      <c r="F1341" s="375" t="s">
        <v>2464</v>
      </c>
    </row>
    <row r="1342" spans="1:6">
      <c r="A1342" s="375" t="s">
        <v>1978</v>
      </c>
      <c r="B1342" s="375" t="s">
        <v>251</v>
      </c>
      <c r="C1342" s="375" t="s">
        <v>1970</v>
      </c>
      <c r="D1342" s="375" t="s">
        <v>2463</v>
      </c>
      <c r="E1342" s="375" t="s">
        <v>1965</v>
      </c>
      <c r="F1342" s="375" t="s">
        <v>2465</v>
      </c>
    </row>
    <row r="1343" spans="1:6">
      <c r="A1343" s="375" t="s">
        <v>1978</v>
      </c>
      <c r="B1343" s="375" t="s">
        <v>251</v>
      </c>
      <c r="C1343" s="375" t="s">
        <v>1970</v>
      </c>
      <c r="D1343" s="375" t="s">
        <v>2463</v>
      </c>
      <c r="E1343" s="375" t="s">
        <v>1966</v>
      </c>
      <c r="F1343" s="375" t="s">
        <v>1618</v>
      </c>
    </row>
    <row r="1344" spans="1:6">
      <c r="A1344" s="375" t="s">
        <v>1978</v>
      </c>
      <c r="B1344" s="375" t="s">
        <v>251</v>
      </c>
      <c r="C1344" s="375" t="s">
        <v>1970</v>
      </c>
      <c r="D1344" s="375" t="s">
        <v>2463</v>
      </c>
      <c r="E1344" s="375" t="s">
        <v>1967</v>
      </c>
      <c r="F1344" s="375" t="s">
        <v>1627</v>
      </c>
    </row>
    <row r="1345" spans="1:6">
      <c r="A1345" s="375" t="s">
        <v>1978</v>
      </c>
      <c r="B1345" s="375" t="s">
        <v>251</v>
      </c>
      <c r="C1345" s="375" t="s">
        <v>1970</v>
      </c>
      <c r="D1345" s="375" t="s">
        <v>2463</v>
      </c>
      <c r="E1345" s="375" t="s">
        <v>1968</v>
      </c>
      <c r="F1345" s="375" t="s">
        <v>1628</v>
      </c>
    </row>
    <row r="1346" spans="1:6">
      <c r="A1346" s="375" t="s">
        <v>1978</v>
      </c>
      <c r="B1346" s="375" t="s">
        <v>251</v>
      </c>
      <c r="C1346" s="375" t="s">
        <v>1970</v>
      </c>
      <c r="D1346" s="375" t="s">
        <v>2463</v>
      </c>
      <c r="E1346" s="375" t="s">
        <v>1969</v>
      </c>
      <c r="F1346" s="375" t="s">
        <v>1476</v>
      </c>
    </row>
    <row r="1347" spans="1:6">
      <c r="A1347" s="375" t="s">
        <v>1978</v>
      </c>
      <c r="B1347" s="375" t="s">
        <v>251</v>
      </c>
      <c r="C1347" s="375" t="s">
        <v>1970</v>
      </c>
      <c r="D1347" s="375" t="s">
        <v>2463</v>
      </c>
      <c r="E1347" s="375" t="s">
        <v>1970</v>
      </c>
      <c r="F1347" s="375" t="s">
        <v>3393</v>
      </c>
    </row>
    <row r="1348" spans="1:6">
      <c r="A1348" s="375" t="s">
        <v>1978</v>
      </c>
      <c r="B1348" s="375" t="s">
        <v>251</v>
      </c>
      <c r="C1348" s="375" t="s">
        <v>1970</v>
      </c>
      <c r="D1348" s="375" t="s">
        <v>2463</v>
      </c>
      <c r="E1348" s="375" t="s">
        <v>1971</v>
      </c>
      <c r="F1348" s="375" t="s">
        <v>3394</v>
      </c>
    </row>
    <row r="1349" spans="1:6">
      <c r="A1349" s="375" t="s">
        <v>1978</v>
      </c>
      <c r="B1349" s="375" t="s">
        <v>251</v>
      </c>
      <c r="C1349" s="375" t="s">
        <v>1970</v>
      </c>
      <c r="D1349" s="375" t="s">
        <v>2463</v>
      </c>
      <c r="E1349" s="375" t="s">
        <v>1972</v>
      </c>
      <c r="F1349" s="375" t="s">
        <v>2463</v>
      </c>
    </row>
    <row r="1350" spans="1:6">
      <c r="A1350" s="375" t="s">
        <v>1978</v>
      </c>
      <c r="B1350" s="375" t="s">
        <v>251</v>
      </c>
      <c r="C1350" s="375" t="s">
        <v>1970</v>
      </c>
      <c r="D1350" s="375" t="s">
        <v>2463</v>
      </c>
      <c r="E1350" s="375" t="s">
        <v>1973</v>
      </c>
      <c r="F1350" s="375" t="s">
        <v>3427</v>
      </c>
    </row>
    <row r="1351" spans="1:6">
      <c r="A1351" s="375" t="s">
        <v>1978</v>
      </c>
      <c r="B1351" s="375" t="s">
        <v>251</v>
      </c>
      <c r="C1351" s="375" t="s">
        <v>1970</v>
      </c>
      <c r="D1351" s="375" t="s">
        <v>2463</v>
      </c>
      <c r="E1351" s="375" t="s">
        <v>1974</v>
      </c>
      <c r="F1351" s="375" t="s">
        <v>3428</v>
      </c>
    </row>
    <row r="1352" spans="1:6">
      <c r="A1352" s="375" t="s">
        <v>1978</v>
      </c>
      <c r="B1352" s="375" t="s">
        <v>251</v>
      </c>
      <c r="C1352" s="375" t="s">
        <v>1970</v>
      </c>
      <c r="D1352" s="375" t="s">
        <v>2463</v>
      </c>
      <c r="E1352" s="375" t="s">
        <v>1975</v>
      </c>
      <c r="F1352" s="375" t="s">
        <v>3429</v>
      </c>
    </row>
    <row r="1353" spans="1:6">
      <c r="A1353" s="375" t="s">
        <v>1978</v>
      </c>
      <c r="B1353" s="375" t="s">
        <v>251</v>
      </c>
      <c r="C1353" s="375" t="s">
        <v>1970</v>
      </c>
      <c r="D1353" s="375" t="s">
        <v>2463</v>
      </c>
      <c r="E1353" s="375" t="s">
        <v>1976</v>
      </c>
      <c r="F1353" s="375" t="s">
        <v>3430</v>
      </c>
    </row>
    <row r="1354" spans="1:6">
      <c r="A1354" s="375" t="s">
        <v>1978</v>
      </c>
      <c r="B1354" s="375" t="s">
        <v>251</v>
      </c>
      <c r="C1354" s="375" t="s">
        <v>1970</v>
      </c>
      <c r="D1354" s="375" t="s">
        <v>2463</v>
      </c>
      <c r="E1354" s="375" t="s">
        <v>1977</v>
      </c>
      <c r="F1354" s="375" t="s">
        <v>3791</v>
      </c>
    </row>
    <row r="1355" spans="1:6">
      <c r="A1355" s="375" t="s">
        <v>1978</v>
      </c>
      <c r="B1355" s="375" t="s">
        <v>251</v>
      </c>
      <c r="C1355" s="375" t="s">
        <v>1970</v>
      </c>
      <c r="D1355" s="375" t="s">
        <v>2463</v>
      </c>
      <c r="E1355" s="375" t="s">
        <v>1978</v>
      </c>
      <c r="F1355" s="375" t="s">
        <v>3792</v>
      </c>
    </row>
    <row r="1356" spans="1:6">
      <c r="A1356" s="375" t="s">
        <v>1978</v>
      </c>
      <c r="B1356" s="375" t="s">
        <v>251</v>
      </c>
      <c r="C1356" s="375" t="s">
        <v>1970</v>
      </c>
      <c r="D1356" s="375" t="s">
        <v>2463</v>
      </c>
      <c r="E1356" s="375" t="s">
        <v>1979</v>
      </c>
      <c r="F1356" s="375" t="s">
        <v>1449</v>
      </c>
    </row>
    <row r="1357" spans="1:6">
      <c r="A1357" s="375" t="s">
        <v>1978</v>
      </c>
      <c r="B1357" s="375" t="s">
        <v>251</v>
      </c>
      <c r="C1357" s="375" t="s">
        <v>1970</v>
      </c>
      <c r="D1357" s="375" t="s">
        <v>2463</v>
      </c>
      <c r="E1357" s="375" t="s">
        <v>1980</v>
      </c>
      <c r="F1357" s="375" t="s">
        <v>2853</v>
      </c>
    </row>
    <row r="1358" spans="1:6">
      <c r="A1358" s="375" t="s">
        <v>1978</v>
      </c>
      <c r="B1358" s="375" t="s">
        <v>251</v>
      </c>
      <c r="C1358" s="375" t="s">
        <v>1970</v>
      </c>
      <c r="D1358" s="375" t="s">
        <v>2463</v>
      </c>
      <c r="E1358" s="375" t="s">
        <v>1981</v>
      </c>
      <c r="F1358" s="375" t="s">
        <v>2854</v>
      </c>
    </row>
    <row r="1359" spans="1:6">
      <c r="A1359" s="375" t="s">
        <v>1978</v>
      </c>
      <c r="B1359" s="375" t="s">
        <v>251</v>
      </c>
      <c r="C1359" s="375" t="s">
        <v>1970</v>
      </c>
      <c r="D1359" s="375" t="s">
        <v>2463</v>
      </c>
      <c r="E1359" s="375" t="s">
        <v>1982</v>
      </c>
      <c r="F1359" s="375" t="s">
        <v>2855</v>
      </c>
    </row>
    <row r="1360" spans="1:6">
      <c r="A1360" s="375" t="s">
        <v>1978</v>
      </c>
      <c r="B1360" s="375" t="s">
        <v>251</v>
      </c>
      <c r="C1360" s="375" t="s">
        <v>1970</v>
      </c>
      <c r="D1360" s="375" t="s">
        <v>2463</v>
      </c>
      <c r="E1360" s="375" t="s">
        <v>4150</v>
      </c>
      <c r="F1360" s="375" t="s">
        <v>2856</v>
      </c>
    </row>
    <row r="1361" spans="1:6">
      <c r="A1361" s="375" t="s">
        <v>1978</v>
      </c>
      <c r="B1361" s="375" t="s">
        <v>251</v>
      </c>
      <c r="C1361" s="375" t="s">
        <v>1970</v>
      </c>
      <c r="D1361" s="375" t="s">
        <v>2463</v>
      </c>
      <c r="E1361" s="375" t="s">
        <v>4151</v>
      </c>
      <c r="F1361" s="375" t="s">
        <v>3478</v>
      </c>
    </row>
    <row r="1362" spans="1:6">
      <c r="A1362" s="375" t="s">
        <v>1978</v>
      </c>
      <c r="B1362" s="375" t="s">
        <v>251</v>
      </c>
      <c r="C1362" s="375" t="s">
        <v>1970</v>
      </c>
      <c r="D1362" s="375" t="s">
        <v>2463</v>
      </c>
      <c r="E1362" s="375" t="s">
        <v>4152</v>
      </c>
      <c r="F1362" s="375" t="s">
        <v>3479</v>
      </c>
    </row>
    <row r="1363" spans="1:6">
      <c r="A1363" s="375" t="s">
        <v>1978</v>
      </c>
      <c r="B1363" s="375" t="s">
        <v>251</v>
      </c>
      <c r="C1363" s="375" t="s">
        <v>1970</v>
      </c>
      <c r="D1363" s="375" t="s">
        <v>2463</v>
      </c>
      <c r="E1363" s="375" t="s">
        <v>4153</v>
      </c>
      <c r="F1363" s="375" t="s">
        <v>3480</v>
      </c>
    </row>
    <row r="1364" spans="1:6">
      <c r="A1364" s="375" t="s">
        <v>1978</v>
      </c>
      <c r="B1364" s="375" t="s">
        <v>251</v>
      </c>
      <c r="C1364" s="375" t="s">
        <v>1970</v>
      </c>
      <c r="D1364" s="375" t="s">
        <v>2463</v>
      </c>
      <c r="E1364" s="375" t="s">
        <v>4154</v>
      </c>
      <c r="F1364" s="375" t="s">
        <v>285</v>
      </c>
    </row>
    <row r="1365" spans="1:6">
      <c r="A1365" s="375" t="s">
        <v>1978</v>
      </c>
      <c r="B1365" s="375" t="s">
        <v>251</v>
      </c>
      <c r="C1365" s="375" t="s">
        <v>1970</v>
      </c>
      <c r="D1365" s="375" t="s">
        <v>2463</v>
      </c>
      <c r="E1365" s="375" t="s">
        <v>4155</v>
      </c>
      <c r="F1365" s="375" t="s">
        <v>286</v>
      </c>
    </row>
    <row r="1366" spans="1:6">
      <c r="A1366" s="375" t="s">
        <v>1978</v>
      </c>
      <c r="B1366" s="375" t="s">
        <v>251</v>
      </c>
      <c r="C1366" s="375" t="s">
        <v>1970</v>
      </c>
      <c r="D1366" s="375" t="s">
        <v>2463</v>
      </c>
      <c r="E1366" s="375" t="s">
        <v>4156</v>
      </c>
      <c r="F1366" s="375" t="s">
        <v>287</v>
      </c>
    </row>
    <row r="1367" spans="1:6">
      <c r="A1367" s="375" t="s">
        <v>1978</v>
      </c>
      <c r="B1367" s="375" t="s">
        <v>251</v>
      </c>
      <c r="C1367" s="375" t="s">
        <v>1970</v>
      </c>
      <c r="D1367" s="375" t="s">
        <v>2463</v>
      </c>
      <c r="E1367" s="375" t="s">
        <v>4157</v>
      </c>
      <c r="F1367" s="375" t="s">
        <v>288</v>
      </c>
    </row>
    <row r="1368" spans="1:6">
      <c r="A1368" s="375" t="s">
        <v>1978</v>
      </c>
      <c r="B1368" s="375" t="s">
        <v>251</v>
      </c>
      <c r="C1368" s="375" t="s">
        <v>1970</v>
      </c>
      <c r="D1368" s="375" t="s">
        <v>2463</v>
      </c>
      <c r="E1368" s="375" t="s">
        <v>4158</v>
      </c>
      <c r="F1368" s="375" t="s">
        <v>289</v>
      </c>
    </row>
    <row r="1369" spans="1:6">
      <c r="A1369" s="375" t="s">
        <v>1978</v>
      </c>
      <c r="B1369" s="375" t="s">
        <v>251</v>
      </c>
      <c r="C1369" s="375" t="s">
        <v>1970</v>
      </c>
      <c r="D1369" s="375" t="s">
        <v>2463</v>
      </c>
      <c r="E1369" s="375" t="s">
        <v>4159</v>
      </c>
      <c r="F1369" s="375" t="s">
        <v>290</v>
      </c>
    </row>
    <row r="1370" spans="1:6">
      <c r="A1370" s="375" t="s">
        <v>1978</v>
      </c>
      <c r="B1370" s="375" t="s">
        <v>251</v>
      </c>
      <c r="C1370" s="375" t="s">
        <v>1970</v>
      </c>
      <c r="D1370" s="375" t="s">
        <v>2463</v>
      </c>
      <c r="E1370" s="375" t="s">
        <v>2424</v>
      </c>
      <c r="F1370" s="375" t="s">
        <v>291</v>
      </c>
    </row>
    <row r="1371" spans="1:6">
      <c r="A1371" s="375" t="s">
        <v>1978</v>
      </c>
      <c r="B1371" s="375" t="s">
        <v>251</v>
      </c>
      <c r="C1371" s="375" t="s">
        <v>1970</v>
      </c>
      <c r="D1371" s="375" t="s">
        <v>2463</v>
      </c>
      <c r="E1371" s="375" t="s">
        <v>2425</v>
      </c>
      <c r="F1371" s="375" t="s">
        <v>4053</v>
      </c>
    </row>
    <row r="1372" spans="1:6">
      <c r="A1372" s="375" t="s">
        <v>1978</v>
      </c>
      <c r="B1372" s="375" t="s">
        <v>251</v>
      </c>
      <c r="C1372" s="375" t="s">
        <v>1970</v>
      </c>
      <c r="D1372" s="375" t="s">
        <v>2463</v>
      </c>
      <c r="E1372" s="375" t="s">
        <v>2426</v>
      </c>
      <c r="F1372" s="375" t="s">
        <v>2554</v>
      </c>
    </row>
    <row r="1373" spans="1:6">
      <c r="A1373" s="375" t="s">
        <v>1978</v>
      </c>
      <c r="B1373" s="375" t="s">
        <v>251</v>
      </c>
      <c r="C1373" s="375" t="s">
        <v>1971</v>
      </c>
      <c r="D1373" s="375" t="s">
        <v>3611</v>
      </c>
      <c r="E1373" s="375" t="s">
        <v>1964</v>
      </c>
      <c r="F1373" s="375" t="s">
        <v>2043</v>
      </c>
    </row>
    <row r="1374" spans="1:6">
      <c r="A1374" s="375" t="s">
        <v>1978</v>
      </c>
      <c r="B1374" s="375" t="s">
        <v>251</v>
      </c>
      <c r="C1374" s="375" t="s">
        <v>1971</v>
      </c>
      <c r="D1374" s="375" t="s">
        <v>3611</v>
      </c>
      <c r="E1374" s="375" t="s">
        <v>1965</v>
      </c>
      <c r="F1374" s="375" t="s">
        <v>2044</v>
      </c>
    </row>
    <row r="1375" spans="1:6">
      <c r="A1375" s="375" t="s">
        <v>1978</v>
      </c>
      <c r="B1375" s="375" t="s">
        <v>251</v>
      </c>
      <c r="C1375" s="375" t="s">
        <v>1971</v>
      </c>
      <c r="D1375" s="375" t="s">
        <v>3611</v>
      </c>
      <c r="E1375" s="375" t="s">
        <v>1966</v>
      </c>
      <c r="F1375" s="375" t="s">
        <v>1626</v>
      </c>
    </row>
    <row r="1376" spans="1:6">
      <c r="A1376" s="375" t="s">
        <v>1978</v>
      </c>
      <c r="B1376" s="375" t="s">
        <v>251</v>
      </c>
      <c r="C1376" s="375" t="s">
        <v>1971</v>
      </c>
      <c r="D1376" s="375" t="s">
        <v>3611</v>
      </c>
      <c r="E1376" s="375" t="s">
        <v>1967</v>
      </c>
      <c r="F1376" s="375" t="s">
        <v>43</v>
      </c>
    </row>
    <row r="1377" spans="1:6">
      <c r="A1377" s="375" t="s">
        <v>1978</v>
      </c>
      <c r="B1377" s="375" t="s">
        <v>251</v>
      </c>
      <c r="C1377" s="375" t="s">
        <v>1971</v>
      </c>
      <c r="D1377" s="375" t="s">
        <v>3611</v>
      </c>
      <c r="E1377" s="375" t="s">
        <v>1968</v>
      </c>
      <c r="F1377" s="375" t="s">
        <v>1025</v>
      </c>
    </row>
    <row r="1378" spans="1:6">
      <c r="A1378" s="375" t="s">
        <v>1978</v>
      </c>
      <c r="B1378" s="375" t="s">
        <v>251</v>
      </c>
      <c r="C1378" s="375" t="s">
        <v>1971</v>
      </c>
      <c r="D1378" s="375" t="s">
        <v>3611</v>
      </c>
      <c r="E1378" s="375" t="s">
        <v>1969</v>
      </c>
      <c r="F1378" s="375" t="s">
        <v>2555</v>
      </c>
    </row>
    <row r="1379" spans="1:6">
      <c r="A1379" s="375" t="s">
        <v>1978</v>
      </c>
      <c r="B1379" s="375" t="s">
        <v>251</v>
      </c>
      <c r="C1379" s="375" t="s">
        <v>1971</v>
      </c>
      <c r="D1379" s="375" t="s">
        <v>3611</v>
      </c>
      <c r="E1379" s="375" t="s">
        <v>1970</v>
      </c>
      <c r="F1379" s="375" t="s">
        <v>1156</v>
      </c>
    </row>
    <row r="1380" spans="1:6">
      <c r="A1380" s="375" t="s">
        <v>1978</v>
      </c>
      <c r="B1380" s="375" t="s">
        <v>251</v>
      </c>
      <c r="C1380" s="375" t="s">
        <v>1971</v>
      </c>
      <c r="D1380" s="375" t="s">
        <v>3611</v>
      </c>
      <c r="E1380" s="375" t="s">
        <v>1971</v>
      </c>
      <c r="F1380" s="375" t="s">
        <v>1026</v>
      </c>
    </row>
    <row r="1381" spans="1:6">
      <c r="A1381" s="375" t="s">
        <v>1978</v>
      </c>
      <c r="B1381" s="375" t="s">
        <v>251</v>
      </c>
      <c r="C1381" s="375" t="s">
        <v>1971</v>
      </c>
      <c r="D1381" s="375" t="s">
        <v>3611</v>
      </c>
      <c r="E1381" s="375" t="s">
        <v>1972</v>
      </c>
      <c r="F1381" s="375" t="s">
        <v>2410</v>
      </c>
    </row>
    <row r="1382" spans="1:6">
      <c r="A1382" s="375" t="s">
        <v>1978</v>
      </c>
      <c r="B1382" s="375" t="s">
        <v>251</v>
      </c>
      <c r="C1382" s="375" t="s">
        <v>1971</v>
      </c>
      <c r="D1382" s="375" t="s">
        <v>3611</v>
      </c>
      <c r="E1382" s="375" t="s">
        <v>1973</v>
      </c>
      <c r="F1382" s="375" t="s">
        <v>2411</v>
      </c>
    </row>
    <row r="1383" spans="1:6">
      <c r="A1383" s="375" t="s">
        <v>1978</v>
      </c>
      <c r="B1383" s="375" t="s">
        <v>251</v>
      </c>
      <c r="C1383" s="375" t="s">
        <v>1971</v>
      </c>
      <c r="D1383" s="375" t="s">
        <v>3611</v>
      </c>
      <c r="E1383" s="375" t="s">
        <v>1974</v>
      </c>
      <c r="F1383" s="375" t="s">
        <v>1623</v>
      </c>
    </row>
    <row r="1384" spans="1:6">
      <c r="A1384" s="375" t="s">
        <v>1978</v>
      </c>
      <c r="B1384" s="375" t="s">
        <v>251</v>
      </c>
      <c r="C1384" s="375" t="s">
        <v>1971</v>
      </c>
      <c r="D1384" s="375" t="s">
        <v>3611</v>
      </c>
      <c r="E1384" s="375" t="s">
        <v>1975</v>
      </c>
      <c r="F1384" s="375" t="s">
        <v>1624</v>
      </c>
    </row>
    <row r="1385" spans="1:6">
      <c r="A1385" s="375" t="s">
        <v>1978</v>
      </c>
      <c r="B1385" s="375" t="s">
        <v>251</v>
      </c>
      <c r="C1385" s="375" t="s">
        <v>1972</v>
      </c>
      <c r="D1385" s="375" t="s">
        <v>3545</v>
      </c>
      <c r="E1385" s="375" t="s">
        <v>1964</v>
      </c>
      <c r="F1385" s="375" t="s">
        <v>3545</v>
      </c>
    </row>
    <row r="1386" spans="1:6">
      <c r="A1386" s="375" t="s">
        <v>1978</v>
      </c>
      <c r="B1386" s="375" t="s">
        <v>251</v>
      </c>
      <c r="C1386" s="375" t="s">
        <v>1972</v>
      </c>
      <c r="D1386" s="375" t="s">
        <v>3545</v>
      </c>
      <c r="E1386" s="375" t="s">
        <v>1965</v>
      </c>
      <c r="F1386" s="375" t="s">
        <v>3546</v>
      </c>
    </row>
    <row r="1387" spans="1:6">
      <c r="A1387" s="375" t="s">
        <v>1978</v>
      </c>
      <c r="B1387" s="375" t="s">
        <v>251</v>
      </c>
      <c r="C1387" s="375" t="s">
        <v>1972</v>
      </c>
      <c r="D1387" s="375" t="s">
        <v>3545</v>
      </c>
      <c r="E1387" s="375" t="s">
        <v>1966</v>
      </c>
      <c r="F1387" s="375" t="s">
        <v>1656</v>
      </c>
    </row>
    <row r="1388" spans="1:6">
      <c r="A1388" s="375" t="s">
        <v>1978</v>
      </c>
      <c r="B1388" s="375" t="s">
        <v>251</v>
      </c>
      <c r="C1388" s="375" t="s">
        <v>1972</v>
      </c>
      <c r="D1388" s="375" t="s">
        <v>3545</v>
      </c>
      <c r="E1388" s="375" t="s">
        <v>1967</v>
      </c>
      <c r="F1388" s="375" t="s">
        <v>1657</v>
      </c>
    </row>
    <row r="1389" spans="1:6">
      <c r="A1389" s="375" t="s">
        <v>1978</v>
      </c>
      <c r="B1389" s="375" t="s">
        <v>251</v>
      </c>
      <c r="C1389" s="375" t="s">
        <v>1972</v>
      </c>
      <c r="D1389" s="375" t="s">
        <v>3545</v>
      </c>
      <c r="E1389" s="375" t="s">
        <v>1968</v>
      </c>
      <c r="F1389" s="375" t="s">
        <v>1671</v>
      </c>
    </row>
    <row r="1390" spans="1:6">
      <c r="A1390" s="375" t="s">
        <v>1978</v>
      </c>
      <c r="B1390" s="375" t="s">
        <v>251</v>
      </c>
      <c r="C1390" s="375" t="s">
        <v>1972</v>
      </c>
      <c r="D1390" s="375" t="s">
        <v>3545</v>
      </c>
      <c r="E1390" s="375" t="s">
        <v>1969</v>
      </c>
      <c r="F1390" s="375" t="s">
        <v>1672</v>
      </c>
    </row>
    <row r="1391" spans="1:6">
      <c r="A1391" s="375" t="s">
        <v>1978</v>
      </c>
      <c r="B1391" s="375" t="s">
        <v>251</v>
      </c>
      <c r="C1391" s="375" t="s">
        <v>1973</v>
      </c>
      <c r="D1391" s="375" t="s">
        <v>3246</v>
      </c>
      <c r="E1391" s="375" t="s">
        <v>1964</v>
      </c>
      <c r="F1391" s="375" t="s">
        <v>3246</v>
      </c>
    </row>
    <row r="1392" spans="1:6">
      <c r="A1392" s="375" t="s">
        <v>1978</v>
      </c>
      <c r="B1392" s="375" t="s">
        <v>251</v>
      </c>
      <c r="C1392" s="375" t="s">
        <v>1973</v>
      </c>
      <c r="D1392" s="375" t="s">
        <v>3246</v>
      </c>
      <c r="E1392" s="375" t="s">
        <v>1965</v>
      </c>
      <c r="F1392" s="375" t="s">
        <v>1673</v>
      </c>
    </row>
    <row r="1393" spans="1:6">
      <c r="A1393" s="375" t="s">
        <v>1978</v>
      </c>
      <c r="B1393" s="375" t="s">
        <v>251</v>
      </c>
      <c r="C1393" s="375" t="s">
        <v>1973</v>
      </c>
      <c r="D1393" s="375" t="s">
        <v>3246</v>
      </c>
      <c r="E1393" s="375" t="s">
        <v>1966</v>
      </c>
      <c r="F1393" s="375" t="s">
        <v>3612</v>
      </c>
    </row>
    <row r="1394" spans="1:6">
      <c r="A1394" s="375" t="s">
        <v>1978</v>
      </c>
      <c r="B1394" s="375" t="s">
        <v>251</v>
      </c>
      <c r="C1394" s="375" t="s">
        <v>1973</v>
      </c>
      <c r="D1394" s="375" t="s">
        <v>3246</v>
      </c>
      <c r="E1394" s="375" t="s">
        <v>1967</v>
      </c>
      <c r="F1394" s="375" t="s">
        <v>2436</v>
      </c>
    </row>
    <row r="1395" spans="1:6">
      <c r="A1395" s="375" t="s">
        <v>1978</v>
      </c>
      <c r="B1395" s="375" t="s">
        <v>251</v>
      </c>
      <c r="C1395" s="375" t="s">
        <v>1973</v>
      </c>
      <c r="D1395" s="375" t="s">
        <v>3246</v>
      </c>
      <c r="E1395" s="375" t="s">
        <v>1968</v>
      </c>
      <c r="F1395" s="375" t="s">
        <v>2437</v>
      </c>
    </row>
    <row r="1396" spans="1:6">
      <c r="A1396" s="375" t="s">
        <v>1978</v>
      </c>
      <c r="B1396" s="375" t="s">
        <v>251</v>
      </c>
      <c r="C1396" s="375" t="s">
        <v>1973</v>
      </c>
      <c r="D1396" s="375" t="s">
        <v>3246</v>
      </c>
      <c r="E1396" s="375" t="s">
        <v>1969</v>
      </c>
      <c r="F1396" s="375" t="s">
        <v>2438</v>
      </c>
    </row>
    <row r="1397" spans="1:6">
      <c r="A1397" s="375" t="s">
        <v>1978</v>
      </c>
      <c r="B1397" s="375" t="s">
        <v>251</v>
      </c>
      <c r="C1397" s="375" t="s">
        <v>1973</v>
      </c>
      <c r="D1397" s="375" t="s">
        <v>3246</v>
      </c>
      <c r="E1397" s="375" t="s">
        <v>1970</v>
      </c>
      <c r="F1397" s="375" t="s">
        <v>2439</v>
      </c>
    </row>
    <row r="1398" spans="1:6">
      <c r="A1398" s="375" t="s">
        <v>1978</v>
      </c>
      <c r="B1398" s="375" t="s">
        <v>251</v>
      </c>
      <c r="C1398" s="375" t="s">
        <v>1973</v>
      </c>
      <c r="D1398" s="375" t="s">
        <v>3246</v>
      </c>
      <c r="E1398" s="375" t="s">
        <v>1971</v>
      </c>
      <c r="F1398" s="375" t="s">
        <v>992</v>
      </c>
    </row>
    <row r="1399" spans="1:6">
      <c r="A1399" s="375" t="s">
        <v>1978</v>
      </c>
      <c r="B1399" s="375" t="s">
        <v>251</v>
      </c>
      <c r="C1399" s="375" t="s">
        <v>1973</v>
      </c>
      <c r="D1399" s="375" t="s">
        <v>3246</v>
      </c>
      <c r="E1399" s="375" t="s">
        <v>1972</v>
      </c>
      <c r="F1399" s="375" t="s">
        <v>3843</v>
      </c>
    </row>
    <row r="1400" spans="1:6">
      <c r="A1400" s="375" t="s">
        <v>1978</v>
      </c>
      <c r="B1400" s="375" t="s">
        <v>251</v>
      </c>
      <c r="C1400" s="375" t="s">
        <v>1973</v>
      </c>
      <c r="D1400" s="375" t="s">
        <v>3246</v>
      </c>
      <c r="E1400" s="375" t="s">
        <v>1973</v>
      </c>
      <c r="F1400" s="375" t="s">
        <v>4256</v>
      </c>
    </row>
    <row r="1401" spans="1:6">
      <c r="A1401" s="375" t="s">
        <v>1978</v>
      </c>
      <c r="B1401" s="375" t="s">
        <v>251</v>
      </c>
      <c r="C1401" s="375" t="s">
        <v>1973</v>
      </c>
      <c r="D1401" s="375" t="s">
        <v>3246</v>
      </c>
      <c r="E1401" s="375" t="s">
        <v>1974</v>
      </c>
      <c r="F1401" s="375" t="s">
        <v>3844</v>
      </c>
    </row>
    <row r="1402" spans="1:6">
      <c r="A1402" s="375" t="s">
        <v>1978</v>
      </c>
      <c r="B1402" s="375" t="s">
        <v>251</v>
      </c>
      <c r="C1402" s="375" t="s">
        <v>1973</v>
      </c>
      <c r="D1402" s="375" t="s">
        <v>3246</v>
      </c>
      <c r="E1402" s="375" t="s">
        <v>1975</v>
      </c>
      <c r="F1402" s="375" t="s">
        <v>3845</v>
      </c>
    </row>
    <row r="1403" spans="1:6">
      <c r="A1403" s="375" t="s">
        <v>1978</v>
      </c>
      <c r="B1403" s="375" t="s">
        <v>251</v>
      </c>
      <c r="C1403" s="375" t="s">
        <v>1973</v>
      </c>
      <c r="D1403" s="375" t="s">
        <v>3246</v>
      </c>
      <c r="E1403" s="375" t="s">
        <v>1976</v>
      </c>
      <c r="F1403" s="375" t="s">
        <v>3846</v>
      </c>
    </row>
    <row r="1404" spans="1:6">
      <c r="A1404" s="375" t="s">
        <v>1978</v>
      </c>
      <c r="B1404" s="375" t="s">
        <v>251</v>
      </c>
      <c r="C1404" s="375" t="s">
        <v>1973</v>
      </c>
      <c r="D1404" s="375" t="s">
        <v>3246</v>
      </c>
      <c r="E1404" s="375" t="s">
        <v>1977</v>
      </c>
      <c r="F1404" s="375" t="s">
        <v>2474</v>
      </c>
    </row>
    <row r="1405" spans="1:6">
      <c r="A1405" s="375" t="s">
        <v>1978</v>
      </c>
      <c r="B1405" s="375" t="s">
        <v>251</v>
      </c>
      <c r="C1405" s="375" t="s">
        <v>1973</v>
      </c>
      <c r="D1405" s="375" t="s">
        <v>3246</v>
      </c>
      <c r="E1405" s="375" t="s">
        <v>1978</v>
      </c>
      <c r="F1405" s="375" t="s">
        <v>2475</v>
      </c>
    </row>
    <row r="1406" spans="1:6">
      <c r="A1406" s="375" t="s">
        <v>1978</v>
      </c>
      <c r="B1406" s="375" t="s">
        <v>251</v>
      </c>
      <c r="C1406" s="375" t="s">
        <v>1973</v>
      </c>
      <c r="D1406" s="375" t="s">
        <v>3246</v>
      </c>
      <c r="E1406" s="375" t="s">
        <v>1979</v>
      </c>
      <c r="F1406" s="375" t="s">
        <v>2476</v>
      </c>
    </row>
    <row r="1407" spans="1:6">
      <c r="A1407" s="375" t="s">
        <v>1978</v>
      </c>
      <c r="B1407" s="375" t="s">
        <v>251</v>
      </c>
      <c r="C1407" s="375" t="s">
        <v>1973</v>
      </c>
      <c r="D1407" s="375" t="s">
        <v>3246</v>
      </c>
      <c r="E1407" s="375" t="s">
        <v>1980</v>
      </c>
      <c r="F1407" s="375" t="s">
        <v>3474</v>
      </c>
    </row>
    <row r="1408" spans="1:6">
      <c r="A1408" s="375" t="s">
        <v>1978</v>
      </c>
      <c r="B1408" s="375" t="s">
        <v>251</v>
      </c>
      <c r="C1408" s="375" t="s">
        <v>1973</v>
      </c>
      <c r="D1408" s="375" t="s">
        <v>3246</v>
      </c>
      <c r="E1408" s="375" t="s">
        <v>1981</v>
      </c>
      <c r="F1408" s="375" t="s">
        <v>3429</v>
      </c>
    </row>
    <row r="1409" spans="1:6">
      <c r="A1409" s="375" t="s">
        <v>1978</v>
      </c>
      <c r="B1409" s="375" t="s">
        <v>251</v>
      </c>
      <c r="C1409" s="375" t="s">
        <v>1973</v>
      </c>
      <c r="D1409" s="375" t="s">
        <v>3246</v>
      </c>
      <c r="E1409" s="375" t="s">
        <v>1982</v>
      </c>
      <c r="F1409" s="375" t="s">
        <v>2477</v>
      </c>
    </row>
    <row r="1410" spans="1:6">
      <c r="A1410" s="375" t="s">
        <v>1978</v>
      </c>
      <c r="B1410" s="375" t="s">
        <v>251</v>
      </c>
      <c r="C1410" s="375" t="s">
        <v>1973</v>
      </c>
      <c r="D1410" s="375" t="s">
        <v>3246</v>
      </c>
      <c r="E1410" s="375" t="s">
        <v>4150</v>
      </c>
      <c r="F1410" s="375" t="s">
        <v>2478</v>
      </c>
    </row>
    <row r="1411" spans="1:6">
      <c r="A1411" s="375" t="s">
        <v>1978</v>
      </c>
      <c r="B1411" s="375" t="s">
        <v>251</v>
      </c>
      <c r="C1411" s="375" t="s">
        <v>1973</v>
      </c>
      <c r="D1411" s="375" t="s">
        <v>3246</v>
      </c>
      <c r="E1411" s="375" t="s">
        <v>4151</v>
      </c>
      <c r="F1411" s="375" t="s">
        <v>2850</v>
      </c>
    </row>
    <row r="1412" spans="1:6">
      <c r="A1412" s="375" t="s">
        <v>1978</v>
      </c>
      <c r="B1412" s="375" t="s">
        <v>251</v>
      </c>
      <c r="C1412" s="375" t="s">
        <v>1973</v>
      </c>
      <c r="D1412" s="375" t="s">
        <v>3246</v>
      </c>
      <c r="E1412" s="375" t="s">
        <v>4152</v>
      </c>
      <c r="F1412" s="375" t="s">
        <v>2479</v>
      </c>
    </row>
    <row r="1413" spans="1:6">
      <c r="A1413" s="375" t="s">
        <v>1978</v>
      </c>
      <c r="B1413" s="375" t="s">
        <v>251</v>
      </c>
      <c r="C1413" s="375" t="s">
        <v>1973</v>
      </c>
      <c r="D1413" s="375" t="s">
        <v>3246</v>
      </c>
      <c r="E1413" s="375" t="s">
        <v>4153</v>
      </c>
      <c r="F1413" s="375" t="s">
        <v>2480</v>
      </c>
    </row>
    <row r="1414" spans="1:6">
      <c r="A1414" s="375" t="s">
        <v>1978</v>
      </c>
      <c r="B1414" s="375" t="s">
        <v>251</v>
      </c>
      <c r="C1414" s="375" t="s">
        <v>1973</v>
      </c>
      <c r="D1414" s="375" t="s">
        <v>3246</v>
      </c>
      <c r="E1414" s="375" t="s">
        <v>4154</v>
      </c>
      <c r="F1414" s="375" t="s">
        <v>2481</v>
      </c>
    </row>
    <row r="1415" spans="1:6">
      <c r="A1415" s="375" t="s">
        <v>1978</v>
      </c>
      <c r="B1415" s="375" t="s">
        <v>251</v>
      </c>
      <c r="C1415" s="375" t="s">
        <v>1973</v>
      </c>
      <c r="D1415" s="375" t="s">
        <v>3246</v>
      </c>
      <c r="E1415" s="375" t="s">
        <v>4155</v>
      </c>
      <c r="F1415" s="375" t="s">
        <v>2482</v>
      </c>
    </row>
    <row r="1416" spans="1:6">
      <c r="A1416" s="375" t="s">
        <v>1978</v>
      </c>
      <c r="B1416" s="375" t="s">
        <v>251</v>
      </c>
      <c r="C1416" s="375" t="s">
        <v>1973</v>
      </c>
      <c r="D1416" s="375" t="s">
        <v>3246</v>
      </c>
      <c r="E1416" s="375" t="s">
        <v>4156</v>
      </c>
      <c r="F1416" s="375" t="s">
        <v>4240</v>
      </c>
    </row>
    <row r="1417" spans="1:6">
      <c r="A1417" s="375" t="s">
        <v>1978</v>
      </c>
      <c r="B1417" s="375" t="s">
        <v>251</v>
      </c>
      <c r="C1417" s="375" t="s">
        <v>1973</v>
      </c>
      <c r="D1417" s="375" t="s">
        <v>3246</v>
      </c>
      <c r="E1417" s="375" t="s">
        <v>4157</v>
      </c>
      <c r="F1417" s="375" t="s">
        <v>4241</v>
      </c>
    </row>
    <row r="1418" spans="1:6">
      <c r="A1418" s="375" t="s">
        <v>1978</v>
      </c>
      <c r="B1418" s="375" t="s">
        <v>251</v>
      </c>
      <c r="C1418" s="375" t="s">
        <v>1973</v>
      </c>
      <c r="D1418" s="375" t="s">
        <v>3246</v>
      </c>
      <c r="E1418" s="375" t="s">
        <v>4158</v>
      </c>
      <c r="F1418" s="375" t="s">
        <v>4242</v>
      </c>
    </row>
    <row r="1419" spans="1:6">
      <c r="A1419" s="375" t="s">
        <v>1978</v>
      </c>
      <c r="B1419" s="375" t="s">
        <v>251</v>
      </c>
      <c r="C1419" s="375" t="s">
        <v>1973</v>
      </c>
      <c r="D1419" s="375" t="s">
        <v>3246</v>
      </c>
      <c r="E1419" s="375" t="s">
        <v>4159</v>
      </c>
      <c r="F1419" s="375" t="s">
        <v>4243</v>
      </c>
    </row>
    <row r="1420" spans="1:6">
      <c r="A1420" s="375" t="s">
        <v>1978</v>
      </c>
      <c r="B1420" s="375" t="s">
        <v>251</v>
      </c>
      <c r="C1420" s="375" t="s">
        <v>1973</v>
      </c>
      <c r="D1420" s="375" t="s">
        <v>3246</v>
      </c>
      <c r="E1420" s="375" t="s">
        <v>2424</v>
      </c>
      <c r="F1420" s="375" t="s">
        <v>4244</v>
      </c>
    </row>
    <row r="1421" spans="1:6">
      <c r="A1421" s="375" t="s">
        <v>1978</v>
      </c>
      <c r="B1421" s="375" t="s">
        <v>251</v>
      </c>
      <c r="C1421" s="375" t="s">
        <v>1973</v>
      </c>
      <c r="D1421" s="375" t="s">
        <v>3246</v>
      </c>
      <c r="E1421" s="375" t="s">
        <v>2425</v>
      </c>
      <c r="F1421" s="375" t="s">
        <v>4281</v>
      </c>
    </row>
    <row r="1422" spans="1:6">
      <c r="A1422" s="375" t="s">
        <v>1978</v>
      </c>
      <c r="B1422" s="375" t="s">
        <v>251</v>
      </c>
      <c r="C1422" s="375" t="s">
        <v>1973</v>
      </c>
      <c r="D1422" s="375" t="s">
        <v>3246</v>
      </c>
      <c r="E1422" s="375" t="s">
        <v>2426</v>
      </c>
      <c r="F1422" s="375" t="s">
        <v>3793</v>
      </c>
    </row>
    <row r="1423" spans="1:6">
      <c r="A1423" s="375" t="s">
        <v>1978</v>
      </c>
      <c r="B1423" s="375" t="s">
        <v>251</v>
      </c>
      <c r="C1423" s="375" t="s">
        <v>1973</v>
      </c>
      <c r="D1423" s="375" t="s">
        <v>3246</v>
      </c>
      <c r="E1423" s="375" t="s">
        <v>2427</v>
      </c>
      <c r="F1423" s="375" t="s">
        <v>4282</v>
      </c>
    </row>
    <row r="1424" spans="1:6">
      <c r="A1424" s="375" t="s">
        <v>1979</v>
      </c>
      <c r="B1424" s="375" t="s">
        <v>4283</v>
      </c>
      <c r="C1424" s="375" t="s">
        <v>1964</v>
      </c>
      <c r="D1424" s="375" t="s">
        <v>4284</v>
      </c>
      <c r="E1424" s="375" t="s">
        <v>1964</v>
      </c>
      <c r="F1424" s="375" t="s">
        <v>4285</v>
      </c>
    </row>
    <row r="1425" spans="1:6">
      <c r="A1425" s="375" t="s">
        <v>1979</v>
      </c>
      <c r="B1425" s="375" t="s">
        <v>4283</v>
      </c>
      <c r="C1425" s="375" t="s">
        <v>1964</v>
      </c>
      <c r="D1425" s="375" t="s">
        <v>4284</v>
      </c>
      <c r="E1425" s="375" t="s">
        <v>1965</v>
      </c>
      <c r="F1425" s="375" t="s">
        <v>149</v>
      </c>
    </row>
    <row r="1426" spans="1:6">
      <c r="A1426" s="375" t="s">
        <v>1979</v>
      </c>
      <c r="B1426" s="375" t="s">
        <v>4283</v>
      </c>
      <c r="C1426" s="375" t="s">
        <v>1964</v>
      </c>
      <c r="D1426" s="375" t="s">
        <v>4284</v>
      </c>
      <c r="E1426" s="375" t="s">
        <v>1966</v>
      </c>
      <c r="F1426" s="375" t="s">
        <v>150</v>
      </c>
    </row>
    <row r="1427" spans="1:6">
      <c r="A1427" s="375" t="s">
        <v>1979</v>
      </c>
      <c r="B1427" s="375" t="s">
        <v>4283</v>
      </c>
      <c r="C1427" s="375" t="s">
        <v>1964</v>
      </c>
      <c r="D1427" s="375" t="s">
        <v>4284</v>
      </c>
      <c r="E1427" s="375" t="s">
        <v>1967</v>
      </c>
      <c r="F1427" s="375" t="s">
        <v>151</v>
      </c>
    </row>
    <row r="1428" spans="1:6">
      <c r="A1428" s="375" t="s">
        <v>1979</v>
      </c>
      <c r="B1428" s="375" t="s">
        <v>4283</v>
      </c>
      <c r="C1428" s="375" t="s">
        <v>1964</v>
      </c>
      <c r="D1428" s="375" t="s">
        <v>4284</v>
      </c>
      <c r="E1428" s="375" t="s">
        <v>1968</v>
      </c>
      <c r="F1428" s="375" t="s">
        <v>2358</v>
      </c>
    </row>
    <row r="1429" spans="1:6">
      <c r="A1429" s="375" t="s">
        <v>1979</v>
      </c>
      <c r="B1429" s="375" t="s">
        <v>4283</v>
      </c>
      <c r="C1429" s="375" t="s">
        <v>1964</v>
      </c>
      <c r="D1429" s="375" t="s">
        <v>4284</v>
      </c>
      <c r="E1429" s="375" t="s">
        <v>1969</v>
      </c>
      <c r="F1429" s="375" t="s">
        <v>2359</v>
      </c>
    </row>
    <row r="1430" spans="1:6">
      <c r="A1430" s="375" t="s">
        <v>1979</v>
      </c>
      <c r="B1430" s="375" t="s">
        <v>4283</v>
      </c>
      <c r="C1430" s="375" t="s">
        <v>1964</v>
      </c>
      <c r="D1430" s="375" t="s">
        <v>4284</v>
      </c>
      <c r="E1430" s="375" t="s">
        <v>1970</v>
      </c>
      <c r="F1430" s="375" t="s">
        <v>2360</v>
      </c>
    </row>
    <row r="1431" spans="1:6">
      <c r="A1431" s="375" t="s">
        <v>1979</v>
      </c>
      <c r="B1431" s="375" t="s">
        <v>4283</v>
      </c>
      <c r="C1431" s="375" t="s">
        <v>1964</v>
      </c>
      <c r="D1431" s="375" t="s">
        <v>4284</v>
      </c>
      <c r="E1431" s="375" t="s">
        <v>1971</v>
      </c>
      <c r="F1431" s="375" t="s">
        <v>2361</v>
      </c>
    </row>
    <row r="1432" spans="1:6">
      <c r="A1432" s="375" t="s">
        <v>1979</v>
      </c>
      <c r="B1432" s="375" t="s">
        <v>4283</v>
      </c>
      <c r="C1432" s="375" t="s">
        <v>1964</v>
      </c>
      <c r="D1432" s="375" t="s">
        <v>4284</v>
      </c>
      <c r="E1432" s="375" t="s">
        <v>1972</v>
      </c>
      <c r="F1432" s="375" t="s">
        <v>3613</v>
      </c>
    </row>
    <row r="1433" spans="1:6">
      <c r="A1433" s="375" t="s">
        <v>1979</v>
      </c>
      <c r="B1433" s="375" t="s">
        <v>4283</v>
      </c>
      <c r="C1433" s="375" t="s">
        <v>1964</v>
      </c>
      <c r="D1433" s="375" t="s">
        <v>4284</v>
      </c>
      <c r="E1433" s="375" t="s">
        <v>1973</v>
      </c>
      <c r="F1433" s="375" t="s">
        <v>2362</v>
      </c>
    </row>
    <row r="1434" spans="1:6">
      <c r="A1434" s="375" t="s">
        <v>1979</v>
      </c>
      <c r="B1434" s="375" t="s">
        <v>4283</v>
      </c>
      <c r="C1434" s="375" t="s">
        <v>1964</v>
      </c>
      <c r="D1434" s="375" t="s">
        <v>4284</v>
      </c>
      <c r="E1434" s="375" t="s">
        <v>1975</v>
      </c>
      <c r="F1434" s="375" t="s">
        <v>762</v>
      </c>
    </row>
    <row r="1435" spans="1:6">
      <c r="A1435" s="375" t="s">
        <v>1979</v>
      </c>
      <c r="B1435" s="375" t="s">
        <v>4283</v>
      </c>
      <c r="C1435" s="375" t="s">
        <v>1964</v>
      </c>
      <c r="D1435" s="375" t="s">
        <v>4284</v>
      </c>
      <c r="E1435" s="375" t="s">
        <v>1976</v>
      </c>
      <c r="F1435" s="375" t="s">
        <v>2025</v>
      </c>
    </row>
    <row r="1436" spans="1:6">
      <c r="A1436" s="375" t="s">
        <v>1979</v>
      </c>
      <c r="B1436" s="375" t="s">
        <v>4283</v>
      </c>
      <c r="C1436" s="375" t="s">
        <v>1964</v>
      </c>
      <c r="D1436" s="375" t="s">
        <v>4284</v>
      </c>
      <c r="E1436" s="375" t="s">
        <v>1977</v>
      </c>
      <c r="F1436" s="375" t="s">
        <v>3614</v>
      </c>
    </row>
    <row r="1437" spans="1:6">
      <c r="A1437" s="375" t="s">
        <v>1979</v>
      </c>
      <c r="B1437" s="375" t="s">
        <v>4283</v>
      </c>
      <c r="C1437" s="375" t="s">
        <v>1965</v>
      </c>
      <c r="D1437" s="375" t="s">
        <v>2969</v>
      </c>
      <c r="E1437" s="375" t="s">
        <v>1964</v>
      </c>
      <c r="F1437" s="375" t="s">
        <v>186</v>
      </c>
    </row>
    <row r="1438" spans="1:6">
      <c r="A1438" s="375" t="s">
        <v>1979</v>
      </c>
      <c r="B1438" s="375" t="s">
        <v>4283</v>
      </c>
      <c r="C1438" s="375" t="s">
        <v>1965</v>
      </c>
      <c r="D1438" s="375" t="s">
        <v>2969</v>
      </c>
      <c r="E1438" s="375" t="s">
        <v>1965</v>
      </c>
      <c r="F1438" s="375" t="s">
        <v>187</v>
      </c>
    </row>
    <row r="1439" spans="1:6">
      <c r="A1439" s="375" t="s">
        <v>1979</v>
      </c>
      <c r="B1439" s="375" t="s">
        <v>4283</v>
      </c>
      <c r="C1439" s="375" t="s">
        <v>1965</v>
      </c>
      <c r="D1439" s="375" t="s">
        <v>2969</v>
      </c>
      <c r="E1439" s="375" t="s">
        <v>1968</v>
      </c>
      <c r="F1439" s="375" t="s">
        <v>189</v>
      </c>
    </row>
    <row r="1440" spans="1:6">
      <c r="A1440" s="375" t="s">
        <v>1979</v>
      </c>
      <c r="B1440" s="375" t="s">
        <v>4283</v>
      </c>
      <c r="C1440" s="375" t="s">
        <v>1965</v>
      </c>
      <c r="D1440" s="375" t="s">
        <v>2969</v>
      </c>
      <c r="E1440" s="375" t="s">
        <v>1969</v>
      </c>
      <c r="F1440" s="375" t="s">
        <v>2884</v>
      </c>
    </row>
    <row r="1441" spans="1:6">
      <c r="A1441" s="375" t="s">
        <v>1979</v>
      </c>
      <c r="B1441" s="375" t="s">
        <v>4283</v>
      </c>
      <c r="C1441" s="375" t="s">
        <v>1965</v>
      </c>
      <c r="D1441" s="375" t="s">
        <v>2969</v>
      </c>
      <c r="E1441" s="375" t="s">
        <v>1973</v>
      </c>
      <c r="F1441" s="375" t="s">
        <v>1160</v>
      </c>
    </row>
    <row r="1442" spans="1:6">
      <c r="A1442" s="375" t="s">
        <v>1979</v>
      </c>
      <c r="B1442" s="375" t="s">
        <v>4283</v>
      </c>
      <c r="C1442" s="375" t="s">
        <v>1965</v>
      </c>
      <c r="D1442" s="375" t="s">
        <v>2969</v>
      </c>
      <c r="E1442" s="375" t="s">
        <v>1974</v>
      </c>
      <c r="F1442" s="375" t="s">
        <v>160</v>
      </c>
    </row>
    <row r="1443" spans="1:6">
      <c r="A1443" s="375" t="s">
        <v>1979</v>
      </c>
      <c r="B1443" s="375" t="s">
        <v>4283</v>
      </c>
      <c r="C1443" s="375" t="s">
        <v>1966</v>
      </c>
      <c r="D1443" s="375" t="s">
        <v>4283</v>
      </c>
      <c r="E1443" s="375" t="s">
        <v>1964</v>
      </c>
      <c r="F1443" s="375" t="s">
        <v>161</v>
      </c>
    </row>
    <row r="1444" spans="1:6">
      <c r="A1444" s="375" t="s">
        <v>1979</v>
      </c>
      <c r="B1444" s="375" t="s">
        <v>4283</v>
      </c>
      <c r="C1444" s="375" t="s">
        <v>1966</v>
      </c>
      <c r="D1444" s="375" t="s">
        <v>4283</v>
      </c>
      <c r="E1444" s="375" t="s">
        <v>1965</v>
      </c>
      <c r="F1444" s="375" t="s">
        <v>3615</v>
      </c>
    </row>
    <row r="1445" spans="1:6">
      <c r="A1445" s="375" t="s">
        <v>1979</v>
      </c>
      <c r="B1445" s="375" t="s">
        <v>4283</v>
      </c>
      <c r="C1445" s="375" t="s">
        <v>1966</v>
      </c>
      <c r="D1445" s="375" t="s">
        <v>4283</v>
      </c>
      <c r="E1445" s="375" t="s">
        <v>1966</v>
      </c>
      <c r="F1445" s="375" t="s">
        <v>2225</v>
      </c>
    </row>
    <row r="1446" spans="1:6">
      <c r="A1446" s="375" t="s">
        <v>1979</v>
      </c>
      <c r="B1446" s="375" t="s">
        <v>4283</v>
      </c>
      <c r="C1446" s="375" t="s">
        <v>1966</v>
      </c>
      <c r="D1446" s="375" t="s">
        <v>4283</v>
      </c>
      <c r="E1446" s="375" t="s">
        <v>1967</v>
      </c>
      <c r="F1446" s="375" t="s">
        <v>2226</v>
      </c>
    </row>
    <row r="1447" spans="1:6">
      <c r="A1447" s="375" t="s">
        <v>1979</v>
      </c>
      <c r="B1447" s="375" t="s">
        <v>4283</v>
      </c>
      <c r="C1447" s="375" t="s">
        <v>1966</v>
      </c>
      <c r="D1447" s="375" t="s">
        <v>4283</v>
      </c>
      <c r="E1447" s="375" t="s">
        <v>1968</v>
      </c>
      <c r="F1447" s="375" t="s">
        <v>3616</v>
      </c>
    </row>
    <row r="1448" spans="1:6">
      <c r="A1448" s="375" t="s">
        <v>1979</v>
      </c>
      <c r="B1448" s="375" t="s">
        <v>4283</v>
      </c>
      <c r="C1448" s="375" t="s">
        <v>1967</v>
      </c>
      <c r="D1448" s="375" t="s">
        <v>176</v>
      </c>
      <c r="E1448" s="375" t="s">
        <v>1964</v>
      </c>
      <c r="F1448" s="375" t="s">
        <v>3900</v>
      </c>
    </row>
    <row r="1449" spans="1:6">
      <c r="A1449" s="375" t="s">
        <v>1979</v>
      </c>
      <c r="B1449" s="375" t="s">
        <v>4283</v>
      </c>
      <c r="C1449" s="375" t="s">
        <v>1967</v>
      </c>
      <c r="D1449" s="375" t="s">
        <v>176</v>
      </c>
      <c r="E1449" s="375" t="s">
        <v>1965</v>
      </c>
      <c r="F1449" s="375" t="s">
        <v>3901</v>
      </c>
    </row>
    <row r="1450" spans="1:6">
      <c r="A1450" s="375" t="s">
        <v>1979</v>
      </c>
      <c r="B1450" s="375" t="s">
        <v>4283</v>
      </c>
      <c r="C1450" s="375" t="s">
        <v>1967</v>
      </c>
      <c r="D1450" s="375" t="s">
        <v>176</v>
      </c>
      <c r="E1450" s="375" t="s">
        <v>1966</v>
      </c>
      <c r="F1450" s="375" t="s">
        <v>3617</v>
      </c>
    </row>
    <row r="1451" spans="1:6">
      <c r="A1451" s="375" t="s">
        <v>1979</v>
      </c>
      <c r="B1451" s="375" t="s">
        <v>4283</v>
      </c>
      <c r="C1451" s="375" t="s">
        <v>1967</v>
      </c>
      <c r="D1451" s="375" t="s">
        <v>176</v>
      </c>
      <c r="E1451" s="375" t="s">
        <v>1967</v>
      </c>
      <c r="F1451" s="375" t="s">
        <v>244</v>
      </c>
    </row>
    <row r="1452" spans="1:6">
      <c r="A1452" s="375" t="s">
        <v>1979</v>
      </c>
      <c r="B1452" s="375" t="s">
        <v>4283</v>
      </c>
      <c r="C1452" s="375" t="s">
        <v>1968</v>
      </c>
      <c r="D1452" s="375" t="s">
        <v>3902</v>
      </c>
      <c r="E1452" s="375" t="s">
        <v>1964</v>
      </c>
      <c r="F1452" s="375" t="s">
        <v>3902</v>
      </c>
    </row>
    <row r="1453" spans="1:6">
      <c r="A1453" s="375" t="s">
        <v>1979</v>
      </c>
      <c r="B1453" s="375" t="s">
        <v>4283</v>
      </c>
      <c r="C1453" s="375" t="s">
        <v>1968</v>
      </c>
      <c r="D1453" s="375" t="s">
        <v>3902</v>
      </c>
      <c r="E1453" s="375" t="s">
        <v>1965</v>
      </c>
      <c r="F1453" s="375" t="s">
        <v>3903</v>
      </c>
    </row>
    <row r="1454" spans="1:6">
      <c r="A1454" s="375" t="s">
        <v>1979</v>
      </c>
      <c r="B1454" s="375" t="s">
        <v>4283</v>
      </c>
      <c r="C1454" s="375" t="s">
        <v>1968</v>
      </c>
      <c r="D1454" s="375" t="s">
        <v>3902</v>
      </c>
      <c r="E1454" s="375" t="s">
        <v>1966</v>
      </c>
      <c r="F1454" s="375" t="s">
        <v>3904</v>
      </c>
    </row>
    <row r="1455" spans="1:6">
      <c r="A1455" s="375" t="s">
        <v>1979</v>
      </c>
      <c r="B1455" s="375" t="s">
        <v>4283</v>
      </c>
      <c r="C1455" s="375" t="s">
        <v>1968</v>
      </c>
      <c r="D1455" s="375" t="s">
        <v>3902</v>
      </c>
      <c r="E1455" s="375" t="s">
        <v>1967</v>
      </c>
      <c r="F1455" s="375" t="s">
        <v>3905</v>
      </c>
    </row>
    <row r="1456" spans="1:6">
      <c r="A1456" s="375" t="s">
        <v>1979</v>
      </c>
      <c r="B1456" s="375" t="s">
        <v>4283</v>
      </c>
      <c r="C1456" s="375" t="s">
        <v>1968</v>
      </c>
      <c r="D1456" s="375" t="s">
        <v>3902</v>
      </c>
      <c r="E1456" s="375" t="s">
        <v>1968</v>
      </c>
      <c r="F1456" s="375" t="s">
        <v>3906</v>
      </c>
    </row>
    <row r="1457" spans="1:6">
      <c r="A1457" s="375" t="s">
        <v>1979</v>
      </c>
      <c r="B1457" s="375" t="s">
        <v>4283</v>
      </c>
      <c r="C1457" s="375" t="s">
        <v>1968</v>
      </c>
      <c r="D1457" s="375" t="s">
        <v>3902</v>
      </c>
      <c r="E1457" s="375" t="s">
        <v>1969</v>
      </c>
      <c r="F1457" s="375" t="s">
        <v>3907</v>
      </c>
    </row>
    <row r="1458" spans="1:6">
      <c r="A1458" s="375" t="s">
        <v>1979</v>
      </c>
      <c r="B1458" s="375" t="s">
        <v>4283</v>
      </c>
      <c r="C1458" s="375" t="s">
        <v>1968</v>
      </c>
      <c r="D1458" s="375" t="s">
        <v>3902</v>
      </c>
      <c r="E1458" s="375" t="s">
        <v>1970</v>
      </c>
      <c r="F1458" s="375" t="s">
        <v>3908</v>
      </c>
    </row>
    <row r="1459" spans="1:6">
      <c r="A1459" s="375" t="s">
        <v>1979</v>
      </c>
      <c r="B1459" s="375" t="s">
        <v>4283</v>
      </c>
      <c r="C1459" s="375" t="s">
        <v>1968</v>
      </c>
      <c r="D1459" s="375" t="s">
        <v>3902</v>
      </c>
      <c r="E1459" s="375" t="s">
        <v>1971</v>
      </c>
      <c r="F1459" s="375" t="s">
        <v>3618</v>
      </c>
    </row>
    <row r="1460" spans="1:6">
      <c r="A1460" s="375" t="s">
        <v>1979</v>
      </c>
      <c r="B1460" s="375" t="s">
        <v>4283</v>
      </c>
      <c r="C1460" s="375" t="s">
        <v>1968</v>
      </c>
      <c r="D1460" s="375" t="s">
        <v>3902</v>
      </c>
      <c r="E1460" s="375" t="s">
        <v>1972</v>
      </c>
      <c r="F1460" s="375" t="s">
        <v>3426</v>
      </c>
    </row>
    <row r="1461" spans="1:6">
      <c r="A1461" s="375" t="s">
        <v>1979</v>
      </c>
      <c r="B1461" s="375" t="s">
        <v>4283</v>
      </c>
      <c r="C1461" s="375" t="s">
        <v>1968</v>
      </c>
      <c r="D1461" s="375" t="s">
        <v>3902</v>
      </c>
      <c r="E1461" s="375" t="s">
        <v>1973</v>
      </c>
      <c r="F1461" s="375" t="s">
        <v>4289</v>
      </c>
    </row>
    <row r="1462" spans="1:6">
      <c r="A1462" s="375" t="s">
        <v>1979</v>
      </c>
      <c r="B1462" s="375" t="s">
        <v>4283</v>
      </c>
      <c r="C1462" s="375" t="s">
        <v>1968</v>
      </c>
      <c r="D1462" s="375" t="s">
        <v>3902</v>
      </c>
      <c r="E1462" s="375" t="s">
        <v>1974</v>
      </c>
      <c r="F1462" s="375" t="s">
        <v>3619</v>
      </c>
    </row>
    <row r="1463" spans="1:6">
      <c r="A1463" s="375" t="s">
        <v>1979</v>
      </c>
      <c r="B1463" s="375" t="s">
        <v>4283</v>
      </c>
      <c r="C1463" s="375" t="s">
        <v>1969</v>
      </c>
      <c r="D1463" s="375" t="s">
        <v>4290</v>
      </c>
      <c r="E1463" s="375" t="s">
        <v>1964</v>
      </c>
      <c r="F1463" s="375" t="s">
        <v>4291</v>
      </c>
    </row>
    <row r="1464" spans="1:6">
      <c r="A1464" s="375" t="s">
        <v>1979</v>
      </c>
      <c r="B1464" s="375" t="s">
        <v>4283</v>
      </c>
      <c r="C1464" s="375" t="s">
        <v>1969</v>
      </c>
      <c r="D1464" s="375" t="s">
        <v>4290</v>
      </c>
      <c r="E1464" s="375" t="s">
        <v>1965</v>
      </c>
      <c r="F1464" s="375" t="s">
        <v>4292</v>
      </c>
    </row>
    <row r="1465" spans="1:6">
      <c r="A1465" s="375" t="s">
        <v>1979</v>
      </c>
      <c r="B1465" s="375" t="s">
        <v>4283</v>
      </c>
      <c r="C1465" s="375" t="s">
        <v>1969</v>
      </c>
      <c r="D1465" s="375" t="s">
        <v>4290</v>
      </c>
      <c r="E1465" s="375" t="s">
        <v>1966</v>
      </c>
      <c r="F1465" s="375" t="s">
        <v>390</v>
      </c>
    </row>
    <row r="1466" spans="1:6">
      <c r="A1466" s="375" t="s">
        <v>1979</v>
      </c>
      <c r="B1466" s="375" t="s">
        <v>4283</v>
      </c>
      <c r="C1466" s="375" t="s">
        <v>1969</v>
      </c>
      <c r="D1466" s="375" t="s">
        <v>4290</v>
      </c>
      <c r="E1466" s="375" t="s">
        <v>1967</v>
      </c>
      <c r="F1466" s="375" t="s">
        <v>4011</v>
      </c>
    </row>
    <row r="1467" spans="1:6">
      <c r="A1467" s="375" t="s">
        <v>1979</v>
      </c>
      <c r="B1467" s="375" t="s">
        <v>4283</v>
      </c>
      <c r="C1467" s="375" t="s">
        <v>1969</v>
      </c>
      <c r="D1467" s="375" t="s">
        <v>4290</v>
      </c>
      <c r="E1467" s="375" t="s">
        <v>1968</v>
      </c>
      <c r="F1467" s="375" t="s">
        <v>391</v>
      </c>
    </row>
    <row r="1468" spans="1:6">
      <c r="A1468" s="375" t="s">
        <v>1979</v>
      </c>
      <c r="B1468" s="375" t="s">
        <v>4283</v>
      </c>
      <c r="C1468" s="375" t="s">
        <v>1969</v>
      </c>
      <c r="D1468" s="375" t="s">
        <v>4290</v>
      </c>
      <c r="E1468" s="375" t="s">
        <v>1969</v>
      </c>
      <c r="F1468" s="375" t="s">
        <v>392</v>
      </c>
    </row>
    <row r="1469" spans="1:6">
      <c r="A1469" s="375" t="s">
        <v>1979</v>
      </c>
      <c r="B1469" s="375" t="s">
        <v>4283</v>
      </c>
      <c r="C1469" s="375" t="s">
        <v>1970</v>
      </c>
      <c r="D1469" s="375" t="s">
        <v>3620</v>
      </c>
      <c r="E1469" s="375" t="s">
        <v>1964</v>
      </c>
      <c r="F1469" s="375" t="s">
        <v>3683</v>
      </c>
    </row>
    <row r="1470" spans="1:6">
      <c r="A1470" s="375" t="s">
        <v>1979</v>
      </c>
      <c r="B1470" s="375" t="s">
        <v>4283</v>
      </c>
      <c r="C1470" s="375" t="s">
        <v>1970</v>
      </c>
      <c r="D1470" s="375" t="s">
        <v>3620</v>
      </c>
      <c r="E1470" s="375" t="s">
        <v>1965</v>
      </c>
      <c r="F1470" s="375" t="s">
        <v>188</v>
      </c>
    </row>
    <row r="1471" spans="1:6">
      <c r="A1471" s="375" t="s">
        <v>1979</v>
      </c>
      <c r="B1471" s="375" t="s">
        <v>4283</v>
      </c>
      <c r="C1471" s="375" t="s">
        <v>1970</v>
      </c>
      <c r="D1471" s="375" t="s">
        <v>3620</v>
      </c>
      <c r="E1471" s="375" t="s">
        <v>1966</v>
      </c>
      <c r="F1471" s="375" t="s">
        <v>190</v>
      </c>
    </row>
    <row r="1472" spans="1:6">
      <c r="A1472" s="375" t="s">
        <v>1979</v>
      </c>
      <c r="B1472" s="375" t="s">
        <v>4283</v>
      </c>
      <c r="C1472" s="375" t="s">
        <v>1970</v>
      </c>
      <c r="D1472" s="375" t="s">
        <v>3620</v>
      </c>
      <c r="E1472" s="375" t="s">
        <v>1967</v>
      </c>
      <c r="F1472" s="375" t="s">
        <v>191</v>
      </c>
    </row>
    <row r="1473" spans="1:6">
      <c r="A1473" s="375" t="s">
        <v>1979</v>
      </c>
      <c r="B1473" s="375" t="s">
        <v>4283</v>
      </c>
      <c r="C1473" s="375" t="s">
        <v>1970</v>
      </c>
      <c r="D1473" s="375" t="s">
        <v>3620</v>
      </c>
      <c r="E1473" s="375" t="s">
        <v>1968</v>
      </c>
      <c r="F1473" s="375" t="s">
        <v>159</v>
      </c>
    </row>
    <row r="1474" spans="1:6">
      <c r="A1474" s="375" t="s">
        <v>1979</v>
      </c>
      <c r="B1474" s="375" t="s">
        <v>4283</v>
      </c>
      <c r="C1474" s="375" t="s">
        <v>1970</v>
      </c>
      <c r="D1474" s="375" t="s">
        <v>3620</v>
      </c>
      <c r="E1474" s="375" t="s">
        <v>1969</v>
      </c>
      <c r="F1474" s="375" t="s">
        <v>3621</v>
      </c>
    </row>
    <row r="1475" spans="1:6">
      <c r="A1475" s="375" t="s">
        <v>1980</v>
      </c>
      <c r="B1475" s="375" t="s">
        <v>393</v>
      </c>
      <c r="C1475" s="375" t="s">
        <v>1964</v>
      </c>
      <c r="D1475" s="375" t="s">
        <v>394</v>
      </c>
      <c r="E1475" s="375" t="s">
        <v>1964</v>
      </c>
      <c r="F1475" s="375" t="s">
        <v>394</v>
      </c>
    </row>
    <row r="1476" spans="1:6">
      <c r="A1476" s="375" t="s">
        <v>1980</v>
      </c>
      <c r="B1476" s="375" t="s">
        <v>393</v>
      </c>
      <c r="C1476" s="375" t="s">
        <v>1964</v>
      </c>
      <c r="D1476" s="375" t="s">
        <v>394</v>
      </c>
      <c r="E1476" s="375" t="s">
        <v>1965</v>
      </c>
      <c r="F1476" s="375" t="s">
        <v>3622</v>
      </c>
    </row>
    <row r="1477" spans="1:6">
      <c r="A1477" s="375" t="s">
        <v>1980</v>
      </c>
      <c r="B1477" s="375" t="s">
        <v>393</v>
      </c>
      <c r="C1477" s="375" t="s">
        <v>1964</v>
      </c>
      <c r="D1477" s="375" t="s">
        <v>394</v>
      </c>
      <c r="E1477" s="375" t="s">
        <v>1966</v>
      </c>
      <c r="F1477" s="375" t="s">
        <v>3623</v>
      </c>
    </row>
    <row r="1478" spans="1:6">
      <c r="A1478" s="375" t="s">
        <v>1980</v>
      </c>
      <c r="B1478" s="375" t="s">
        <v>393</v>
      </c>
      <c r="C1478" s="375" t="s">
        <v>1964</v>
      </c>
      <c r="D1478" s="375" t="s">
        <v>394</v>
      </c>
      <c r="E1478" s="375" t="s">
        <v>1967</v>
      </c>
      <c r="F1478" s="375" t="s">
        <v>395</v>
      </c>
    </row>
    <row r="1479" spans="1:6">
      <c r="A1479" s="375" t="s">
        <v>1980</v>
      </c>
      <c r="B1479" s="375" t="s">
        <v>393</v>
      </c>
      <c r="C1479" s="375" t="s">
        <v>1965</v>
      </c>
      <c r="D1479" s="375" t="s">
        <v>3624</v>
      </c>
      <c r="E1479" s="375" t="s">
        <v>1964</v>
      </c>
      <c r="F1479" s="375" t="s">
        <v>3624</v>
      </c>
    </row>
    <row r="1480" spans="1:6">
      <c r="A1480" s="375" t="s">
        <v>1980</v>
      </c>
      <c r="B1480" s="375" t="s">
        <v>393</v>
      </c>
      <c r="C1480" s="375" t="s">
        <v>1965</v>
      </c>
      <c r="D1480" s="375" t="s">
        <v>3624</v>
      </c>
      <c r="E1480" s="375" t="s">
        <v>1965</v>
      </c>
      <c r="F1480" s="375" t="s">
        <v>3625</v>
      </c>
    </row>
    <row r="1481" spans="1:6">
      <c r="A1481" s="375" t="s">
        <v>1980</v>
      </c>
      <c r="B1481" s="375" t="s">
        <v>393</v>
      </c>
      <c r="C1481" s="375" t="s">
        <v>1965</v>
      </c>
      <c r="D1481" s="375" t="s">
        <v>3624</v>
      </c>
      <c r="E1481" s="375" t="s">
        <v>1966</v>
      </c>
      <c r="F1481" s="375" t="s">
        <v>3626</v>
      </c>
    </row>
    <row r="1482" spans="1:6">
      <c r="A1482" s="375" t="s">
        <v>1980</v>
      </c>
      <c r="B1482" s="375" t="s">
        <v>393</v>
      </c>
      <c r="C1482" s="375" t="s">
        <v>1965</v>
      </c>
      <c r="D1482" s="375" t="s">
        <v>3624</v>
      </c>
      <c r="E1482" s="375" t="s">
        <v>1967</v>
      </c>
      <c r="F1482" s="375" t="s">
        <v>3519</v>
      </c>
    </row>
    <row r="1483" spans="1:6">
      <c r="A1483" s="375" t="s">
        <v>1980</v>
      </c>
      <c r="B1483" s="375" t="s">
        <v>393</v>
      </c>
      <c r="C1483" s="375" t="s">
        <v>1966</v>
      </c>
      <c r="D1483" s="375" t="s">
        <v>2129</v>
      </c>
      <c r="E1483" s="375" t="s">
        <v>1964</v>
      </c>
      <c r="F1483" s="375" t="s">
        <v>3520</v>
      </c>
    </row>
    <row r="1484" spans="1:6">
      <c r="A1484" s="375" t="s">
        <v>1980</v>
      </c>
      <c r="B1484" s="375" t="s">
        <v>393</v>
      </c>
      <c r="C1484" s="375" t="s">
        <v>1966</v>
      </c>
      <c r="D1484" s="375" t="s">
        <v>2129</v>
      </c>
      <c r="E1484" s="375" t="s">
        <v>1965</v>
      </c>
      <c r="F1484" s="375" t="s">
        <v>2130</v>
      </c>
    </row>
    <row r="1485" spans="1:6">
      <c r="A1485" s="375" t="s">
        <v>1980</v>
      </c>
      <c r="B1485" s="375" t="s">
        <v>393</v>
      </c>
      <c r="C1485" s="375" t="s">
        <v>1966</v>
      </c>
      <c r="D1485" s="375" t="s">
        <v>2129</v>
      </c>
      <c r="E1485" s="375" t="s">
        <v>1966</v>
      </c>
      <c r="F1485" s="375" t="s">
        <v>2129</v>
      </c>
    </row>
    <row r="1486" spans="1:6">
      <c r="A1486" s="375" t="s">
        <v>1981</v>
      </c>
      <c r="B1486" s="375" t="s">
        <v>2131</v>
      </c>
      <c r="C1486" s="375" t="s">
        <v>1964</v>
      </c>
      <c r="D1486" s="375" t="s">
        <v>2132</v>
      </c>
      <c r="E1486" s="375" t="s">
        <v>1964</v>
      </c>
      <c r="F1486" s="375" t="s">
        <v>2131</v>
      </c>
    </row>
    <row r="1487" spans="1:6">
      <c r="A1487" s="375" t="s">
        <v>1981</v>
      </c>
      <c r="B1487" s="375" t="s">
        <v>2131</v>
      </c>
      <c r="C1487" s="375" t="s">
        <v>1964</v>
      </c>
      <c r="D1487" s="375" t="s">
        <v>2132</v>
      </c>
      <c r="E1487" s="375" t="s">
        <v>1965</v>
      </c>
      <c r="F1487" s="375" t="s">
        <v>468</v>
      </c>
    </row>
    <row r="1488" spans="1:6">
      <c r="A1488" s="375" t="s">
        <v>1981</v>
      </c>
      <c r="B1488" s="375" t="s">
        <v>2131</v>
      </c>
      <c r="C1488" s="375" t="s">
        <v>1964</v>
      </c>
      <c r="D1488" s="375" t="s">
        <v>2132</v>
      </c>
      <c r="E1488" s="375" t="s">
        <v>1966</v>
      </c>
      <c r="F1488" s="375" t="s">
        <v>469</v>
      </c>
    </row>
    <row r="1489" spans="1:6">
      <c r="A1489" s="375" t="s">
        <v>1981</v>
      </c>
      <c r="B1489" s="375" t="s">
        <v>2131</v>
      </c>
      <c r="C1489" s="375" t="s">
        <v>1964</v>
      </c>
      <c r="D1489" s="375" t="s">
        <v>2132</v>
      </c>
      <c r="E1489" s="375" t="s">
        <v>1967</v>
      </c>
      <c r="F1489" s="375" t="s">
        <v>470</v>
      </c>
    </row>
    <row r="1490" spans="1:6">
      <c r="A1490" s="375" t="s">
        <v>1981</v>
      </c>
      <c r="B1490" s="375" t="s">
        <v>2131</v>
      </c>
      <c r="C1490" s="375" t="s">
        <v>1964</v>
      </c>
      <c r="D1490" s="375" t="s">
        <v>2132</v>
      </c>
      <c r="E1490" s="375" t="s">
        <v>1968</v>
      </c>
      <c r="F1490" s="375" t="s">
        <v>1221</v>
      </c>
    </row>
    <row r="1491" spans="1:6">
      <c r="A1491" s="375" t="s">
        <v>1981</v>
      </c>
      <c r="B1491" s="375" t="s">
        <v>2131</v>
      </c>
      <c r="C1491" s="375" t="s">
        <v>1964</v>
      </c>
      <c r="D1491" s="375" t="s">
        <v>2132</v>
      </c>
      <c r="E1491" s="375" t="s">
        <v>1969</v>
      </c>
      <c r="F1491" s="375" t="s">
        <v>471</v>
      </c>
    </row>
    <row r="1492" spans="1:6">
      <c r="A1492" s="375" t="s">
        <v>1981</v>
      </c>
      <c r="B1492" s="375" t="s">
        <v>2131</v>
      </c>
      <c r="C1492" s="375" t="s">
        <v>1965</v>
      </c>
      <c r="D1492" s="375" t="s">
        <v>472</v>
      </c>
      <c r="E1492" s="375" t="s">
        <v>1964</v>
      </c>
      <c r="F1492" s="375" t="s">
        <v>473</v>
      </c>
    </row>
    <row r="1493" spans="1:6">
      <c r="A1493" s="375" t="s">
        <v>1981</v>
      </c>
      <c r="B1493" s="375" t="s">
        <v>2131</v>
      </c>
      <c r="C1493" s="375" t="s">
        <v>1965</v>
      </c>
      <c r="D1493" s="375" t="s">
        <v>472</v>
      </c>
      <c r="E1493" s="375" t="s">
        <v>1965</v>
      </c>
      <c r="F1493" s="375" t="s">
        <v>474</v>
      </c>
    </row>
    <row r="1494" spans="1:6">
      <c r="A1494" s="375" t="s">
        <v>1981</v>
      </c>
      <c r="B1494" s="375" t="s">
        <v>2131</v>
      </c>
      <c r="C1494" s="375" t="s">
        <v>1965</v>
      </c>
      <c r="D1494" s="375" t="s">
        <v>472</v>
      </c>
      <c r="E1494" s="375" t="s">
        <v>1966</v>
      </c>
      <c r="F1494" s="375" t="s">
        <v>475</v>
      </c>
    </row>
    <row r="1495" spans="1:6">
      <c r="A1495" s="375" t="s">
        <v>1981</v>
      </c>
      <c r="B1495" s="375" t="s">
        <v>2131</v>
      </c>
      <c r="C1495" s="375" t="s">
        <v>1965</v>
      </c>
      <c r="D1495" s="375" t="s">
        <v>472</v>
      </c>
      <c r="E1495" s="375" t="s">
        <v>1967</v>
      </c>
      <c r="F1495" s="375" t="s">
        <v>3521</v>
      </c>
    </row>
    <row r="1496" spans="1:6">
      <c r="A1496" s="375" t="s">
        <v>1981</v>
      </c>
      <c r="B1496" s="375" t="s">
        <v>2131</v>
      </c>
      <c r="C1496" s="375" t="s">
        <v>1965</v>
      </c>
      <c r="D1496" s="375" t="s">
        <v>472</v>
      </c>
      <c r="E1496" s="375" t="s">
        <v>1968</v>
      </c>
      <c r="F1496" s="375" t="s">
        <v>476</v>
      </c>
    </row>
    <row r="1497" spans="1:6">
      <c r="A1497" s="375" t="s">
        <v>1981</v>
      </c>
      <c r="B1497" s="375" t="s">
        <v>2131</v>
      </c>
      <c r="C1497" s="375" t="s">
        <v>1965</v>
      </c>
      <c r="D1497" s="375" t="s">
        <v>472</v>
      </c>
      <c r="E1497" s="375" t="s">
        <v>1969</v>
      </c>
      <c r="F1497" s="375" t="s">
        <v>477</v>
      </c>
    </row>
    <row r="1498" spans="1:6">
      <c r="A1498" s="375" t="s">
        <v>1981</v>
      </c>
      <c r="B1498" s="375" t="s">
        <v>2131</v>
      </c>
      <c r="C1498" s="375" t="s">
        <v>1965</v>
      </c>
      <c r="D1498" s="375" t="s">
        <v>472</v>
      </c>
      <c r="E1498" s="375" t="s">
        <v>1970</v>
      </c>
      <c r="F1498" s="375" t="s">
        <v>4130</v>
      </c>
    </row>
    <row r="1499" spans="1:6">
      <c r="A1499" s="375" t="s">
        <v>1981</v>
      </c>
      <c r="B1499" s="375" t="s">
        <v>2131</v>
      </c>
      <c r="C1499" s="375" t="s">
        <v>1965</v>
      </c>
      <c r="D1499" s="375" t="s">
        <v>472</v>
      </c>
      <c r="E1499" s="375" t="s">
        <v>1971</v>
      </c>
      <c r="F1499" s="375" t="s">
        <v>4131</v>
      </c>
    </row>
    <row r="1500" spans="1:6">
      <c r="A1500" s="375" t="s">
        <v>1981</v>
      </c>
      <c r="B1500" s="375" t="s">
        <v>2131</v>
      </c>
      <c r="C1500" s="375" t="s">
        <v>1965</v>
      </c>
      <c r="D1500" s="375" t="s">
        <v>472</v>
      </c>
      <c r="E1500" s="375" t="s">
        <v>1972</v>
      </c>
      <c r="F1500" s="375" t="s">
        <v>4132</v>
      </c>
    </row>
    <row r="1501" spans="1:6">
      <c r="A1501" s="375" t="s">
        <v>1981</v>
      </c>
      <c r="B1501" s="375" t="s">
        <v>2131</v>
      </c>
      <c r="C1501" s="375" t="s">
        <v>1965</v>
      </c>
      <c r="D1501" s="375" t="s">
        <v>472</v>
      </c>
      <c r="E1501" s="375" t="s">
        <v>1973</v>
      </c>
      <c r="F1501" s="375" t="s">
        <v>4133</v>
      </c>
    </row>
    <row r="1502" spans="1:6">
      <c r="A1502" s="375" t="s">
        <v>1981</v>
      </c>
      <c r="B1502" s="375" t="s">
        <v>2131</v>
      </c>
      <c r="C1502" s="375" t="s">
        <v>1965</v>
      </c>
      <c r="D1502" s="375" t="s">
        <v>472</v>
      </c>
      <c r="E1502" s="375" t="s">
        <v>1974</v>
      </c>
      <c r="F1502" s="375" t="s">
        <v>4134</v>
      </c>
    </row>
    <row r="1503" spans="1:6">
      <c r="A1503" s="375" t="s">
        <v>1981</v>
      </c>
      <c r="B1503" s="375" t="s">
        <v>2131</v>
      </c>
      <c r="C1503" s="375" t="s">
        <v>1966</v>
      </c>
      <c r="D1503" s="375" t="s">
        <v>4135</v>
      </c>
      <c r="E1503" s="375" t="s">
        <v>1964</v>
      </c>
      <c r="F1503" s="375" t="s">
        <v>4135</v>
      </c>
    </row>
    <row r="1504" spans="1:6">
      <c r="A1504" s="375" t="s">
        <v>1981</v>
      </c>
      <c r="B1504" s="375" t="s">
        <v>2131</v>
      </c>
      <c r="C1504" s="375" t="s">
        <v>1966</v>
      </c>
      <c r="D1504" s="375" t="s">
        <v>4135</v>
      </c>
      <c r="E1504" s="375" t="s">
        <v>1965</v>
      </c>
      <c r="F1504" s="375" t="s">
        <v>4136</v>
      </c>
    </row>
    <row r="1505" spans="1:6">
      <c r="A1505" s="375" t="s">
        <v>1981</v>
      </c>
      <c r="B1505" s="375" t="s">
        <v>2131</v>
      </c>
      <c r="C1505" s="375" t="s">
        <v>1966</v>
      </c>
      <c r="D1505" s="375" t="s">
        <v>4135</v>
      </c>
      <c r="E1505" s="375" t="s">
        <v>1966</v>
      </c>
      <c r="F1505" s="375" t="s">
        <v>4137</v>
      </c>
    </row>
    <row r="1506" spans="1:6">
      <c r="A1506" s="375" t="s">
        <v>1982</v>
      </c>
      <c r="B1506" s="375" t="s">
        <v>4138</v>
      </c>
      <c r="C1506" s="375" t="s">
        <v>1964</v>
      </c>
      <c r="D1506" s="375" t="s">
        <v>4138</v>
      </c>
      <c r="E1506" s="375" t="s">
        <v>1964</v>
      </c>
      <c r="F1506" s="375" t="s">
        <v>1330</v>
      </c>
    </row>
    <row r="1507" spans="1:6">
      <c r="A1507" s="375" t="s">
        <v>1982</v>
      </c>
      <c r="B1507" s="375" t="s">
        <v>4138</v>
      </c>
      <c r="C1507" s="375" t="s">
        <v>1964</v>
      </c>
      <c r="D1507" s="375" t="s">
        <v>4138</v>
      </c>
      <c r="E1507" s="375" t="s">
        <v>1965</v>
      </c>
      <c r="F1507" s="375" t="s">
        <v>1331</v>
      </c>
    </row>
    <row r="1508" spans="1:6">
      <c r="A1508" s="375" t="s">
        <v>1982</v>
      </c>
      <c r="B1508" s="375" t="s">
        <v>4138</v>
      </c>
      <c r="C1508" s="375" t="s">
        <v>1964</v>
      </c>
      <c r="D1508" s="375" t="s">
        <v>4138</v>
      </c>
      <c r="E1508" s="375" t="s">
        <v>1966</v>
      </c>
      <c r="F1508" s="375" t="s">
        <v>1332</v>
      </c>
    </row>
    <row r="1509" spans="1:6">
      <c r="A1509" s="375" t="s">
        <v>1982</v>
      </c>
      <c r="B1509" s="375" t="s">
        <v>4138</v>
      </c>
      <c r="C1509" s="375" t="s">
        <v>1964</v>
      </c>
      <c r="D1509" s="375" t="s">
        <v>4138</v>
      </c>
      <c r="E1509" s="375" t="s">
        <v>1967</v>
      </c>
      <c r="F1509" s="375" t="s">
        <v>1333</v>
      </c>
    </row>
    <row r="1510" spans="1:6">
      <c r="A1510" s="375" t="s">
        <v>1982</v>
      </c>
      <c r="B1510" s="375" t="s">
        <v>4138</v>
      </c>
      <c r="C1510" s="375" t="s">
        <v>1964</v>
      </c>
      <c r="D1510" s="375" t="s">
        <v>4138</v>
      </c>
      <c r="E1510" s="375" t="s">
        <v>1968</v>
      </c>
      <c r="F1510" s="375" t="s">
        <v>1334</v>
      </c>
    </row>
    <row r="1511" spans="1:6">
      <c r="A1511" s="375" t="s">
        <v>1982</v>
      </c>
      <c r="B1511" s="375" t="s">
        <v>4138</v>
      </c>
      <c r="C1511" s="375" t="s">
        <v>1964</v>
      </c>
      <c r="D1511" s="375" t="s">
        <v>4138</v>
      </c>
      <c r="E1511" s="375" t="s">
        <v>1969</v>
      </c>
      <c r="F1511" s="375" t="s">
        <v>1335</v>
      </c>
    </row>
    <row r="1512" spans="1:6">
      <c r="A1512" s="375" t="s">
        <v>1982</v>
      </c>
      <c r="B1512" s="375" t="s">
        <v>4138</v>
      </c>
      <c r="C1512" s="375" t="s">
        <v>1964</v>
      </c>
      <c r="D1512" s="375" t="s">
        <v>4138</v>
      </c>
      <c r="E1512" s="375" t="s">
        <v>1970</v>
      </c>
      <c r="F1512" s="375" t="s">
        <v>2451</v>
      </c>
    </row>
    <row r="1513" spans="1:6">
      <c r="A1513" s="375" t="s">
        <v>1982</v>
      </c>
      <c r="B1513" s="375" t="s">
        <v>4138</v>
      </c>
      <c r="C1513" s="375" t="s">
        <v>1964</v>
      </c>
      <c r="D1513" s="375" t="s">
        <v>4138</v>
      </c>
      <c r="E1513" s="375" t="s">
        <v>1971</v>
      </c>
      <c r="F1513" s="375" t="s">
        <v>3627</v>
      </c>
    </row>
    <row r="1514" spans="1:6">
      <c r="A1514" s="375" t="s">
        <v>1982</v>
      </c>
      <c r="B1514" s="375" t="s">
        <v>4138</v>
      </c>
      <c r="C1514" s="375" t="s">
        <v>1964</v>
      </c>
      <c r="D1514" s="375" t="s">
        <v>4138</v>
      </c>
      <c r="E1514" s="375" t="s">
        <v>1972</v>
      </c>
      <c r="F1514" s="375" t="s">
        <v>1336</v>
      </c>
    </row>
    <row r="1515" spans="1:6">
      <c r="A1515" s="375" t="s">
        <v>1982</v>
      </c>
      <c r="B1515" s="375" t="s">
        <v>4138</v>
      </c>
      <c r="C1515" s="375" t="s">
        <v>1964</v>
      </c>
      <c r="D1515" s="375" t="s">
        <v>4138</v>
      </c>
      <c r="E1515" s="375" t="s">
        <v>1973</v>
      </c>
      <c r="F1515" s="375" t="s">
        <v>1387</v>
      </c>
    </row>
    <row r="1516" spans="1:6">
      <c r="A1516" s="375" t="s">
        <v>1982</v>
      </c>
      <c r="B1516" s="375" t="s">
        <v>4138</v>
      </c>
      <c r="C1516" s="375" t="s">
        <v>1964</v>
      </c>
      <c r="D1516" s="375" t="s">
        <v>4138</v>
      </c>
      <c r="E1516" s="375" t="s">
        <v>1974</v>
      </c>
      <c r="F1516" s="375" t="s">
        <v>1388</v>
      </c>
    </row>
    <row r="1517" spans="1:6">
      <c r="A1517" s="375" t="s">
        <v>1982</v>
      </c>
      <c r="B1517" s="375" t="s">
        <v>4138</v>
      </c>
      <c r="C1517" s="375" t="s">
        <v>1964</v>
      </c>
      <c r="D1517" s="375" t="s">
        <v>4138</v>
      </c>
      <c r="E1517" s="375" t="s">
        <v>1975</v>
      </c>
      <c r="F1517" s="375" t="s">
        <v>3028</v>
      </c>
    </row>
    <row r="1518" spans="1:6">
      <c r="A1518" s="375" t="s">
        <v>1982</v>
      </c>
      <c r="B1518" s="375" t="s">
        <v>4138</v>
      </c>
      <c r="C1518" s="375" t="s">
        <v>1964</v>
      </c>
      <c r="D1518" s="375" t="s">
        <v>4138</v>
      </c>
      <c r="E1518" s="375" t="s">
        <v>1976</v>
      </c>
      <c r="F1518" s="375" t="s">
        <v>1179</v>
      </c>
    </row>
    <row r="1519" spans="1:6">
      <c r="A1519" s="375" t="s">
        <v>1982</v>
      </c>
      <c r="B1519" s="375" t="s">
        <v>4138</v>
      </c>
      <c r="C1519" s="375" t="s">
        <v>1965</v>
      </c>
      <c r="D1519" s="375" t="s">
        <v>3628</v>
      </c>
      <c r="E1519" s="375" t="s">
        <v>1964</v>
      </c>
      <c r="F1519" s="375" t="s">
        <v>2218</v>
      </c>
    </row>
    <row r="1520" spans="1:6">
      <c r="A1520" s="375" t="s">
        <v>1982</v>
      </c>
      <c r="B1520" s="375" t="s">
        <v>4138</v>
      </c>
      <c r="C1520" s="375" t="s">
        <v>1965</v>
      </c>
      <c r="D1520" s="375" t="s">
        <v>3628</v>
      </c>
      <c r="E1520" s="375" t="s">
        <v>1965</v>
      </c>
      <c r="F1520" s="375" t="s">
        <v>1282</v>
      </c>
    </row>
    <row r="1521" spans="1:6">
      <c r="A1521" s="375" t="s">
        <v>1982</v>
      </c>
      <c r="B1521" s="375" t="s">
        <v>4138</v>
      </c>
      <c r="C1521" s="375" t="s">
        <v>1965</v>
      </c>
      <c r="D1521" s="375" t="s">
        <v>3628</v>
      </c>
      <c r="E1521" s="375" t="s">
        <v>1966</v>
      </c>
      <c r="F1521" s="375" t="s">
        <v>1283</v>
      </c>
    </row>
    <row r="1522" spans="1:6">
      <c r="A1522" s="375" t="s">
        <v>1982</v>
      </c>
      <c r="B1522" s="375" t="s">
        <v>4138</v>
      </c>
      <c r="C1522" s="375" t="s">
        <v>1965</v>
      </c>
      <c r="D1522" s="375" t="s">
        <v>3628</v>
      </c>
      <c r="E1522" s="375" t="s">
        <v>1967</v>
      </c>
      <c r="F1522" s="375" t="s">
        <v>1284</v>
      </c>
    </row>
    <row r="1523" spans="1:6">
      <c r="A1523" s="375" t="s">
        <v>1982</v>
      </c>
      <c r="B1523" s="375" t="s">
        <v>4138</v>
      </c>
      <c r="C1523" s="375" t="s">
        <v>1965</v>
      </c>
      <c r="D1523" s="375" t="s">
        <v>3628</v>
      </c>
      <c r="E1523" s="375" t="s">
        <v>1968</v>
      </c>
      <c r="F1523" s="375" t="s">
        <v>1285</v>
      </c>
    </row>
    <row r="1524" spans="1:6">
      <c r="A1524" s="375" t="s">
        <v>1982</v>
      </c>
      <c r="B1524" s="375" t="s">
        <v>4138</v>
      </c>
      <c r="C1524" s="375" t="s">
        <v>1965</v>
      </c>
      <c r="D1524" s="375" t="s">
        <v>3628</v>
      </c>
      <c r="E1524" s="375" t="s">
        <v>1969</v>
      </c>
      <c r="F1524" s="375" t="s">
        <v>1286</v>
      </c>
    </row>
    <row r="1525" spans="1:6">
      <c r="A1525" s="375" t="s">
        <v>1982</v>
      </c>
      <c r="B1525" s="375" t="s">
        <v>4138</v>
      </c>
      <c r="C1525" s="375" t="s">
        <v>1965</v>
      </c>
      <c r="D1525" s="375" t="s">
        <v>3628</v>
      </c>
      <c r="E1525" s="375" t="s">
        <v>1970</v>
      </c>
      <c r="F1525" s="375" t="s">
        <v>1287</v>
      </c>
    </row>
    <row r="1526" spans="1:6">
      <c r="A1526" s="375" t="s">
        <v>1982</v>
      </c>
      <c r="B1526" s="375" t="s">
        <v>4138</v>
      </c>
      <c r="C1526" s="375" t="s">
        <v>1965</v>
      </c>
      <c r="D1526" s="375" t="s">
        <v>3628</v>
      </c>
      <c r="E1526" s="375" t="s">
        <v>1971</v>
      </c>
      <c r="F1526" s="375" t="s">
        <v>3580</v>
      </c>
    </row>
    <row r="1527" spans="1:6">
      <c r="A1527" s="375" t="s">
        <v>1982</v>
      </c>
      <c r="B1527" s="375" t="s">
        <v>4138</v>
      </c>
      <c r="C1527" s="375" t="s">
        <v>1966</v>
      </c>
      <c r="D1527" s="375" t="s">
        <v>1288</v>
      </c>
      <c r="E1527" s="375" t="s">
        <v>1964</v>
      </c>
      <c r="F1527" s="375" t="s">
        <v>1288</v>
      </c>
    </row>
    <row r="1528" spans="1:6">
      <c r="A1528" s="375" t="s">
        <v>1982</v>
      </c>
      <c r="B1528" s="375" t="s">
        <v>4138</v>
      </c>
      <c r="C1528" s="375" t="s">
        <v>1966</v>
      </c>
      <c r="D1528" s="375" t="s">
        <v>1288</v>
      </c>
      <c r="E1528" s="375" t="s">
        <v>1965</v>
      </c>
      <c r="F1528" s="375" t="s">
        <v>1289</v>
      </c>
    </row>
    <row r="1529" spans="1:6">
      <c r="A1529" s="375" t="s">
        <v>1982</v>
      </c>
      <c r="B1529" s="375" t="s">
        <v>4138</v>
      </c>
      <c r="C1529" s="375" t="s">
        <v>1966</v>
      </c>
      <c r="D1529" s="375" t="s">
        <v>1288</v>
      </c>
      <c r="E1529" s="375" t="s">
        <v>1966</v>
      </c>
      <c r="F1529" s="375" t="s">
        <v>1290</v>
      </c>
    </row>
    <row r="1530" spans="1:6">
      <c r="A1530" s="375" t="s">
        <v>1982</v>
      </c>
      <c r="B1530" s="375" t="s">
        <v>4138</v>
      </c>
      <c r="C1530" s="375" t="s">
        <v>1966</v>
      </c>
      <c r="D1530" s="375" t="s">
        <v>1288</v>
      </c>
      <c r="E1530" s="375" t="s">
        <v>1967</v>
      </c>
      <c r="F1530" s="375" t="s">
        <v>1291</v>
      </c>
    </row>
    <row r="1531" spans="1:6">
      <c r="A1531" s="375" t="s">
        <v>1982</v>
      </c>
      <c r="B1531" s="375" t="s">
        <v>4138</v>
      </c>
      <c r="C1531" s="375" t="s">
        <v>1966</v>
      </c>
      <c r="D1531" s="375" t="s">
        <v>1288</v>
      </c>
      <c r="E1531" s="375" t="s">
        <v>1968</v>
      </c>
      <c r="F1531" s="375" t="s">
        <v>1292</v>
      </c>
    </row>
    <row r="1532" spans="1:6">
      <c r="A1532" s="375" t="s">
        <v>1982</v>
      </c>
      <c r="B1532" s="375" t="s">
        <v>4138</v>
      </c>
      <c r="C1532" s="375" t="s">
        <v>1966</v>
      </c>
      <c r="D1532" s="375" t="s">
        <v>1288</v>
      </c>
      <c r="E1532" s="375" t="s">
        <v>1969</v>
      </c>
      <c r="F1532" s="375" t="s">
        <v>1293</v>
      </c>
    </row>
    <row r="1533" spans="1:6">
      <c r="A1533" s="375" t="s">
        <v>1982</v>
      </c>
      <c r="B1533" s="375" t="s">
        <v>4138</v>
      </c>
      <c r="C1533" s="375" t="s">
        <v>1966</v>
      </c>
      <c r="D1533" s="375" t="s">
        <v>1288</v>
      </c>
      <c r="E1533" s="375" t="s">
        <v>1970</v>
      </c>
      <c r="F1533" s="375" t="s">
        <v>1294</v>
      </c>
    </row>
    <row r="1534" spans="1:6">
      <c r="A1534" s="375" t="s">
        <v>4150</v>
      </c>
      <c r="B1534" s="375" t="s">
        <v>1295</v>
      </c>
      <c r="C1534" s="375" t="s">
        <v>1964</v>
      </c>
      <c r="D1534" s="375" t="s">
        <v>1295</v>
      </c>
      <c r="E1534" s="375" t="s">
        <v>1964</v>
      </c>
      <c r="F1534" s="375" t="s">
        <v>1295</v>
      </c>
    </row>
    <row r="1535" spans="1:6">
      <c r="A1535" s="375" t="s">
        <v>4150</v>
      </c>
      <c r="B1535" s="375" t="s">
        <v>1295</v>
      </c>
      <c r="C1535" s="375" t="s">
        <v>1964</v>
      </c>
      <c r="D1535" s="375" t="s">
        <v>1295</v>
      </c>
      <c r="E1535" s="375" t="s">
        <v>1967</v>
      </c>
      <c r="F1535" s="375" t="s">
        <v>1431</v>
      </c>
    </row>
    <row r="1536" spans="1:6">
      <c r="A1536" s="375" t="s">
        <v>4150</v>
      </c>
      <c r="B1536" s="375" t="s">
        <v>1295</v>
      </c>
      <c r="C1536" s="375" t="s">
        <v>1964</v>
      </c>
      <c r="D1536" s="375" t="s">
        <v>1295</v>
      </c>
      <c r="E1536" s="375" t="s">
        <v>1968</v>
      </c>
      <c r="F1536" s="375" t="s">
        <v>1296</v>
      </c>
    </row>
    <row r="1537" spans="1:6">
      <c r="A1537" s="375" t="s">
        <v>4150</v>
      </c>
      <c r="B1537" s="375" t="s">
        <v>1295</v>
      </c>
      <c r="C1537" s="375" t="s">
        <v>1964</v>
      </c>
      <c r="D1537" s="375" t="s">
        <v>1295</v>
      </c>
      <c r="E1537" s="375" t="s">
        <v>1970</v>
      </c>
      <c r="F1537" s="375" t="s">
        <v>1297</v>
      </c>
    </row>
    <row r="1538" spans="1:6">
      <c r="A1538" s="375" t="s">
        <v>4150</v>
      </c>
      <c r="B1538" s="375" t="s">
        <v>1295</v>
      </c>
      <c r="C1538" s="375" t="s">
        <v>1964</v>
      </c>
      <c r="D1538" s="375" t="s">
        <v>1295</v>
      </c>
      <c r="E1538" s="375" t="s">
        <v>1971</v>
      </c>
      <c r="F1538" s="375" t="s">
        <v>1298</v>
      </c>
    </row>
    <row r="1539" spans="1:6">
      <c r="A1539" s="375" t="s">
        <v>4150</v>
      </c>
      <c r="B1539" s="375" t="s">
        <v>1295</v>
      </c>
      <c r="C1539" s="375" t="s">
        <v>1964</v>
      </c>
      <c r="D1539" s="375" t="s">
        <v>1295</v>
      </c>
      <c r="E1539" s="375" t="s">
        <v>1972</v>
      </c>
      <c r="F1539" s="375" t="s">
        <v>1299</v>
      </c>
    </row>
    <row r="1540" spans="1:6">
      <c r="A1540" s="375" t="s">
        <v>4150</v>
      </c>
      <c r="B1540" s="375" t="s">
        <v>1295</v>
      </c>
      <c r="C1540" s="375" t="s">
        <v>1964</v>
      </c>
      <c r="D1540" s="375" t="s">
        <v>1295</v>
      </c>
      <c r="E1540" s="375" t="s">
        <v>1973</v>
      </c>
      <c r="F1540" s="375" t="s">
        <v>2176</v>
      </c>
    </row>
    <row r="1541" spans="1:6">
      <c r="A1541" s="375" t="s">
        <v>4150</v>
      </c>
      <c r="B1541" s="375" t="s">
        <v>1295</v>
      </c>
      <c r="C1541" s="375" t="s">
        <v>1964</v>
      </c>
      <c r="D1541" s="375" t="s">
        <v>1295</v>
      </c>
      <c r="E1541" s="375" t="s">
        <v>1974</v>
      </c>
      <c r="F1541" s="375" t="s">
        <v>1300</v>
      </c>
    </row>
    <row r="1542" spans="1:6">
      <c r="A1542" s="375" t="s">
        <v>4150</v>
      </c>
      <c r="B1542" s="375" t="s">
        <v>1295</v>
      </c>
      <c r="C1542" s="375" t="s">
        <v>1964</v>
      </c>
      <c r="D1542" s="375" t="s">
        <v>1295</v>
      </c>
      <c r="E1542" s="375" t="s">
        <v>1977</v>
      </c>
      <c r="F1542" s="375" t="s">
        <v>1301</v>
      </c>
    </row>
    <row r="1543" spans="1:6">
      <c r="A1543" s="375" t="s">
        <v>4150</v>
      </c>
      <c r="B1543" s="375" t="s">
        <v>1295</v>
      </c>
      <c r="C1543" s="375" t="s">
        <v>1965</v>
      </c>
      <c r="D1543" s="375" t="s">
        <v>1302</v>
      </c>
      <c r="E1543" s="375" t="s">
        <v>1964</v>
      </c>
      <c r="F1543" s="375" t="s">
        <v>1302</v>
      </c>
    </row>
    <row r="1544" spans="1:6">
      <c r="A1544" s="375" t="s">
        <v>4150</v>
      </c>
      <c r="B1544" s="375" t="s">
        <v>1295</v>
      </c>
      <c r="C1544" s="375" t="s">
        <v>1965</v>
      </c>
      <c r="D1544" s="375" t="s">
        <v>1302</v>
      </c>
      <c r="E1544" s="375" t="s">
        <v>1965</v>
      </c>
      <c r="F1544" s="375" t="s">
        <v>1303</v>
      </c>
    </row>
    <row r="1545" spans="1:6">
      <c r="A1545" s="375" t="s">
        <v>4150</v>
      </c>
      <c r="B1545" s="375" t="s">
        <v>1295</v>
      </c>
      <c r="C1545" s="375" t="s">
        <v>1965</v>
      </c>
      <c r="D1545" s="375" t="s">
        <v>1302</v>
      </c>
      <c r="E1545" s="375" t="s">
        <v>1966</v>
      </c>
      <c r="F1545" s="375" t="s">
        <v>3418</v>
      </c>
    </row>
    <row r="1546" spans="1:6">
      <c r="A1546" s="375" t="s">
        <v>4150</v>
      </c>
      <c r="B1546" s="375" t="s">
        <v>1295</v>
      </c>
      <c r="C1546" s="375" t="s">
        <v>1965</v>
      </c>
      <c r="D1546" s="375" t="s">
        <v>1302</v>
      </c>
      <c r="E1546" s="375" t="s">
        <v>1967</v>
      </c>
      <c r="F1546" s="375" t="s">
        <v>2884</v>
      </c>
    </row>
    <row r="1547" spans="1:6">
      <c r="A1547" s="375" t="s">
        <v>4150</v>
      </c>
      <c r="B1547" s="375" t="s">
        <v>1295</v>
      </c>
      <c r="C1547" s="375" t="s">
        <v>1965</v>
      </c>
      <c r="D1547" s="375" t="s">
        <v>1302</v>
      </c>
      <c r="E1547" s="375" t="s">
        <v>1968</v>
      </c>
      <c r="F1547" s="375" t="s">
        <v>3419</v>
      </c>
    </row>
    <row r="1548" spans="1:6">
      <c r="A1548" s="375" t="s">
        <v>4150</v>
      </c>
      <c r="B1548" s="375" t="s">
        <v>1295</v>
      </c>
      <c r="C1548" s="375" t="s">
        <v>1965</v>
      </c>
      <c r="D1548" s="375" t="s">
        <v>1302</v>
      </c>
      <c r="E1548" s="375" t="s">
        <v>1969</v>
      </c>
      <c r="F1548" s="375" t="s">
        <v>3420</v>
      </c>
    </row>
    <row r="1549" spans="1:6">
      <c r="A1549" s="375" t="s">
        <v>4150</v>
      </c>
      <c r="B1549" s="375" t="s">
        <v>1295</v>
      </c>
      <c r="C1549" s="375" t="s">
        <v>1965</v>
      </c>
      <c r="D1549" s="375" t="s">
        <v>1302</v>
      </c>
      <c r="E1549" s="375" t="s">
        <v>1970</v>
      </c>
      <c r="F1549" s="375" t="s">
        <v>3421</v>
      </c>
    </row>
    <row r="1550" spans="1:6">
      <c r="A1550" s="375" t="s">
        <v>4150</v>
      </c>
      <c r="B1550" s="375" t="s">
        <v>1295</v>
      </c>
      <c r="C1550" s="375" t="s">
        <v>1965</v>
      </c>
      <c r="D1550" s="375" t="s">
        <v>1302</v>
      </c>
      <c r="E1550" s="375" t="s">
        <v>1971</v>
      </c>
      <c r="F1550" s="375" t="s">
        <v>3422</v>
      </c>
    </row>
    <row r="1551" spans="1:6">
      <c r="A1551" s="375" t="s">
        <v>4150</v>
      </c>
      <c r="B1551" s="375" t="s">
        <v>1295</v>
      </c>
      <c r="C1551" s="375" t="s">
        <v>1965</v>
      </c>
      <c r="D1551" s="375" t="s">
        <v>1302</v>
      </c>
      <c r="E1551" s="375" t="s">
        <v>1972</v>
      </c>
      <c r="F1551" s="375" t="s">
        <v>3423</v>
      </c>
    </row>
    <row r="1552" spans="1:6">
      <c r="A1552" s="375" t="s">
        <v>4150</v>
      </c>
      <c r="B1552" s="375" t="s">
        <v>1295</v>
      </c>
      <c r="C1552" s="375" t="s">
        <v>1965</v>
      </c>
      <c r="D1552" s="375" t="s">
        <v>1302</v>
      </c>
      <c r="E1552" s="375" t="s">
        <v>1973</v>
      </c>
      <c r="F1552" s="375" t="s">
        <v>3424</v>
      </c>
    </row>
    <row r="1553" spans="1:6">
      <c r="A1553" s="375" t="s">
        <v>4150</v>
      </c>
      <c r="B1553" s="375" t="s">
        <v>1295</v>
      </c>
      <c r="C1553" s="375" t="s">
        <v>1966</v>
      </c>
      <c r="D1553" s="375" t="s">
        <v>1290</v>
      </c>
      <c r="E1553" s="375" t="s">
        <v>1964</v>
      </c>
      <c r="F1553" s="375" t="s">
        <v>1290</v>
      </c>
    </row>
    <row r="1554" spans="1:6">
      <c r="A1554" s="375" t="s">
        <v>4150</v>
      </c>
      <c r="B1554" s="375" t="s">
        <v>1295</v>
      </c>
      <c r="C1554" s="375" t="s">
        <v>1966</v>
      </c>
      <c r="D1554" s="375" t="s">
        <v>1290</v>
      </c>
      <c r="E1554" s="375" t="s">
        <v>1965</v>
      </c>
      <c r="F1554" s="375" t="s">
        <v>3425</v>
      </c>
    </row>
    <row r="1555" spans="1:6">
      <c r="A1555" s="375" t="s">
        <v>4150</v>
      </c>
      <c r="B1555" s="375" t="s">
        <v>1295</v>
      </c>
      <c r="C1555" s="375" t="s">
        <v>1966</v>
      </c>
      <c r="D1555" s="375" t="s">
        <v>1290</v>
      </c>
      <c r="E1555" s="375" t="s">
        <v>1966</v>
      </c>
      <c r="F1555" s="375" t="s">
        <v>3432</v>
      </c>
    </row>
    <row r="1556" spans="1:6">
      <c r="A1556" s="375" t="s">
        <v>4150</v>
      </c>
      <c r="B1556" s="375" t="s">
        <v>1295</v>
      </c>
      <c r="C1556" s="375" t="s">
        <v>1966</v>
      </c>
      <c r="D1556" s="375" t="s">
        <v>1290</v>
      </c>
      <c r="E1556" s="375" t="s">
        <v>1967</v>
      </c>
      <c r="F1556" s="375" t="s">
        <v>3433</v>
      </c>
    </row>
    <row r="1557" spans="1:6">
      <c r="A1557" s="375" t="s">
        <v>4150</v>
      </c>
      <c r="B1557" s="375" t="s">
        <v>1295</v>
      </c>
      <c r="C1557" s="375" t="s">
        <v>1966</v>
      </c>
      <c r="D1557" s="375" t="s">
        <v>1290</v>
      </c>
      <c r="E1557" s="375" t="s">
        <v>1968</v>
      </c>
      <c r="F1557" s="375" t="s">
        <v>3434</v>
      </c>
    </row>
    <row r="1558" spans="1:6">
      <c r="A1558" s="375" t="s">
        <v>4150</v>
      </c>
      <c r="B1558" s="375" t="s">
        <v>1295</v>
      </c>
      <c r="C1558" s="375" t="s">
        <v>1966</v>
      </c>
      <c r="D1558" s="375" t="s">
        <v>1290</v>
      </c>
      <c r="E1558" s="375" t="s">
        <v>1969</v>
      </c>
      <c r="F1558" s="375" t="s">
        <v>3435</v>
      </c>
    </row>
    <row r="1559" spans="1:6">
      <c r="A1559" s="375" t="s">
        <v>4150</v>
      </c>
      <c r="B1559" s="375" t="s">
        <v>1295</v>
      </c>
      <c r="C1559" s="375" t="s">
        <v>1966</v>
      </c>
      <c r="D1559" s="375" t="s">
        <v>1290</v>
      </c>
      <c r="E1559" s="375" t="s">
        <v>1970</v>
      </c>
      <c r="F1559" s="375" t="s">
        <v>3436</v>
      </c>
    </row>
    <row r="1560" spans="1:6">
      <c r="A1560" s="375" t="s">
        <v>4150</v>
      </c>
      <c r="B1560" s="375" t="s">
        <v>1295</v>
      </c>
      <c r="C1560" s="375" t="s">
        <v>1966</v>
      </c>
      <c r="D1560" s="375" t="s">
        <v>1290</v>
      </c>
      <c r="E1560" s="375" t="s">
        <v>1971</v>
      </c>
      <c r="F1560" s="375" t="s">
        <v>3437</v>
      </c>
    </row>
    <row r="1561" spans="1:6">
      <c r="A1561" s="375" t="s">
        <v>4150</v>
      </c>
      <c r="B1561" s="375" t="s">
        <v>1295</v>
      </c>
      <c r="C1561" s="375" t="s">
        <v>1967</v>
      </c>
      <c r="D1561" s="375" t="s">
        <v>3438</v>
      </c>
      <c r="E1561" s="375" t="s">
        <v>1964</v>
      </c>
      <c r="F1561" s="375" t="s">
        <v>3439</v>
      </c>
    </row>
    <row r="1562" spans="1:6">
      <c r="A1562" s="375" t="s">
        <v>4150</v>
      </c>
      <c r="B1562" s="375" t="s">
        <v>1295</v>
      </c>
      <c r="C1562" s="375" t="s">
        <v>1967</v>
      </c>
      <c r="D1562" s="375" t="s">
        <v>3438</v>
      </c>
      <c r="E1562" s="375" t="s">
        <v>1965</v>
      </c>
      <c r="F1562" s="375" t="s">
        <v>3440</v>
      </c>
    </row>
    <row r="1563" spans="1:6">
      <c r="A1563" s="375" t="s">
        <v>4150</v>
      </c>
      <c r="B1563" s="375" t="s">
        <v>1295</v>
      </c>
      <c r="C1563" s="375" t="s">
        <v>1967</v>
      </c>
      <c r="D1563" s="375" t="s">
        <v>3438</v>
      </c>
      <c r="E1563" s="375" t="s">
        <v>1966</v>
      </c>
      <c r="F1563" s="375" t="s">
        <v>3441</v>
      </c>
    </row>
    <row r="1564" spans="1:6">
      <c r="A1564" s="375" t="s">
        <v>4150</v>
      </c>
      <c r="B1564" s="375" t="s">
        <v>1295</v>
      </c>
      <c r="C1564" s="375" t="s">
        <v>1967</v>
      </c>
      <c r="D1564" s="375" t="s">
        <v>3438</v>
      </c>
      <c r="E1564" s="375" t="s">
        <v>1967</v>
      </c>
      <c r="F1564" s="375" t="s">
        <v>3442</v>
      </c>
    </row>
    <row r="1565" spans="1:6">
      <c r="A1565" s="375" t="s">
        <v>4150</v>
      </c>
      <c r="B1565" s="375" t="s">
        <v>1295</v>
      </c>
      <c r="C1565" s="375" t="s">
        <v>1967</v>
      </c>
      <c r="D1565" s="375" t="s">
        <v>3438</v>
      </c>
      <c r="E1565" s="375" t="s">
        <v>1968</v>
      </c>
      <c r="F1565" s="375" t="s">
        <v>3438</v>
      </c>
    </row>
    <row r="1566" spans="1:6">
      <c r="A1566" s="375" t="s">
        <v>4150</v>
      </c>
      <c r="B1566" s="375" t="s">
        <v>1295</v>
      </c>
      <c r="C1566" s="375" t="s">
        <v>1967</v>
      </c>
      <c r="D1566" s="375" t="s">
        <v>3438</v>
      </c>
      <c r="E1566" s="375" t="s">
        <v>1969</v>
      </c>
      <c r="F1566" s="375" t="s">
        <v>3443</v>
      </c>
    </row>
    <row r="1567" spans="1:6">
      <c r="A1567" s="375" t="s">
        <v>4150</v>
      </c>
      <c r="B1567" s="375" t="s">
        <v>1295</v>
      </c>
      <c r="C1567" s="375" t="s">
        <v>1967</v>
      </c>
      <c r="D1567" s="375" t="s">
        <v>3438</v>
      </c>
      <c r="E1567" s="375" t="s">
        <v>1970</v>
      </c>
      <c r="F1567" s="375" t="s">
        <v>3444</v>
      </c>
    </row>
    <row r="1568" spans="1:6">
      <c r="A1568" s="375" t="s">
        <v>4150</v>
      </c>
      <c r="B1568" s="375" t="s">
        <v>1295</v>
      </c>
      <c r="C1568" s="375" t="s">
        <v>1967</v>
      </c>
      <c r="D1568" s="375" t="s">
        <v>3438</v>
      </c>
      <c r="E1568" s="375" t="s">
        <v>1971</v>
      </c>
      <c r="F1568" s="375" t="s">
        <v>4380</v>
      </c>
    </row>
    <row r="1569" spans="1:6">
      <c r="A1569" s="375" t="s">
        <v>4150</v>
      </c>
      <c r="B1569" s="375" t="s">
        <v>1295</v>
      </c>
      <c r="C1569" s="375" t="s">
        <v>1967</v>
      </c>
      <c r="D1569" s="375" t="s">
        <v>3438</v>
      </c>
      <c r="E1569" s="375" t="s">
        <v>1972</v>
      </c>
      <c r="F1569" s="375" t="s">
        <v>3815</v>
      </c>
    </row>
    <row r="1570" spans="1:6">
      <c r="A1570" s="375" t="s">
        <v>4150</v>
      </c>
      <c r="B1570" s="375" t="s">
        <v>1295</v>
      </c>
      <c r="C1570" s="375" t="s">
        <v>1967</v>
      </c>
      <c r="D1570" s="375" t="s">
        <v>3438</v>
      </c>
      <c r="E1570" s="375" t="s">
        <v>1973</v>
      </c>
      <c r="F1570" s="375" t="s">
        <v>3816</v>
      </c>
    </row>
    <row r="1571" spans="1:6">
      <c r="A1571" s="375" t="s">
        <v>4150</v>
      </c>
      <c r="B1571" s="375" t="s">
        <v>1295</v>
      </c>
      <c r="C1571" s="375" t="s">
        <v>1968</v>
      </c>
      <c r="D1571" s="375" t="s">
        <v>3817</v>
      </c>
      <c r="E1571" s="375" t="s">
        <v>1964</v>
      </c>
      <c r="F1571" s="375" t="s">
        <v>3817</v>
      </c>
    </row>
    <row r="1572" spans="1:6">
      <c r="A1572" s="375" t="s">
        <v>4150</v>
      </c>
      <c r="B1572" s="375" t="s">
        <v>1295</v>
      </c>
      <c r="C1572" s="375" t="s">
        <v>1968</v>
      </c>
      <c r="D1572" s="375" t="s">
        <v>3817</v>
      </c>
      <c r="E1572" s="375" t="s">
        <v>1965</v>
      </c>
      <c r="F1572" s="375" t="s">
        <v>3818</v>
      </c>
    </row>
    <row r="1573" spans="1:6">
      <c r="A1573" s="375" t="s">
        <v>4150</v>
      </c>
      <c r="B1573" s="375" t="s">
        <v>1295</v>
      </c>
      <c r="C1573" s="375" t="s">
        <v>1968</v>
      </c>
      <c r="D1573" s="375" t="s">
        <v>3817</v>
      </c>
      <c r="E1573" s="375" t="s">
        <v>1966</v>
      </c>
      <c r="F1573" s="375" t="s">
        <v>3819</v>
      </c>
    </row>
    <row r="1574" spans="1:6">
      <c r="A1574" s="375" t="s">
        <v>4150</v>
      </c>
      <c r="B1574" s="375" t="s">
        <v>1295</v>
      </c>
      <c r="C1574" s="375" t="s">
        <v>1968</v>
      </c>
      <c r="D1574" s="375" t="s">
        <v>3817</v>
      </c>
      <c r="E1574" s="375" t="s">
        <v>1967</v>
      </c>
      <c r="F1574" s="375" t="s">
        <v>3820</v>
      </c>
    </row>
    <row r="1575" spans="1:6">
      <c r="A1575" s="375" t="s">
        <v>4150</v>
      </c>
      <c r="B1575" s="375" t="s">
        <v>1295</v>
      </c>
      <c r="C1575" s="375" t="s">
        <v>1968</v>
      </c>
      <c r="D1575" s="375" t="s">
        <v>3817</v>
      </c>
      <c r="E1575" s="375" t="s">
        <v>1968</v>
      </c>
      <c r="F1575" s="375" t="s">
        <v>3821</v>
      </c>
    </row>
    <row r="1576" spans="1:6">
      <c r="A1576" s="375" t="s">
        <v>4150</v>
      </c>
      <c r="B1576" s="375" t="s">
        <v>1295</v>
      </c>
      <c r="C1576" s="375" t="s">
        <v>1968</v>
      </c>
      <c r="D1576" s="375" t="s">
        <v>3817</v>
      </c>
      <c r="E1576" s="375" t="s">
        <v>1969</v>
      </c>
      <c r="F1576" s="375" t="s">
        <v>3822</v>
      </c>
    </row>
    <row r="1577" spans="1:6">
      <c r="A1577" s="375" t="s">
        <v>4150</v>
      </c>
      <c r="B1577" s="375" t="s">
        <v>1295</v>
      </c>
      <c r="C1577" s="375" t="s">
        <v>1968</v>
      </c>
      <c r="D1577" s="375" t="s">
        <v>3817</v>
      </c>
      <c r="E1577" s="375" t="s">
        <v>1970</v>
      </c>
      <c r="F1577" s="375" t="s">
        <v>3823</v>
      </c>
    </row>
    <row r="1578" spans="1:6">
      <c r="A1578" s="375" t="s">
        <v>4150</v>
      </c>
      <c r="B1578" s="375" t="s">
        <v>1295</v>
      </c>
      <c r="C1578" s="375" t="s">
        <v>1969</v>
      </c>
      <c r="D1578" s="375" t="s">
        <v>3824</v>
      </c>
      <c r="E1578" s="375" t="s">
        <v>1964</v>
      </c>
      <c r="F1578" s="375" t="s">
        <v>3824</v>
      </c>
    </row>
    <row r="1579" spans="1:6">
      <c r="A1579" s="375" t="s">
        <v>4150</v>
      </c>
      <c r="B1579" s="375" t="s">
        <v>1295</v>
      </c>
      <c r="C1579" s="375" t="s">
        <v>1969</v>
      </c>
      <c r="D1579" s="375" t="s">
        <v>3824</v>
      </c>
      <c r="E1579" s="375" t="s">
        <v>1965</v>
      </c>
      <c r="F1579" s="375" t="s">
        <v>2303</v>
      </c>
    </row>
    <row r="1580" spans="1:6">
      <c r="A1580" s="375" t="s">
        <v>4150</v>
      </c>
      <c r="B1580" s="375" t="s">
        <v>1295</v>
      </c>
      <c r="C1580" s="375" t="s">
        <v>1969</v>
      </c>
      <c r="D1580" s="375" t="s">
        <v>3824</v>
      </c>
      <c r="E1580" s="375" t="s">
        <v>1966</v>
      </c>
      <c r="F1580" s="375" t="s">
        <v>3825</v>
      </c>
    </row>
    <row r="1581" spans="1:6">
      <c r="A1581" s="375" t="s">
        <v>4150</v>
      </c>
      <c r="B1581" s="375" t="s">
        <v>1295</v>
      </c>
      <c r="C1581" s="375" t="s">
        <v>1969</v>
      </c>
      <c r="D1581" s="375" t="s">
        <v>3824</v>
      </c>
      <c r="E1581" s="375" t="s">
        <v>1967</v>
      </c>
      <c r="F1581" s="375" t="s">
        <v>3826</v>
      </c>
    </row>
    <row r="1582" spans="1:6">
      <c r="A1582" s="375" t="s">
        <v>4150</v>
      </c>
      <c r="B1582" s="375" t="s">
        <v>1295</v>
      </c>
      <c r="C1582" s="375" t="s">
        <v>1969</v>
      </c>
      <c r="D1582" s="375" t="s">
        <v>3824</v>
      </c>
      <c r="E1582" s="375" t="s">
        <v>1968</v>
      </c>
      <c r="F1582" s="375" t="s">
        <v>3827</v>
      </c>
    </row>
    <row r="1583" spans="1:6">
      <c r="A1583" s="375" t="s">
        <v>4150</v>
      </c>
      <c r="B1583" s="375" t="s">
        <v>1295</v>
      </c>
      <c r="C1583" s="375" t="s">
        <v>1969</v>
      </c>
      <c r="D1583" s="375" t="s">
        <v>3824</v>
      </c>
      <c r="E1583" s="375" t="s">
        <v>1969</v>
      </c>
      <c r="F1583" s="375" t="s">
        <v>2757</v>
      </c>
    </row>
    <row r="1584" spans="1:6">
      <c r="A1584" s="375" t="s">
        <v>4150</v>
      </c>
      <c r="B1584" s="375" t="s">
        <v>1295</v>
      </c>
      <c r="C1584" s="375" t="s">
        <v>1969</v>
      </c>
      <c r="D1584" s="375" t="s">
        <v>3824</v>
      </c>
      <c r="E1584" s="375" t="s">
        <v>1970</v>
      </c>
      <c r="F1584" s="375" t="s">
        <v>3153</v>
      </c>
    </row>
    <row r="1585" spans="1:6">
      <c r="A1585" s="375" t="s">
        <v>4150</v>
      </c>
      <c r="B1585" s="375" t="s">
        <v>1295</v>
      </c>
      <c r="C1585" s="375" t="s">
        <v>1969</v>
      </c>
      <c r="D1585" s="375" t="s">
        <v>3824</v>
      </c>
      <c r="E1585" s="375" t="s">
        <v>1971</v>
      </c>
      <c r="F1585" s="375" t="s">
        <v>3443</v>
      </c>
    </row>
    <row r="1586" spans="1:6">
      <c r="A1586" s="375" t="s">
        <v>4150</v>
      </c>
      <c r="B1586" s="375" t="s">
        <v>1295</v>
      </c>
      <c r="C1586" s="375" t="s">
        <v>1970</v>
      </c>
      <c r="D1586" s="375" t="s">
        <v>3154</v>
      </c>
      <c r="E1586" s="375" t="s">
        <v>1964</v>
      </c>
      <c r="F1586" s="375" t="s">
        <v>4297</v>
      </c>
    </row>
    <row r="1587" spans="1:6">
      <c r="A1587" s="375" t="s">
        <v>4150</v>
      </c>
      <c r="B1587" s="375" t="s">
        <v>1295</v>
      </c>
      <c r="C1587" s="375" t="s">
        <v>1970</v>
      </c>
      <c r="D1587" s="375" t="s">
        <v>3154</v>
      </c>
      <c r="E1587" s="375" t="s">
        <v>1965</v>
      </c>
      <c r="F1587" s="375" t="s">
        <v>3155</v>
      </c>
    </row>
    <row r="1588" spans="1:6">
      <c r="A1588" s="375" t="s">
        <v>4150</v>
      </c>
      <c r="B1588" s="375" t="s">
        <v>1295</v>
      </c>
      <c r="C1588" s="375" t="s">
        <v>1970</v>
      </c>
      <c r="D1588" s="375" t="s">
        <v>3154</v>
      </c>
      <c r="E1588" s="375" t="s">
        <v>1966</v>
      </c>
      <c r="F1588" s="375" t="s">
        <v>3156</v>
      </c>
    </row>
    <row r="1589" spans="1:6">
      <c r="A1589" s="375" t="s">
        <v>4150</v>
      </c>
      <c r="B1589" s="375" t="s">
        <v>1295</v>
      </c>
      <c r="C1589" s="375" t="s">
        <v>1970</v>
      </c>
      <c r="D1589" s="375" t="s">
        <v>3154</v>
      </c>
      <c r="E1589" s="375" t="s">
        <v>1967</v>
      </c>
      <c r="F1589" s="375" t="s">
        <v>3157</v>
      </c>
    </row>
    <row r="1590" spans="1:6">
      <c r="A1590" s="375" t="s">
        <v>4150</v>
      </c>
      <c r="B1590" s="375" t="s">
        <v>1295</v>
      </c>
      <c r="C1590" s="375" t="s">
        <v>1970</v>
      </c>
      <c r="D1590" s="375" t="s">
        <v>3154</v>
      </c>
      <c r="E1590" s="375" t="s">
        <v>1968</v>
      </c>
      <c r="F1590" s="375" t="s">
        <v>3158</v>
      </c>
    </row>
    <row r="1591" spans="1:6">
      <c r="A1591" s="375" t="s">
        <v>4150</v>
      </c>
      <c r="B1591" s="375" t="s">
        <v>1295</v>
      </c>
      <c r="C1591" s="375" t="s">
        <v>1970</v>
      </c>
      <c r="D1591" s="375" t="s">
        <v>3154</v>
      </c>
      <c r="E1591" s="375" t="s">
        <v>1969</v>
      </c>
      <c r="F1591" s="375" t="s">
        <v>3159</v>
      </c>
    </row>
    <row r="1592" spans="1:6">
      <c r="A1592" s="375" t="s">
        <v>4150</v>
      </c>
      <c r="B1592" s="375" t="s">
        <v>1295</v>
      </c>
      <c r="C1592" s="375" t="s">
        <v>1971</v>
      </c>
      <c r="D1592" s="375" t="s">
        <v>3160</v>
      </c>
      <c r="E1592" s="375" t="s">
        <v>1964</v>
      </c>
      <c r="F1592" s="375" t="s">
        <v>3160</v>
      </c>
    </row>
    <row r="1593" spans="1:6">
      <c r="A1593" s="375" t="s">
        <v>4150</v>
      </c>
      <c r="B1593" s="375" t="s">
        <v>1295</v>
      </c>
      <c r="C1593" s="375" t="s">
        <v>1971</v>
      </c>
      <c r="D1593" s="375" t="s">
        <v>3160</v>
      </c>
      <c r="E1593" s="375" t="s">
        <v>1965</v>
      </c>
      <c r="F1593" s="375" t="s">
        <v>3143</v>
      </c>
    </row>
    <row r="1594" spans="1:6">
      <c r="A1594" s="375" t="s">
        <v>4150</v>
      </c>
      <c r="B1594" s="375" t="s">
        <v>1295</v>
      </c>
      <c r="C1594" s="375" t="s">
        <v>1971</v>
      </c>
      <c r="D1594" s="375" t="s">
        <v>3160</v>
      </c>
      <c r="E1594" s="375" t="s">
        <v>1966</v>
      </c>
      <c r="F1594" s="375" t="s">
        <v>3144</v>
      </c>
    </row>
    <row r="1595" spans="1:6">
      <c r="A1595" s="375" t="s">
        <v>4150</v>
      </c>
      <c r="B1595" s="375" t="s">
        <v>1295</v>
      </c>
      <c r="C1595" s="375" t="s">
        <v>1971</v>
      </c>
      <c r="D1595" s="375" t="s">
        <v>3160</v>
      </c>
      <c r="E1595" s="375" t="s">
        <v>1967</v>
      </c>
      <c r="F1595" s="375" t="s">
        <v>3145</v>
      </c>
    </row>
    <row r="1596" spans="1:6">
      <c r="A1596" s="375" t="s">
        <v>4150</v>
      </c>
      <c r="B1596" s="375" t="s">
        <v>1295</v>
      </c>
      <c r="C1596" s="375" t="s">
        <v>1971</v>
      </c>
      <c r="D1596" s="375" t="s">
        <v>3160</v>
      </c>
      <c r="E1596" s="375" t="s">
        <v>1968</v>
      </c>
      <c r="F1596" s="375" t="s">
        <v>3146</v>
      </c>
    </row>
    <row r="1597" spans="1:6">
      <c r="A1597" s="375" t="s">
        <v>4150</v>
      </c>
      <c r="B1597" s="375" t="s">
        <v>1295</v>
      </c>
      <c r="C1597" s="375" t="s">
        <v>1971</v>
      </c>
      <c r="D1597" s="375" t="s">
        <v>3160</v>
      </c>
      <c r="E1597" s="375" t="s">
        <v>1969</v>
      </c>
      <c r="F1597" s="375" t="s">
        <v>3147</v>
      </c>
    </row>
    <row r="1598" spans="1:6">
      <c r="A1598" s="375" t="s">
        <v>4151</v>
      </c>
      <c r="B1598" s="375" t="s">
        <v>3148</v>
      </c>
      <c r="C1598" s="375" t="s">
        <v>1964</v>
      </c>
      <c r="D1598" s="375" t="s">
        <v>3148</v>
      </c>
      <c r="E1598" s="375" t="s">
        <v>1964</v>
      </c>
      <c r="F1598" s="375" t="s">
        <v>3148</v>
      </c>
    </row>
    <row r="1599" spans="1:6">
      <c r="A1599" s="375" t="s">
        <v>4151</v>
      </c>
      <c r="B1599" s="375" t="s">
        <v>3148</v>
      </c>
      <c r="C1599" s="375" t="s">
        <v>1964</v>
      </c>
      <c r="D1599" s="375" t="s">
        <v>3148</v>
      </c>
      <c r="E1599" s="375" t="s">
        <v>1965</v>
      </c>
      <c r="F1599" s="375" t="s">
        <v>3149</v>
      </c>
    </row>
    <row r="1600" spans="1:6">
      <c r="A1600" s="375" t="s">
        <v>4151</v>
      </c>
      <c r="B1600" s="375" t="s">
        <v>3148</v>
      </c>
      <c r="C1600" s="375" t="s">
        <v>1964</v>
      </c>
      <c r="D1600" s="375" t="s">
        <v>3148</v>
      </c>
      <c r="E1600" s="375" t="s">
        <v>1966</v>
      </c>
      <c r="F1600" s="375" t="s">
        <v>3150</v>
      </c>
    </row>
    <row r="1601" spans="1:6">
      <c r="A1601" s="375" t="s">
        <v>4151</v>
      </c>
      <c r="B1601" s="375" t="s">
        <v>3148</v>
      </c>
      <c r="C1601" s="375" t="s">
        <v>1964</v>
      </c>
      <c r="D1601" s="375" t="s">
        <v>3148</v>
      </c>
      <c r="E1601" s="375" t="s">
        <v>1967</v>
      </c>
      <c r="F1601" s="375" t="s">
        <v>3151</v>
      </c>
    </row>
    <row r="1602" spans="1:6">
      <c r="A1602" s="375" t="s">
        <v>4151</v>
      </c>
      <c r="B1602" s="375" t="s">
        <v>3148</v>
      </c>
      <c r="C1602" s="375" t="s">
        <v>1964</v>
      </c>
      <c r="D1602" s="375" t="s">
        <v>3148</v>
      </c>
      <c r="E1602" s="375" t="s">
        <v>1968</v>
      </c>
      <c r="F1602" s="375" t="s">
        <v>3152</v>
      </c>
    </row>
    <row r="1603" spans="1:6">
      <c r="A1603" s="375" t="s">
        <v>4151</v>
      </c>
      <c r="B1603" s="375" t="s">
        <v>3148</v>
      </c>
      <c r="C1603" s="375" t="s">
        <v>1964</v>
      </c>
      <c r="D1603" s="375" t="s">
        <v>3148</v>
      </c>
      <c r="E1603" s="375" t="s">
        <v>1969</v>
      </c>
      <c r="F1603" s="375" t="s">
        <v>4390</v>
      </c>
    </row>
    <row r="1604" spans="1:6">
      <c r="A1604" s="375" t="s">
        <v>4151</v>
      </c>
      <c r="B1604" s="375" t="s">
        <v>3148</v>
      </c>
      <c r="C1604" s="375" t="s">
        <v>1964</v>
      </c>
      <c r="D1604" s="375" t="s">
        <v>3148</v>
      </c>
      <c r="E1604" s="375" t="s">
        <v>1970</v>
      </c>
      <c r="F1604" s="375" t="s">
        <v>4391</v>
      </c>
    </row>
    <row r="1605" spans="1:6">
      <c r="A1605" s="375" t="s">
        <v>4151</v>
      </c>
      <c r="B1605" s="375" t="s">
        <v>3148</v>
      </c>
      <c r="C1605" s="375" t="s">
        <v>1964</v>
      </c>
      <c r="D1605" s="375" t="s">
        <v>3148</v>
      </c>
      <c r="E1605" s="375" t="s">
        <v>1971</v>
      </c>
      <c r="F1605" s="375" t="s">
        <v>1157</v>
      </c>
    </row>
    <row r="1606" spans="1:6">
      <c r="A1606" s="375" t="s">
        <v>4151</v>
      </c>
      <c r="B1606" s="375" t="s">
        <v>3148</v>
      </c>
      <c r="C1606" s="375" t="s">
        <v>1964</v>
      </c>
      <c r="D1606" s="375" t="s">
        <v>3148</v>
      </c>
      <c r="E1606" s="375" t="s">
        <v>1972</v>
      </c>
      <c r="F1606" s="375" t="s">
        <v>4298</v>
      </c>
    </row>
    <row r="1607" spans="1:6">
      <c r="A1607" s="375" t="s">
        <v>4151</v>
      </c>
      <c r="B1607" s="375" t="s">
        <v>3148</v>
      </c>
      <c r="C1607" s="375" t="s">
        <v>1964</v>
      </c>
      <c r="D1607" s="375" t="s">
        <v>3148</v>
      </c>
      <c r="E1607" s="375" t="s">
        <v>1973</v>
      </c>
      <c r="F1607" s="375" t="s">
        <v>4392</v>
      </c>
    </row>
    <row r="1608" spans="1:6">
      <c r="A1608" s="375" t="s">
        <v>4151</v>
      </c>
      <c r="B1608" s="375" t="s">
        <v>3148</v>
      </c>
      <c r="C1608" s="375" t="s">
        <v>1964</v>
      </c>
      <c r="D1608" s="375" t="s">
        <v>3148</v>
      </c>
      <c r="E1608" s="375" t="s">
        <v>1974</v>
      </c>
      <c r="F1608" s="375" t="s">
        <v>2602</v>
      </c>
    </row>
    <row r="1609" spans="1:6">
      <c r="A1609" s="375" t="s">
        <v>4151</v>
      </c>
      <c r="B1609" s="375" t="s">
        <v>3148</v>
      </c>
      <c r="C1609" s="375" t="s">
        <v>1964</v>
      </c>
      <c r="D1609" s="375" t="s">
        <v>3148</v>
      </c>
      <c r="E1609" s="375" t="s">
        <v>1975</v>
      </c>
      <c r="F1609" s="375" t="s">
        <v>2603</v>
      </c>
    </row>
    <row r="1610" spans="1:6">
      <c r="A1610" s="375" t="s">
        <v>4151</v>
      </c>
      <c r="B1610" s="375" t="s">
        <v>3148</v>
      </c>
      <c r="C1610" s="375" t="s">
        <v>1964</v>
      </c>
      <c r="D1610" s="375" t="s">
        <v>3148</v>
      </c>
      <c r="E1610" s="375" t="s">
        <v>1976</v>
      </c>
      <c r="F1610" s="375" t="s">
        <v>3629</v>
      </c>
    </row>
    <row r="1611" spans="1:6">
      <c r="A1611" s="375" t="s">
        <v>4151</v>
      </c>
      <c r="B1611" s="375" t="s">
        <v>3148</v>
      </c>
      <c r="C1611" s="375" t="s">
        <v>1964</v>
      </c>
      <c r="D1611" s="375" t="s">
        <v>3148</v>
      </c>
      <c r="E1611" s="375" t="s">
        <v>1977</v>
      </c>
      <c r="F1611" s="375" t="s">
        <v>2604</v>
      </c>
    </row>
    <row r="1612" spans="1:6">
      <c r="A1612" s="375" t="s">
        <v>4151</v>
      </c>
      <c r="B1612" s="375" t="s">
        <v>3148</v>
      </c>
      <c r="C1612" s="375" t="s">
        <v>1964</v>
      </c>
      <c r="D1612" s="375" t="s">
        <v>3148</v>
      </c>
      <c r="E1612" s="375" t="s">
        <v>1978</v>
      </c>
      <c r="F1612" s="375" t="s">
        <v>2605</v>
      </c>
    </row>
    <row r="1613" spans="1:6">
      <c r="A1613" s="375" t="s">
        <v>4151</v>
      </c>
      <c r="B1613" s="375" t="s">
        <v>3148</v>
      </c>
      <c r="C1613" s="375" t="s">
        <v>1965</v>
      </c>
      <c r="D1613" s="375" t="s">
        <v>2437</v>
      </c>
      <c r="E1613" s="375" t="s">
        <v>1964</v>
      </c>
      <c r="F1613" s="375" t="s">
        <v>2437</v>
      </c>
    </row>
    <row r="1614" spans="1:6">
      <c r="A1614" s="375" t="s">
        <v>4151</v>
      </c>
      <c r="B1614" s="375" t="s">
        <v>3148</v>
      </c>
      <c r="C1614" s="375" t="s">
        <v>1965</v>
      </c>
      <c r="D1614" s="375" t="s">
        <v>2437</v>
      </c>
      <c r="E1614" s="375" t="s">
        <v>1965</v>
      </c>
      <c r="F1614" s="375" t="s">
        <v>2606</v>
      </c>
    </row>
    <row r="1615" spans="1:6">
      <c r="A1615" s="375" t="s">
        <v>4151</v>
      </c>
      <c r="B1615" s="375" t="s">
        <v>3148</v>
      </c>
      <c r="C1615" s="375" t="s">
        <v>1965</v>
      </c>
      <c r="D1615" s="375" t="s">
        <v>2437</v>
      </c>
      <c r="E1615" s="375" t="s">
        <v>1966</v>
      </c>
      <c r="F1615" s="375" t="s">
        <v>2607</v>
      </c>
    </row>
    <row r="1616" spans="1:6">
      <c r="A1616" s="375" t="s">
        <v>4151</v>
      </c>
      <c r="B1616" s="375" t="s">
        <v>3148</v>
      </c>
      <c r="C1616" s="375" t="s">
        <v>1965</v>
      </c>
      <c r="D1616" s="375" t="s">
        <v>2437</v>
      </c>
      <c r="E1616" s="375" t="s">
        <v>1967</v>
      </c>
      <c r="F1616" s="375" t="s">
        <v>2608</v>
      </c>
    </row>
    <row r="1617" spans="1:6">
      <c r="A1617" s="375" t="s">
        <v>4151</v>
      </c>
      <c r="B1617" s="375" t="s">
        <v>3148</v>
      </c>
      <c r="C1617" s="375" t="s">
        <v>1965</v>
      </c>
      <c r="D1617" s="375" t="s">
        <v>2437</v>
      </c>
      <c r="E1617" s="375" t="s">
        <v>1968</v>
      </c>
      <c r="F1617" s="375" t="s">
        <v>2609</v>
      </c>
    </row>
    <row r="1618" spans="1:6">
      <c r="A1618" s="375" t="s">
        <v>4151</v>
      </c>
      <c r="B1618" s="375" t="s">
        <v>3148</v>
      </c>
      <c r="C1618" s="375" t="s">
        <v>1965</v>
      </c>
      <c r="D1618" s="375" t="s">
        <v>2437</v>
      </c>
      <c r="E1618" s="375" t="s">
        <v>1969</v>
      </c>
      <c r="F1618" s="375" t="s">
        <v>2610</v>
      </c>
    </row>
    <row r="1619" spans="1:6">
      <c r="A1619" s="375" t="s">
        <v>4151</v>
      </c>
      <c r="B1619" s="375" t="s">
        <v>3148</v>
      </c>
      <c r="C1619" s="375" t="s">
        <v>1965</v>
      </c>
      <c r="D1619" s="375" t="s">
        <v>2437</v>
      </c>
      <c r="E1619" s="375" t="s">
        <v>1970</v>
      </c>
      <c r="F1619" s="375" t="s">
        <v>2611</v>
      </c>
    </row>
    <row r="1620" spans="1:6">
      <c r="A1620" s="375" t="s">
        <v>4151</v>
      </c>
      <c r="B1620" s="375" t="s">
        <v>3148</v>
      </c>
      <c r="C1620" s="375" t="s">
        <v>1965</v>
      </c>
      <c r="D1620" s="375" t="s">
        <v>2437</v>
      </c>
      <c r="E1620" s="375" t="s">
        <v>1971</v>
      </c>
      <c r="F1620" s="375" t="s">
        <v>4299</v>
      </c>
    </row>
    <row r="1621" spans="1:6">
      <c r="A1621" s="375" t="s">
        <v>4151</v>
      </c>
      <c r="B1621" s="375" t="s">
        <v>3148</v>
      </c>
      <c r="C1621" s="375" t="s">
        <v>1965</v>
      </c>
      <c r="D1621" s="375" t="s">
        <v>2437</v>
      </c>
      <c r="E1621" s="375" t="s">
        <v>1972</v>
      </c>
      <c r="F1621" s="375" t="s">
        <v>2612</v>
      </c>
    </row>
    <row r="1622" spans="1:6">
      <c r="A1622" s="375" t="s">
        <v>4151</v>
      </c>
      <c r="B1622" s="375" t="s">
        <v>3148</v>
      </c>
      <c r="C1622" s="375" t="s">
        <v>1965</v>
      </c>
      <c r="D1622" s="375" t="s">
        <v>2437</v>
      </c>
      <c r="E1622" s="375" t="s">
        <v>1973</v>
      </c>
      <c r="F1622" s="375" t="s">
        <v>2613</v>
      </c>
    </row>
    <row r="1623" spans="1:6">
      <c r="A1623" s="375" t="s">
        <v>4151</v>
      </c>
      <c r="B1623" s="375" t="s">
        <v>3148</v>
      </c>
      <c r="C1623" s="375" t="s">
        <v>1965</v>
      </c>
      <c r="D1623" s="375" t="s">
        <v>2437</v>
      </c>
      <c r="E1623" s="375" t="s">
        <v>1974</v>
      </c>
      <c r="F1623" s="375" t="s">
        <v>2614</v>
      </c>
    </row>
    <row r="1624" spans="1:6">
      <c r="A1624" s="375" t="s">
        <v>4151</v>
      </c>
      <c r="B1624" s="375" t="s">
        <v>3148</v>
      </c>
      <c r="C1624" s="375" t="s">
        <v>1965</v>
      </c>
      <c r="D1624" s="375" t="s">
        <v>2437</v>
      </c>
      <c r="E1624" s="375" t="s">
        <v>1975</v>
      </c>
      <c r="F1624" s="375" t="s">
        <v>660</v>
      </c>
    </row>
    <row r="1625" spans="1:6">
      <c r="A1625" s="375" t="s">
        <v>4151</v>
      </c>
      <c r="B1625" s="375" t="s">
        <v>3148</v>
      </c>
      <c r="C1625" s="375" t="s">
        <v>1965</v>
      </c>
      <c r="D1625" s="375" t="s">
        <v>2437</v>
      </c>
      <c r="E1625" s="375" t="s">
        <v>1976</v>
      </c>
      <c r="F1625" s="375" t="s">
        <v>2615</v>
      </c>
    </row>
    <row r="1626" spans="1:6">
      <c r="A1626" s="375" t="s">
        <v>4151</v>
      </c>
      <c r="B1626" s="375" t="s">
        <v>3148</v>
      </c>
      <c r="C1626" s="375" t="s">
        <v>1965</v>
      </c>
      <c r="D1626" s="375" t="s">
        <v>2437</v>
      </c>
      <c r="E1626" s="375" t="s">
        <v>1977</v>
      </c>
      <c r="F1626" s="375" t="s">
        <v>2616</v>
      </c>
    </row>
    <row r="1627" spans="1:6">
      <c r="A1627" s="375" t="s">
        <v>4151</v>
      </c>
      <c r="B1627" s="375" t="s">
        <v>3148</v>
      </c>
      <c r="C1627" s="375" t="s">
        <v>1965</v>
      </c>
      <c r="D1627" s="375" t="s">
        <v>2437</v>
      </c>
      <c r="E1627" s="375" t="s">
        <v>1978</v>
      </c>
      <c r="F1627" s="375" t="s">
        <v>2617</v>
      </c>
    </row>
    <row r="1628" spans="1:6">
      <c r="A1628" s="375" t="s">
        <v>4151</v>
      </c>
      <c r="B1628" s="375" t="s">
        <v>3148</v>
      </c>
      <c r="C1628" s="375" t="s">
        <v>1966</v>
      </c>
      <c r="D1628" s="375" t="s">
        <v>2353</v>
      </c>
      <c r="E1628" s="375" t="s">
        <v>1964</v>
      </c>
      <c r="F1628" s="375" t="s">
        <v>1825</v>
      </c>
    </row>
    <row r="1629" spans="1:6">
      <c r="A1629" s="375" t="s">
        <v>4151</v>
      </c>
      <c r="B1629" s="375" t="s">
        <v>3148</v>
      </c>
      <c r="C1629" s="375" t="s">
        <v>1966</v>
      </c>
      <c r="D1629" s="375" t="s">
        <v>2353</v>
      </c>
      <c r="E1629" s="375" t="s">
        <v>1965</v>
      </c>
      <c r="F1629" s="375" t="s">
        <v>1826</v>
      </c>
    </row>
    <row r="1630" spans="1:6">
      <c r="A1630" s="375" t="s">
        <v>4151</v>
      </c>
      <c r="B1630" s="375" t="s">
        <v>3148</v>
      </c>
      <c r="C1630" s="375" t="s">
        <v>1966</v>
      </c>
      <c r="D1630" s="375" t="s">
        <v>2353</v>
      </c>
      <c r="E1630" s="375" t="s">
        <v>1966</v>
      </c>
      <c r="F1630" s="375" t="s">
        <v>1827</v>
      </c>
    </row>
    <row r="1631" spans="1:6">
      <c r="A1631" s="375" t="s">
        <v>4151</v>
      </c>
      <c r="B1631" s="375" t="s">
        <v>3148</v>
      </c>
      <c r="C1631" s="375" t="s">
        <v>1966</v>
      </c>
      <c r="D1631" s="375" t="s">
        <v>2353</v>
      </c>
      <c r="E1631" s="375" t="s">
        <v>1967</v>
      </c>
      <c r="F1631" s="375" t="s">
        <v>1061</v>
      </c>
    </row>
    <row r="1632" spans="1:6">
      <c r="A1632" s="375" t="s">
        <v>4151</v>
      </c>
      <c r="B1632" s="375" t="s">
        <v>3148</v>
      </c>
      <c r="C1632" s="375" t="s">
        <v>1966</v>
      </c>
      <c r="D1632" s="375" t="s">
        <v>2353</v>
      </c>
      <c r="E1632" s="375" t="s">
        <v>1968</v>
      </c>
      <c r="F1632" s="375" t="s">
        <v>1062</v>
      </c>
    </row>
    <row r="1633" spans="1:6">
      <c r="A1633" s="375" t="s">
        <v>4151</v>
      </c>
      <c r="B1633" s="375" t="s">
        <v>3148</v>
      </c>
      <c r="C1633" s="375" t="s">
        <v>1966</v>
      </c>
      <c r="D1633" s="375" t="s">
        <v>2353</v>
      </c>
      <c r="E1633" s="375" t="s">
        <v>1969</v>
      </c>
      <c r="F1633" s="375" t="s">
        <v>1063</v>
      </c>
    </row>
    <row r="1634" spans="1:6">
      <c r="A1634" s="375" t="s">
        <v>4151</v>
      </c>
      <c r="B1634" s="375" t="s">
        <v>3148</v>
      </c>
      <c r="C1634" s="375" t="s">
        <v>1966</v>
      </c>
      <c r="D1634" s="375" t="s">
        <v>2353</v>
      </c>
      <c r="E1634" s="375" t="s">
        <v>1970</v>
      </c>
      <c r="F1634" s="375" t="s">
        <v>3630</v>
      </c>
    </row>
    <row r="1635" spans="1:6">
      <c r="A1635" s="375" t="s">
        <v>4151</v>
      </c>
      <c r="B1635" s="375" t="s">
        <v>3148</v>
      </c>
      <c r="C1635" s="375" t="s">
        <v>1966</v>
      </c>
      <c r="D1635" s="375" t="s">
        <v>2353</v>
      </c>
      <c r="E1635" s="375" t="s">
        <v>1971</v>
      </c>
      <c r="F1635" s="375" t="s">
        <v>1586</v>
      </c>
    </row>
    <row r="1636" spans="1:6">
      <c r="A1636" s="375" t="s">
        <v>4151</v>
      </c>
      <c r="B1636" s="375" t="s">
        <v>3148</v>
      </c>
      <c r="C1636" s="375" t="s">
        <v>1966</v>
      </c>
      <c r="D1636" s="375" t="s">
        <v>2353</v>
      </c>
      <c r="E1636" s="375" t="s">
        <v>1972</v>
      </c>
      <c r="F1636" s="375" t="s">
        <v>1587</v>
      </c>
    </row>
    <row r="1637" spans="1:6">
      <c r="A1637" s="375" t="s">
        <v>4151</v>
      </c>
      <c r="B1637" s="375" t="s">
        <v>3148</v>
      </c>
      <c r="C1637" s="375" t="s">
        <v>1966</v>
      </c>
      <c r="D1637" s="375" t="s">
        <v>2353</v>
      </c>
      <c r="E1637" s="375" t="s">
        <v>1973</v>
      </c>
      <c r="F1637" s="375" t="s">
        <v>1588</v>
      </c>
    </row>
    <row r="1638" spans="1:6">
      <c r="A1638" s="375" t="s">
        <v>4151</v>
      </c>
      <c r="B1638" s="375" t="s">
        <v>3148</v>
      </c>
      <c r="C1638" s="375" t="s">
        <v>1967</v>
      </c>
      <c r="D1638" s="375" t="s">
        <v>4390</v>
      </c>
      <c r="E1638" s="375" t="s">
        <v>1964</v>
      </c>
      <c r="F1638" s="375" t="s">
        <v>1589</v>
      </c>
    </row>
    <row r="1639" spans="1:6">
      <c r="A1639" s="375" t="s">
        <v>4151</v>
      </c>
      <c r="B1639" s="375" t="s">
        <v>3148</v>
      </c>
      <c r="C1639" s="375" t="s">
        <v>1967</v>
      </c>
      <c r="D1639" s="375" t="s">
        <v>4390</v>
      </c>
      <c r="E1639" s="375" t="s">
        <v>1965</v>
      </c>
      <c r="F1639" s="375" t="s">
        <v>1590</v>
      </c>
    </row>
    <row r="1640" spans="1:6">
      <c r="A1640" s="375" t="s">
        <v>4151</v>
      </c>
      <c r="B1640" s="375" t="s">
        <v>3148</v>
      </c>
      <c r="C1640" s="375" t="s">
        <v>1967</v>
      </c>
      <c r="D1640" s="375" t="s">
        <v>4390</v>
      </c>
      <c r="E1640" s="375" t="s">
        <v>1966</v>
      </c>
      <c r="F1640" s="375" t="s">
        <v>620</v>
      </c>
    </row>
    <row r="1641" spans="1:6">
      <c r="A1641" s="375" t="s">
        <v>4151</v>
      </c>
      <c r="B1641" s="375" t="s">
        <v>3148</v>
      </c>
      <c r="C1641" s="375" t="s">
        <v>1967</v>
      </c>
      <c r="D1641" s="375" t="s">
        <v>4390</v>
      </c>
      <c r="E1641" s="375" t="s">
        <v>1967</v>
      </c>
      <c r="F1641" s="375" t="s">
        <v>621</v>
      </c>
    </row>
    <row r="1642" spans="1:6">
      <c r="A1642" s="375" t="s">
        <v>4151</v>
      </c>
      <c r="B1642" s="375" t="s">
        <v>3148</v>
      </c>
      <c r="C1642" s="375" t="s">
        <v>1967</v>
      </c>
      <c r="D1642" s="375" t="s">
        <v>4390</v>
      </c>
      <c r="E1642" s="375" t="s">
        <v>1968</v>
      </c>
      <c r="F1642" s="375" t="s">
        <v>622</v>
      </c>
    </row>
    <row r="1643" spans="1:6">
      <c r="A1643" s="375" t="s">
        <v>4151</v>
      </c>
      <c r="B1643" s="375" t="s">
        <v>3148</v>
      </c>
      <c r="C1643" s="375" t="s">
        <v>1967</v>
      </c>
      <c r="D1643" s="375" t="s">
        <v>4390</v>
      </c>
      <c r="E1643" s="375" t="s">
        <v>1969</v>
      </c>
      <c r="F1643" s="375" t="s">
        <v>623</v>
      </c>
    </row>
    <row r="1644" spans="1:6">
      <c r="A1644" s="375" t="s">
        <v>4151</v>
      </c>
      <c r="B1644" s="375" t="s">
        <v>3148</v>
      </c>
      <c r="C1644" s="375" t="s">
        <v>1967</v>
      </c>
      <c r="D1644" s="375" t="s">
        <v>4390</v>
      </c>
      <c r="E1644" s="375" t="s">
        <v>1970</v>
      </c>
      <c r="F1644" s="375" t="s">
        <v>624</v>
      </c>
    </row>
    <row r="1645" spans="1:6">
      <c r="A1645" s="375" t="s">
        <v>4151</v>
      </c>
      <c r="B1645" s="375" t="s">
        <v>3148</v>
      </c>
      <c r="C1645" s="375" t="s">
        <v>1968</v>
      </c>
      <c r="D1645" s="375" t="s">
        <v>625</v>
      </c>
      <c r="E1645" s="375" t="s">
        <v>1964</v>
      </c>
      <c r="F1645" s="375" t="s">
        <v>626</v>
      </c>
    </row>
    <row r="1646" spans="1:6">
      <c r="A1646" s="375" t="s">
        <v>4151</v>
      </c>
      <c r="B1646" s="375" t="s">
        <v>3148</v>
      </c>
      <c r="C1646" s="375" t="s">
        <v>1968</v>
      </c>
      <c r="D1646" s="375" t="s">
        <v>625</v>
      </c>
      <c r="E1646" s="375" t="s">
        <v>1965</v>
      </c>
      <c r="F1646" s="375" t="s">
        <v>4300</v>
      </c>
    </row>
    <row r="1647" spans="1:6">
      <c r="A1647" s="375" t="s">
        <v>4151</v>
      </c>
      <c r="B1647" s="375" t="s">
        <v>3148</v>
      </c>
      <c r="C1647" s="375" t="s">
        <v>1968</v>
      </c>
      <c r="D1647" s="375" t="s">
        <v>625</v>
      </c>
      <c r="E1647" s="375" t="s">
        <v>1966</v>
      </c>
      <c r="F1647" s="375" t="s">
        <v>627</v>
      </c>
    </row>
    <row r="1648" spans="1:6">
      <c r="A1648" s="375" t="s">
        <v>4151</v>
      </c>
      <c r="B1648" s="375" t="s">
        <v>3148</v>
      </c>
      <c r="C1648" s="375" t="s">
        <v>1968</v>
      </c>
      <c r="D1648" s="375" t="s">
        <v>625</v>
      </c>
      <c r="E1648" s="375" t="s">
        <v>1967</v>
      </c>
      <c r="F1648" s="375" t="s">
        <v>559</v>
      </c>
    </row>
    <row r="1649" spans="1:6">
      <c r="A1649" s="375" t="s">
        <v>4151</v>
      </c>
      <c r="B1649" s="375" t="s">
        <v>3148</v>
      </c>
      <c r="C1649" s="375" t="s">
        <v>1968</v>
      </c>
      <c r="D1649" s="375" t="s">
        <v>625</v>
      </c>
      <c r="E1649" s="375" t="s">
        <v>1968</v>
      </c>
      <c r="F1649" s="375" t="s">
        <v>81</v>
      </c>
    </row>
    <row r="1650" spans="1:6">
      <c r="A1650" s="375" t="s">
        <v>4151</v>
      </c>
      <c r="B1650" s="375" t="s">
        <v>3148</v>
      </c>
      <c r="C1650" s="375" t="s">
        <v>1969</v>
      </c>
      <c r="D1650" s="375" t="s">
        <v>82</v>
      </c>
      <c r="E1650" s="375" t="s">
        <v>1964</v>
      </c>
      <c r="F1650" s="375" t="s">
        <v>82</v>
      </c>
    </row>
    <row r="1651" spans="1:6">
      <c r="A1651" s="375" t="s">
        <v>4151</v>
      </c>
      <c r="B1651" s="375" t="s">
        <v>3148</v>
      </c>
      <c r="C1651" s="375" t="s">
        <v>1969</v>
      </c>
      <c r="D1651" s="375" t="s">
        <v>82</v>
      </c>
      <c r="E1651" s="375" t="s">
        <v>1965</v>
      </c>
      <c r="F1651" s="375" t="s">
        <v>2125</v>
      </c>
    </row>
    <row r="1652" spans="1:6">
      <c r="A1652" s="375" t="s">
        <v>4151</v>
      </c>
      <c r="B1652" s="375" t="s">
        <v>3148</v>
      </c>
      <c r="C1652" s="375" t="s">
        <v>1969</v>
      </c>
      <c r="D1652" s="375" t="s">
        <v>82</v>
      </c>
      <c r="E1652" s="375" t="s">
        <v>1966</v>
      </c>
      <c r="F1652" s="375" t="s">
        <v>2126</v>
      </c>
    </row>
    <row r="1653" spans="1:6">
      <c r="A1653" s="375" t="s">
        <v>4151</v>
      </c>
      <c r="B1653" s="375" t="s">
        <v>3148</v>
      </c>
      <c r="C1653" s="375" t="s">
        <v>1969</v>
      </c>
      <c r="D1653" s="375" t="s">
        <v>82</v>
      </c>
      <c r="E1653" s="375" t="s">
        <v>1967</v>
      </c>
      <c r="F1653" s="375" t="s">
        <v>3170</v>
      </c>
    </row>
    <row r="1654" spans="1:6">
      <c r="A1654" s="375" t="s">
        <v>4151</v>
      </c>
      <c r="B1654" s="375" t="s">
        <v>3148</v>
      </c>
      <c r="C1654" s="375" t="s">
        <v>1969</v>
      </c>
      <c r="D1654" s="375" t="s">
        <v>82</v>
      </c>
      <c r="E1654" s="375" t="s">
        <v>1968</v>
      </c>
      <c r="F1654" s="375" t="s">
        <v>3171</v>
      </c>
    </row>
    <row r="1655" spans="1:6">
      <c r="A1655" s="375" t="s">
        <v>4151</v>
      </c>
      <c r="B1655" s="375" t="s">
        <v>3148</v>
      </c>
      <c r="C1655" s="375" t="s">
        <v>1969</v>
      </c>
      <c r="D1655" s="375" t="s">
        <v>82</v>
      </c>
      <c r="E1655" s="375" t="s">
        <v>1969</v>
      </c>
      <c r="F1655" s="375" t="s">
        <v>3237</v>
      </c>
    </row>
    <row r="1656" spans="1:6">
      <c r="A1656" s="375" t="s">
        <v>4151</v>
      </c>
      <c r="B1656" s="375" t="s">
        <v>3148</v>
      </c>
      <c r="C1656" s="375" t="s">
        <v>1969</v>
      </c>
      <c r="D1656" s="375" t="s">
        <v>82</v>
      </c>
      <c r="E1656" s="375" t="s">
        <v>1970</v>
      </c>
      <c r="F1656" s="375" t="s">
        <v>2671</v>
      </c>
    </row>
    <row r="1657" spans="1:6">
      <c r="A1657" s="375" t="s">
        <v>4151</v>
      </c>
      <c r="B1657" s="375" t="s">
        <v>3148</v>
      </c>
      <c r="C1657" s="375" t="s">
        <v>1969</v>
      </c>
      <c r="D1657" s="375" t="s">
        <v>82</v>
      </c>
      <c r="E1657" s="375" t="s">
        <v>1971</v>
      </c>
      <c r="F1657" s="375" t="s">
        <v>2672</v>
      </c>
    </row>
    <row r="1658" spans="1:6">
      <c r="A1658" s="375" t="s">
        <v>4151</v>
      </c>
      <c r="B1658" s="375" t="s">
        <v>3148</v>
      </c>
      <c r="C1658" s="375" t="s">
        <v>1970</v>
      </c>
      <c r="D1658" s="375" t="s">
        <v>1020</v>
      </c>
      <c r="E1658" s="375" t="s">
        <v>1964</v>
      </c>
      <c r="F1658" s="375" t="s">
        <v>1020</v>
      </c>
    </row>
    <row r="1659" spans="1:6">
      <c r="A1659" s="375" t="s">
        <v>4151</v>
      </c>
      <c r="B1659" s="375" t="s">
        <v>3148</v>
      </c>
      <c r="C1659" s="375" t="s">
        <v>1970</v>
      </c>
      <c r="D1659" s="375" t="s">
        <v>1020</v>
      </c>
      <c r="E1659" s="375" t="s">
        <v>1965</v>
      </c>
      <c r="F1659" s="375" t="s">
        <v>2673</v>
      </c>
    </row>
    <row r="1660" spans="1:6">
      <c r="A1660" s="375" t="s">
        <v>4151</v>
      </c>
      <c r="B1660" s="375" t="s">
        <v>3148</v>
      </c>
      <c r="C1660" s="375" t="s">
        <v>1970</v>
      </c>
      <c r="D1660" s="375" t="s">
        <v>1020</v>
      </c>
      <c r="E1660" s="375" t="s">
        <v>1966</v>
      </c>
      <c r="F1660" s="375" t="s">
        <v>2674</v>
      </c>
    </row>
    <row r="1661" spans="1:6">
      <c r="A1661" s="375" t="s">
        <v>4151</v>
      </c>
      <c r="B1661" s="375" t="s">
        <v>3148</v>
      </c>
      <c r="C1661" s="375" t="s">
        <v>1970</v>
      </c>
      <c r="D1661" s="375" t="s">
        <v>1020</v>
      </c>
      <c r="E1661" s="375" t="s">
        <v>1967</v>
      </c>
      <c r="F1661" s="375" t="s">
        <v>2675</v>
      </c>
    </row>
    <row r="1662" spans="1:6">
      <c r="A1662" s="375" t="s">
        <v>4151</v>
      </c>
      <c r="B1662" s="375" t="s">
        <v>3148</v>
      </c>
      <c r="C1662" s="375" t="s">
        <v>1970</v>
      </c>
      <c r="D1662" s="375" t="s">
        <v>1020</v>
      </c>
      <c r="E1662" s="375" t="s">
        <v>1968</v>
      </c>
      <c r="F1662" s="375" t="s">
        <v>2676</v>
      </c>
    </row>
    <row r="1663" spans="1:6">
      <c r="A1663" s="375" t="s">
        <v>4151</v>
      </c>
      <c r="B1663" s="375" t="s">
        <v>3148</v>
      </c>
      <c r="C1663" s="375" t="s">
        <v>1970</v>
      </c>
      <c r="D1663" s="375" t="s">
        <v>1020</v>
      </c>
      <c r="E1663" s="375" t="s">
        <v>1969</v>
      </c>
      <c r="F1663" s="375" t="s">
        <v>4196</v>
      </c>
    </row>
    <row r="1664" spans="1:6">
      <c r="A1664" s="375" t="s">
        <v>4151</v>
      </c>
      <c r="B1664" s="375" t="s">
        <v>3148</v>
      </c>
      <c r="C1664" s="375" t="s">
        <v>1970</v>
      </c>
      <c r="D1664" s="375" t="s">
        <v>1020</v>
      </c>
      <c r="E1664" s="375" t="s">
        <v>1970</v>
      </c>
      <c r="F1664" s="375" t="s">
        <v>2677</v>
      </c>
    </row>
    <row r="1665" spans="1:6">
      <c r="A1665" s="375" t="s">
        <v>4151</v>
      </c>
      <c r="B1665" s="375" t="s">
        <v>3148</v>
      </c>
      <c r="C1665" s="375" t="s">
        <v>1970</v>
      </c>
      <c r="D1665" s="375" t="s">
        <v>1020</v>
      </c>
      <c r="E1665" s="375" t="s">
        <v>1971</v>
      </c>
      <c r="F1665" s="375" t="s">
        <v>3775</v>
      </c>
    </row>
    <row r="1666" spans="1:6">
      <c r="A1666" s="375" t="s">
        <v>4151</v>
      </c>
      <c r="B1666" s="375" t="s">
        <v>3148</v>
      </c>
      <c r="C1666" s="375" t="s">
        <v>1970</v>
      </c>
      <c r="D1666" s="375" t="s">
        <v>1020</v>
      </c>
      <c r="E1666" s="375" t="s">
        <v>1972</v>
      </c>
      <c r="F1666" s="375" t="s">
        <v>1034</v>
      </c>
    </row>
    <row r="1667" spans="1:6">
      <c r="A1667" s="375" t="s">
        <v>4151</v>
      </c>
      <c r="B1667" s="375" t="s">
        <v>3148</v>
      </c>
      <c r="C1667" s="375" t="s">
        <v>1970</v>
      </c>
      <c r="D1667" s="375" t="s">
        <v>1020</v>
      </c>
      <c r="E1667" s="375" t="s">
        <v>1973</v>
      </c>
      <c r="F1667" s="375" t="s">
        <v>2678</v>
      </c>
    </row>
    <row r="1668" spans="1:6">
      <c r="A1668" s="375" t="s">
        <v>4151</v>
      </c>
      <c r="B1668" s="375" t="s">
        <v>3148</v>
      </c>
      <c r="C1668" s="375" t="s">
        <v>1971</v>
      </c>
      <c r="D1668" s="375" t="s">
        <v>3852</v>
      </c>
      <c r="E1668" s="375" t="s">
        <v>1964</v>
      </c>
      <c r="F1668" s="375" t="s">
        <v>2436</v>
      </c>
    </row>
    <row r="1669" spans="1:6">
      <c r="A1669" s="375" t="s">
        <v>4151</v>
      </c>
      <c r="B1669" s="375" t="s">
        <v>3148</v>
      </c>
      <c r="C1669" s="375" t="s">
        <v>1971</v>
      </c>
      <c r="D1669" s="375" t="s">
        <v>3852</v>
      </c>
      <c r="E1669" s="375" t="s">
        <v>1965</v>
      </c>
      <c r="F1669" s="375" t="s">
        <v>3853</v>
      </c>
    </row>
    <row r="1670" spans="1:6">
      <c r="A1670" s="375" t="s">
        <v>4151</v>
      </c>
      <c r="B1670" s="375" t="s">
        <v>3148</v>
      </c>
      <c r="C1670" s="375" t="s">
        <v>1971</v>
      </c>
      <c r="D1670" s="375" t="s">
        <v>3852</v>
      </c>
      <c r="E1670" s="375" t="s">
        <v>1966</v>
      </c>
      <c r="F1670" s="375" t="s">
        <v>3854</v>
      </c>
    </row>
    <row r="1671" spans="1:6">
      <c r="A1671" s="375" t="s">
        <v>4151</v>
      </c>
      <c r="B1671" s="375" t="s">
        <v>3148</v>
      </c>
      <c r="C1671" s="375" t="s">
        <v>1971</v>
      </c>
      <c r="D1671" s="375" t="s">
        <v>3852</v>
      </c>
      <c r="E1671" s="375" t="s">
        <v>1967</v>
      </c>
      <c r="F1671" s="375" t="s">
        <v>3855</v>
      </c>
    </row>
    <row r="1672" spans="1:6">
      <c r="A1672" s="375" t="s">
        <v>4151</v>
      </c>
      <c r="B1672" s="375" t="s">
        <v>3148</v>
      </c>
      <c r="C1672" s="375" t="s">
        <v>1971</v>
      </c>
      <c r="D1672" s="375" t="s">
        <v>3852</v>
      </c>
      <c r="E1672" s="375" t="s">
        <v>1968</v>
      </c>
      <c r="F1672" s="375" t="s">
        <v>3856</v>
      </c>
    </row>
    <row r="1673" spans="1:6">
      <c r="A1673" s="375" t="s">
        <v>4151</v>
      </c>
      <c r="B1673" s="375" t="s">
        <v>3148</v>
      </c>
      <c r="C1673" s="375" t="s">
        <v>1971</v>
      </c>
      <c r="D1673" s="375" t="s">
        <v>3852</v>
      </c>
      <c r="E1673" s="375" t="s">
        <v>1969</v>
      </c>
      <c r="F1673" s="375" t="s">
        <v>4301</v>
      </c>
    </row>
    <row r="1674" spans="1:6">
      <c r="A1674" s="375" t="s">
        <v>4151</v>
      </c>
      <c r="B1674" s="375" t="s">
        <v>3148</v>
      </c>
      <c r="C1674" s="375" t="s">
        <v>1971</v>
      </c>
      <c r="D1674" s="375" t="s">
        <v>3852</v>
      </c>
      <c r="E1674" s="375" t="s">
        <v>1970</v>
      </c>
      <c r="F1674" s="375" t="s">
        <v>3857</v>
      </c>
    </row>
    <row r="1675" spans="1:6">
      <c r="A1675" s="375" t="s">
        <v>4151</v>
      </c>
      <c r="B1675" s="375" t="s">
        <v>3148</v>
      </c>
      <c r="C1675" s="375" t="s">
        <v>1971</v>
      </c>
      <c r="D1675" s="375" t="s">
        <v>3852</v>
      </c>
      <c r="E1675" s="375" t="s">
        <v>1971</v>
      </c>
      <c r="F1675" s="375" t="s">
        <v>559</v>
      </c>
    </row>
    <row r="1676" spans="1:6">
      <c r="A1676" s="375" t="s">
        <v>4151</v>
      </c>
      <c r="B1676" s="375" t="s">
        <v>3148</v>
      </c>
      <c r="C1676" s="375" t="s">
        <v>1971</v>
      </c>
      <c r="D1676" s="375" t="s">
        <v>3852</v>
      </c>
      <c r="E1676" s="375" t="s">
        <v>1972</v>
      </c>
      <c r="F1676" s="375" t="s">
        <v>3858</v>
      </c>
    </row>
    <row r="1677" spans="1:6">
      <c r="A1677" s="375" t="s">
        <v>4151</v>
      </c>
      <c r="B1677" s="375" t="s">
        <v>3148</v>
      </c>
      <c r="C1677" s="375" t="s">
        <v>1972</v>
      </c>
      <c r="D1677" s="375" t="s">
        <v>3859</v>
      </c>
      <c r="E1677" s="375" t="s">
        <v>1964</v>
      </c>
      <c r="F1677" s="375" t="s">
        <v>3859</v>
      </c>
    </row>
    <row r="1678" spans="1:6">
      <c r="A1678" s="375" t="s">
        <v>4151</v>
      </c>
      <c r="B1678" s="375" t="s">
        <v>3148</v>
      </c>
      <c r="C1678" s="375" t="s">
        <v>1972</v>
      </c>
      <c r="D1678" s="375" t="s">
        <v>3859</v>
      </c>
      <c r="E1678" s="375" t="s">
        <v>1965</v>
      </c>
      <c r="F1678" s="375" t="s">
        <v>3860</v>
      </c>
    </row>
    <row r="1679" spans="1:6">
      <c r="A1679" s="375" t="s">
        <v>4151</v>
      </c>
      <c r="B1679" s="375" t="s">
        <v>3148</v>
      </c>
      <c r="C1679" s="375" t="s">
        <v>1972</v>
      </c>
      <c r="D1679" s="375" t="s">
        <v>3859</v>
      </c>
      <c r="E1679" s="375" t="s">
        <v>1966</v>
      </c>
      <c r="F1679" s="375" t="s">
        <v>3861</v>
      </c>
    </row>
    <row r="1680" spans="1:6">
      <c r="A1680" s="375" t="s">
        <v>4151</v>
      </c>
      <c r="B1680" s="375" t="s">
        <v>3148</v>
      </c>
      <c r="C1680" s="375" t="s">
        <v>1972</v>
      </c>
      <c r="D1680" s="375" t="s">
        <v>3859</v>
      </c>
      <c r="E1680" s="375" t="s">
        <v>1967</v>
      </c>
      <c r="F1680" s="375" t="s">
        <v>3415</v>
      </c>
    </row>
    <row r="1681" spans="1:6">
      <c r="A1681" s="375" t="s">
        <v>4151</v>
      </c>
      <c r="B1681" s="375" t="s">
        <v>3148</v>
      </c>
      <c r="C1681" s="375" t="s">
        <v>1973</v>
      </c>
      <c r="D1681" s="375" t="s">
        <v>3416</v>
      </c>
      <c r="E1681" s="375" t="s">
        <v>1964</v>
      </c>
      <c r="F1681" s="375" t="s">
        <v>3417</v>
      </c>
    </row>
    <row r="1682" spans="1:6">
      <c r="A1682" s="375" t="s">
        <v>4151</v>
      </c>
      <c r="B1682" s="375" t="s">
        <v>3148</v>
      </c>
      <c r="C1682" s="375" t="s">
        <v>1973</v>
      </c>
      <c r="D1682" s="375" t="s">
        <v>3416</v>
      </c>
      <c r="E1682" s="375" t="s">
        <v>1965</v>
      </c>
      <c r="F1682" s="375" t="s">
        <v>1824</v>
      </c>
    </row>
    <row r="1683" spans="1:6">
      <c r="A1683" s="375" t="s">
        <v>4151</v>
      </c>
      <c r="B1683" s="375" t="s">
        <v>3148</v>
      </c>
      <c r="C1683" s="375" t="s">
        <v>1973</v>
      </c>
      <c r="D1683" s="375" t="s">
        <v>3416</v>
      </c>
      <c r="E1683" s="375" t="s">
        <v>1966</v>
      </c>
      <c r="F1683" s="375" t="s">
        <v>2102</v>
      </c>
    </row>
    <row r="1684" spans="1:6">
      <c r="A1684" s="375" t="s">
        <v>4151</v>
      </c>
      <c r="B1684" s="375" t="s">
        <v>3148</v>
      </c>
      <c r="C1684" s="375" t="s">
        <v>1973</v>
      </c>
      <c r="D1684" s="375" t="s">
        <v>3416</v>
      </c>
      <c r="E1684" s="375" t="s">
        <v>1967</v>
      </c>
      <c r="F1684" s="375" t="s">
        <v>2103</v>
      </c>
    </row>
    <row r="1685" spans="1:6">
      <c r="A1685" s="375" t="s">
        <v>4151</v>
      </c>
      <c r="B1685" s="375" t="s">
        <v>3148</v>
      </c>
      <c r="C1685" s="375" t="s">
        <v>1973</v>
      </c>
      <c r="D1685" s="375" t="s">
        <v>3416</v>
      </c>
      <c r="E1685" s="375" t="s">
        <v>1968</v>
      </c>
      <c r="F1685" s="375" t="s">
        <v>2104</v>
      </c>
    </row>
    <row r="1686" spans="1:6">
      <c r="A1686" s="375" t="s">
        <v>4151</v>
      </c>
      <c r="B1686" s="375" t="s">
        <v>3148</v>
      </c>
      <c r="C1686" s="375" t="s">
        <v>1974</v>
      </c>
      <c r="D1686" s="375" t="s">
        <v>2105</v>
      </c>
      <c r="E1686" s="375" t="s">
        <v>1964</v>
      </c>
      <c r="F1686" s="375" t="s">
        <v>2106</v>
      </c>
    </row>
    <row r="1687" spans="1:6">
      <c r="A1687" s="375" t="s">
        <v>4151</v>
      </c>
      <c r="B1687" s="375" t="s">
        <v>3148</v>
      </c>
      <c r="C1687" s="375" t="s">
        <v>1974</v>
      </c>
      <c r="D1687" s="375" t="s">
        <v>2105</v>
      </c>
      <c r="E1687" s="375" t="s">
        <v>1965</v>
      </c>
      <c r="F1687" s="375" t="s">
        <v>4263</v>
      </c>
    </row>
    <row r="1688" spans="1:6">
      <c r="A1688" s="375" t="s">
        <v>4151</v>
      </c>
      <c r="B1688" s="375" t="s">
        <v>3148</v>
      </c>
      <c r="C1688" s="375" t="s">
        <v>1974</v>
      </c>
      <c r="D1688" s="375" t="s">
        <v>2105</v>
      </c>
      <c r="E1688" s="375" t="s">
        <v>1966</v>
      </c>
      <c r="F1688" s="375" t="s">
        <v>2457</v>
      </c>
    </row>
    <row r="1689" spans="1:6">
      <c r="A1689" s="375" t="s">
        <v>4151</v>
      </c>
      <c r="B1689" s="375" t="s">
        <v>3148</v>
      </c>
      <c r="C1689" s="375" t="s">
        <v>1974</v>
      </c>
      <c r="D1689" s="375" t="s">
        <v>2105</v>
      </c>
      <c r="E1689" s="375" t="s">
        <v>1967</v>
      </c>
      <c r="F1689" s="375" t="s">
        <v>2458</v>
      </c>
    </row>
    <row r="1690" spans="1:6">
      <c r="A1690" s="375" t="s">
        <v>4151</v>
      </c>
      <c r="B1690" s="375" t="s">
        <v>3148</v>
      </c>
      <c r="C1690" s="375" t="s">
        <v>1975</v>
      </c>
      <c r="D1690" s="375" t="s">
        <v>2459</v>
      </c>
      <c r="E1690" s="375" t="s">
        <v>1964</v>
      </c>
      <c r="F1690" s="375" t="s">
        <v>2459</v>
      </c>
    </row>
    <row r="1691" spans="1:6">
      <c r="A1691" s="375" t="s">
        <v>4151</v>
      </c>
      <c r="B1691" s="375" t="s">
        <v>3148</v>
      </c>
      <c r="C1691" s="375" t="s">
        <v>1975</v>
      </c>
      <c r="D1691" s="375" t="s">
        <v>2459</v>
      </c>
      <c r="E1691" s="375" t="s">
        <v>1965</v>
      </c>
      <c r="F1691" s="375" t="s">
        <v>1066</v>
      </c>
    </row>
    <row r="1692" spans="1:6">
      <c r="A1692" s="375" t="s">
        <v>4151</v>
      </c>
      <c r="B1692" s="375" t="s">
        <v>3148</v>
      </c>
      <c r="C1692" s="375" t="s">
        <v>1975</v>
      </c>
      <c r="D1692" s="375" t="s">
        <v>2459</v>
      </c>
      <c r="E1692" s="375" t="s">
        <v>1966</v>
      </c>
      <c r="F1692" s="375" t="s">
        <v>790</v>
      </c>
    </row>
    <row r="1693" spans="1:6">
      <c r="A1693" s="375" t="s">
        <v>4151</v>
      </c>
      <c r="B1693" s="375" t="s">
        <v>3148</v>
      </c>
      <c r="C1693" s="375" t="s">
        <v>1975</v>
      </c>
      <c r="D1693" s="375" t="s">
        <v>2459</v>
      </c>
      <c r="E1693" s="375" t="s">
        <v>1967</v>
      </c>
      <c r="F1693" s="375" t="s">
        <v>3336</v>
      </c>
    </row>
    <row r="1694" spans="1:6">
      <c r="A1694" s="375" t="s">
        <v>4151</v>
      </c>
      <c r="B1694" s="375" t="s">
        <v>3148</v>
      </c>
      <c r="C1694" s="375" t="s">
        <v>1975</v>
      </c>
      <c r="D1694" s="375" t="s">
        <v>2459</v>
      </c>
      <c r="E1694" s="375" t="s">
        <v>1968</v>
      </c>
      <c r="F1694" s="375" t="s">
        <v>3337</v>
      </c>
    </row>
    <row r="1695" spans="1:6">
      <c r="A1695" s="375" t="s">
        <v>4151</v>
      </c>
      <c r="B1695" s="375" t="s">
        <v>3148</v>
      </c>
      <c r="C1695" s="375" t="s">
        <v>1975</v>
      </c>
      <c r="D1695" s="375" t="s">
        <v>2459</v>
      </c>
      <c r="E1695" s="375" t="s">
        <v>1969</v>
      </c>
      <c r="F1695" s="375" t="s">
        <v>3338</v>
      </c>
    </row>
    <row r="1696" spans="1:6">
      <c r="A1696" s="375" t="s">
        <v>4151</v>
      </c>
      <c r="B1696" s="375" t="s">
        <v>3148</v>
      </c>
      <c r="C1696" s="375" t="s">
        <v>1975</v>
      </c>
      <c r="D1696" s="375" t="s">
        <v>2459</v>
      </c>
      <c r="E1696" s="375" t="s">
        <v>1970</v>
      </c>
      <c r="F1696" s="375" t="s">
        <v>3339</v>
      </c>
    </row>
    <row r="1697" spans="1:6">
      <c r="A1697" s="375" t="s">
        <v>4151</v>
      </c>
      <c r="B1697" s="375" t="s">
        <v>3148</v>
      </c>
      <c r="C1697" s="375" t="s">
        <v>1975</v>
      </c>
      <c r="D1697" s="375" t="s">
        <v>2459</v>
      </c>
      <c r="E1697" s="375" t="s">
        <v>1971</v>
      </c>
      <c r="F1697" s="375" t="s">
        <v>3340</v>
      </c>
    </row>
    <row r="1698" spans="1:6">
      <c r="A1698" s="375" t="s">
        <v>4151</v>
      </c>
      <c r="B1698" s="375" t="s">
        <v>3148</v>
      </c>
      <c r="C1698" s="375" t="s">
        <v>1975</v>
      </c>
      <c r="D1698" s="375" t="s">
        <v>2459</v>
      </c>
      <c r="E1698" s="375" t="s">
        <v>1972</v>
      </c>
      <c r="F1698" s="375" t="s">
        <v>3341</v>
      </c>
    </row>
    <row r="1699" spans="1:6">
      <c r="A1699" s="375" t="s">
        <v>4151</v>
      </c>
      <c r="B1699" s="375" t="s">
        <v>3148</v>
      </c>
      <c r="C1699" s="375" t="s">
        <v>1975</v>
      </c>
      <c r="D1699" s="375" t="s">
        <v>2459</v>
      </c>
      <c r="E1699" s="375" t="s">
        <v>1973</v>
      </c>
      <c r="F1699" s="375" t="s">
        <v>3631</v>
      </c>
    </row>
    <row r="1700" spans="1:6">
      <c r="A1700" s="375" t="s">
        <v>4151</v>
      </c>
      <c r="B1700" s="375" t="s">
        <v>3148</v>
      </c>
      <c r="C1700" s="375" t="s">
        <v>1976</v>
      </c>
      <c r="D1700" s="375" t="s">
        <v>3342</v>
      </c>
      <c r="E1700" s="375" t="s">
        <v>1964</v>
      </c>
      <c r="F1700" s="375" t="s">
        <v>3342</v>
      </c>
    </row>
    <row r="1701" spans="1:6">
      <c r="A1701" s="375" t="s">
        <v>4151</v>
      </c>
      <c r="B1701" s="375" t="s">
        <v>3148</v>
      </c>
      <c r="C1701" s="375" t="s">
        <v>1976</v>
      </c>
      <c r="D1701" s="375" t="s">
        <v>3342</v>
      </c>
      <c r="E1701" s="375" t="s">
        <v>1965</v>
      </c>
      <c r="F1701" s="375" t="s">
        <v>3343</v>
      </c>
    </row>
    <row r="1702" spans="1:6">
      <c r="A1702" s="375" t="s">
        <v>4151</v>
      </c>
      <c r="B1702" s="375" t="s">
        <v>3148</v>
      </c>
      <c r="C1702" s="375" t="s">
        <v>1976</v>
      </c>
      <c r="D1702" s="375" t="s">
        <v>3342</v>
      </c>
      <c r="E1702" s="375" t="s">
        <v>1966</v>
      </c>
      <c r="F1702" s="375" t="s">
        <v>3344</v>
      </c>
    </row>
    <row r="1703" spans="1:6">
      <c r="A1703" s="375" t="s">
        <v>4151</v>
      </c>
      <c r="B1703" s="375" t="s">
        <v>3148</v>
      </c>
      <c r="C1703" s="375" t="s">
        <v>1976</v>
      </c>
      <c r="D1703" s="375" t="s">
        <v>3342</v>
      </c>
      <c r="E1703" s="375" t="s">
        <v>1967</v>
      </c>
      <c r="F1703" s="375" t="s">
        <v>3345</v>
      </c>
    </row>
    <row r="1704" spans="1:6">
      <c r="A1704" s="375" t="s">
        <v>4151</v>
      </c>
      <c r="B1704" s="375" t="s">
        <v>3148</v>
      </c>
      <c r="C1704" s="375" t="s">
        <v>1976</v>
      </c>
      <c r="D1704" s="375" t="s">
        <v>3342</v>
      </c>
      <c r="E1704" s="375" t="s">
        <v>1968</v>
      </c>
      <c r="F1704" s="375" t="s">
        <v>486</v>
      </c>
    </row>
    <row r="1705" spans="1:6">
      <c r="A1705" s="375" t="s">
        <v>4151</v>
      </c>
      <c r="B1705" s="375" t="s">
        <v>3148</v>
      </c>
      <c r="C1705" s="375" t="s">
        <v>1976</v>
      </c>
      <c r="D1705" s="375" t="s">
        <v>3342</v>
      </c>
      <c r="E1705" s="375" t="s">
        <v>1969</v>
      </c>
      <c r="F1705" s="375" t="s">
        <v>1579</v>
      </c>
    </row>
    <row r="1706" spans="1:6">
      <c r="A1706" s="375" t="s">
        <v>4151</v>
      </c>
      <c r="B1706" s="375" t="s">
        <v>3148</v>
      </c>
      <c r="C1706" s="375" t="s">
        <v>1976</v>
      </c>
      <c r="D1706" s="375" t="s">
        <v>3342</v>
      </c>
      <c r="E1706" s="375" t="s">
        <v>1970</v>
      </c>
      <c r="F1706" s="375" t="s">
        <v>3684</v>
      </c>
    </row>
    <row r="1707" spans="1:6">
      <c r="A1707" s="375" t="s">
        <v>4152</v>
      </c>
      <c r="B1707" s="375" t="s">
        <v>3685</v>
      </c>
      <c r="C1707" s="375" t="s">
        <v>1964</v>
      </c>
      <c r="D1707" s="375" t="s">
        <v>3686</v>
      </c>
      <c r="E1707" s="375" t="s">
        <v>1964</v>
      </c>
      <c r="F1707" s="375" t="s">
        <v>3686</v>
      </c>
    </row>
    <row r="1708" spans="1:6">
      <c r="A1708" s="375" t="s">
        <v>4152</v>
      </c>
      <c r="B1708" s="375" t="s">
        <v>3685</v>
      </c>
      <c r="C1708" s="375" t="s">
        <v>1964</v>
      </c>
      <c r="D1708" s="375" t="s">
        <v>3686</v>
      </c>
      <c r="E1708" s="375" t="s">
        <v>1965</v>
      </c>
      <c r="F1708" s="375" t="s">
        <v>3687</v>
      </c>
    </row>
    <row r="1709" spans="1:6">
      <c r="A1709" s="375" t="s">
        <v>4152</v>
      </c>
      <c r="B1709" s="375" t="s">
        <v>3685</v>
      </c>
      <c r="C1709" s="375" t="s">
        <v>1964</v>
      </c>
      <c r="D1709" s="375" t="s">
        <v>3686</v>
      </c>
      <c r="E1709" s="375" t="s">
        <v>1966</v>
      </c>
      <c r="F1709" s="375" t="s">
        <v>3688</v>
      </c>
    </row>
    <row r="1710" spans="1:6">
      <c r="A1710" s="375" t="s">
        <v>4152</v>
      </c>
      <c r="B1710" s="375" t="s">
        <v>3685</v>
      </c>
      <c r="C1710" s="375" t="s">
        <v>1964</v>
      </c>
      <c r="D1710" s="375" t="s">
        <v>3686</v>
      </c>
      <c r="E1710" s="375" t="s">
        <v>1967</v>
      </c>
      <c r="F1710" s="375" t="s">
        <v>3689</v>
      </c>
    </row>
    <row r="1711" spans="1:6">
      <c r="A1711" s="375" t="s">
        <v>4152</v>
      </c>
      <c r="B1711" s="375" t="s">
        <v>3685</v>
      </c>
      <c r="C1711" s="375" t="s">
        <v>1964</v>
      </c>
      <c r="D1711" s="375" t="s">
        <v>3686</v>
      </c>
      <c r="E1711" s="375" t="s">
        <v>1968</v>
      </c>
      <c r="F1711" s="375" t="s">
        <v>3690</v>
      </c>
    </row>
    <row r="1712" spans="1:6">
      <c r="A1712" s="375" t="s">
        <v>4152</v>
      </c>
      <c r="B1712" s="375" t="s">
        <v>3685</v>
      </c>
      <c r="C1712" s="375" t="s">
        <v>1964</v>
      </c>
      <c r="D1712" s="375" t="s">
        <v>3686</v>
      </c>
      <c r="E1712" s="375" t="s">
        <v>1969</v>
      </c>
      <c r="F1712" s="375" t="s">
        <v>3691</v>
      </c>
    </row>
    <row r="1713" spans="1:6">
      <c r="A1713" s="375" t="s">
        <v>4152</v>
      </c>
      <c r="B1713" s="375" t="s">
        <v>3685</v>
      </c>
      <c r="C1713" s="375" t="s">
        <v>1965</v>
      </c>
      <c r="D1713" s="375" t="s">
        <v>2303</v>
      </c>
      <c r="E1713" s="375" t="s">
        <v>1964</v>
      </c>
      <c r="F1713" s="375" t="s">
        <v>2303</v>
      </c>
    </row>
    <row r="1714" spans="1:6">
      <c r="A1714" s="375" t="s">
        <v>4152</v>
      </c>
      <c r="B1714" s="375" t="s">
        <v>3685</v>
      </c>
      <c r="C1714" s="375" t="s">
        <v>1965</v>
      </c>
      <c r="D1714" s="375" t="s">
        <v>2303</v>
      </c>
      <c r="E1714" s="375" t="s">
        <v>1965</v>
      </c>
      <c r="F1714" s="375" t="s">
        <v>3692</v>
      </c>
    </row>
    <row r="1715" spans="1:6">
      <c r="A1715" s="375" t="s">
        <v>4152</v>
      </c>
      <c r="B1715" s="375" t="s">
        <v>3685</v>
      </c>
      <c r="C1715" s="375" t="s">
        <v>1965</v>
      </c>
      <c r="D1715" s="375" t="s">
        <v>2303</v>
      </c>
      <c r="E1715" s="375" t="s">
        <v>1966</v>
      </c>
      <c r="F1715" s="375" t="s">
        <v>3693</v>
      </c>
    </row>
    <row r="1716" spans="1:6">
      <c r="A1716" s="375" t="s">
        <v>4152</v>
      </c>
      <c r="B1716" s="375" t="s">
        <v>3685</v>
      </c>
      <c r="C1716" s="375" t="s">
        <v>1965</v>
      </c>
      <c r="D1716" s="375" t="s">
        <v>2303</v>
      </c>
      <c r="E1716" s="375" t="s">
        <v>1967</v>
      </c>
      <c r="F1716" s="375" t="s">
        <v>3694</v>
      </c>
    </row>
    <row r="1717" spans="1:6">
      <c r="A1717" s="375" t="s">
        <v>4152</v>
      </c>
      <c r="B1717" s="375" t="s">
        <v>3685</v>
      </c>
      <c r="C1717" s="375" t="s">
        <v>1965</v>
      </c>
      <c r="D1717" s="375" t="s">
        <v>2303</v>
      </c>
      <c r="E1717" s="375" t="s">
        <v>1968</v>
      </c>
      <c r="F1717" s="375" t="s">
        <v>244</v>
      </c>
    </row>
    <row r="1718" spans="1:6">
      <c r="A1718" s="375" t="s">
        <v>4152</v>
      </c>
      <c r="B1718" s="375" t="s">
        <v>3685</v>
      </c>
      <c r="C1718" s="375" t="s">
        <v>1965</v>
      </c>
      <c r="D1718" s="375" t="s">
        <v>2303</v>
      </c>
      <c r="E1718" s="375" t="s">
        <v>1969</v>
      </c>
      <c r="F1718" s="375" t="s">
        <v>1192</v>
      </c>
    </row>
    <row r="1719" spans="1:6">
      <c r="A1719" s="375" t="s">
        <v>4152</v>
      </c>
      <c r="B1719" s="375" t="s">
        <v>3685</v>
      </c>
      <c r="C1719" s="375" t="s">
        <v>1966</v>
      </c>
      <c r="D1719" s="375" t="s">
        <v>3695</v>
      </c>
      <c r="E1719" s="375" t="s">
        <v>1964</v>
      </c>
      <c r="F1719" s="375" t="s">
        <v>3696</v>
      </c>
    </row>
    <row r="1720" spans="1:6">
      <c r="A1720" s="375" t="s">
        <v>4152</v>
      </c>
      <c r="B1720" s="375" t="s">
        <v>3685</v>
      </c>
      <c r="C1720" s="375" t="s">
        <v>1966</v>
      </c>
      <c r="D1720" s="375" t="s">
        <v>3695</v>
      </c>
      <c r="E1720" s="375" t="s">
        <v>1965</v>
      </c>
      <c r="F1720" s="375" t="s">
        <v>3697</v>
      </c>
    </row>
    <row r="1721" spans="1:6">
      <c r="A1721" s="375" t="s">
        <v>4152</v>
      </c>
      <c r="B1721" s="375" t="s">
        <v>3685</v>
      </c>
      <c r="C1721" s="375" t="s">
        <v>1966</v>
      </c>
      <c r="D1721" s="375" t="s">
        <v>3695</v>
      </c>
      <c r="E1721" s="375" t="s">
        <v>1966</v>
      </c>
      <c r="F1721" s="375" t="s">
        <v>3685</v>
      </c>
    </row>
    <row r="1722" spans="1:6">
      <c r="A1722" s="375" t="s">
        <v>4152</v>
      </c>
      <c r="B1722" s="375" t="s">
        <v>3685</v>
      </c>
      <c r="C1722" s="375" t="s">
        <v>1966</v>
      </c>
      <c r="D1722" s="375" t="s">
        <v>3695</v>
      </c>
      <c r="E1722" s="375" t="s">
        <v>1967</v>
      </c>
      <c r="F1722" s="375" t="s">
        <v>559</v>
      </c>
    </row>
    <row r="1723" spans="1:6">
      <c r="A1723" s="375" t="s">
        <v>4152</v>
      </c>
      <c r="B1723" s="375" t="s">
        <v>3685</v>
      </c>
      <c r="C1723" s="375" t="s">
        <v>1966</v>
      </c>
      <c r="D1723" s="375" t="s">
        <v>3695</v>
      </c>
      <c r="E1723" s="375" t="s">
        <v>1968</v>
      </c>
      <c r="F1723" s="375" t="s">
        <v>3698</v>
      </c>
    </row>
    <row r="1724" spans="1:6">
      <c r="A1724" s="375" t="s">
        <v>4152</v>
      </c>
      <c r="B1724" s="375" t="s">
        <v>3685</v>
      </c>
      <c r="C1724" s="375" t="s">
        <v>1967</v>
      </c>
      <c r="D1724" s="375" t="s">
        <v>3694</v>
      </c>
      <c r="E1724" s="375" t="s">
        <v>1964</v>
      </c>
      <c r="F1724" s="375" t="s">
        <v>1732</v>
      </c>
    </row>
    <row r="1725" spans="1:6">
      <c r="A1725" s="375" t="s">
        <v>4152</v>
      </c>
      <c r="B1725" s="375" t="s">
        <v>3685</v>
      </c>
      <c r="C1725" s="375" t="s">
        <v>1967</v>
      </c>
      <c r="D1725" s="375" t="s">
        <v>3694</v>
      </c>
      <c r="E1725" s="375" t="s">
        <v>1965</v>
      </c>
      <c r="F1725" s="375" t="s">
        <v>1733</v>
      </c>
    </row>
    <row r="1726" spans="1:6">
      <c r="A1726" s="375" t="s">
        <v>4152</v>
      </c>
      <c r="B1726" s="375" t="s">
        <v>3685</v>
      </c>
      <c r="C1726" s="375" t="s">
        <v>1967</v>
      </c>
      <c r="D1726" s="375" t="s">
        <v>3694</v>
      </c>
      <c r="E1726" s="375" t="s">
        <v>1966</v>
      </c>
      <c r="F1726" s="375" t="s">
        <v>1734</v>
      </c>
    </row>
    <row r="1727" spans="1:6">
      <c r="A1727" s="375" t="s">
        <v>4152</v>
      </c>
      <c r="B1727" s="375" t="s">
        <v>3685</v>
      </c>
      <c r="C1727" s="375" t="s">
        <v>1967</v>
      </c>
      <c r="D1727" s="375" t="s">
        <v>3694</v>
      </c>
      <c r="E1727" s="375" t="s">
        <v>1967</v>
      </c>
      <c r="F1727" s="375" t="s">
        <v>1735</v>
      </c>
    </row>
    <row r="1728" spans="1:6">
      <c r="A1728" s="375" t="s">
        <v>4152</v>
      </c>
      <c r="B1728" s="375" t="s">
        <v>3685</v>
      </c>
      <c r="C1728" s="375" t="s">
        <v>1967</v>
      </c>
      <c r="D1728" s="375" t="s">
        <v>3694</v>
      </c>
      <c r="E1728" s="375" t="s">
        <v>1968</v>
      </c>
      <c r="F1728" s="375" t="s">
        <v>1736</v>
      </c>
    </row>
    <row r="1729" spans="1:6">
      <c r="A1729" s="375" t="s">
        <v>4152</v>
      </c>
      <c r="B1729" s="375" t="s">
        <v>3685</v>
      </c>
      <c r="C1729" s="375" t="s">
        <v>1967</v>
      </c>
      <c r="D1729" s="375" t="s">
        <v>3694</v>
      </c>
      <c r="E1729" s="375" t="s">
        <v>1969</v>
      </c>
      <c r="F1729" s="375" t="s">
        <v>1737</v>
      </c>
    </row>
    <row r="1730" spans="1:6">
      <c r="A1730" s="375" t="s">
        <v>4152</v>
      </c>
      <c r="B1730" s="375" t="s">
        <v>3685</v>
      </c>
      <c r="C1730" s="375" t="s">
        <v>1968</v>
      </c>
      <c r="D1730" s="375" t="s">
        <v>1738</v>
      </c>
      <c r="E1730" s="375" t="s">
        <v>1964</v>
      </c>
      <c r="F1730" s="375" t="s">
        <v>1738</v>
      </c>
    </row>
    <row r="1731" spans="1:6">
      <c r="A1731" s="375" t="s">
        <v>4152</v>
      </c>
      <c r="B1731" s="375" t="s">
        <v>3685</v>
      </c>
      <c r="C1731" s="375" t="s">
        <v>1968</v>
      </c>
      <c r="D1731" s="375" t="s">
        <v>1738</v>
      </c>
      <c r="E1731" s="375" t="s">
        <v>1965</v>
      </c>
      <c r="F1731" s="375" t="s">
        <v>2505</v>
      </c>
    </row>
    <row r="1732" spans="1:6">
      <c r="A1732" s="375" t="s">
        <v>4152</v>
      </c>
      <c r="B1732" s="375" t="s">
        <v>3685</v>
      </c>
      <c r="C1732" s="375" t="s">
        <v>1968</v>
      </c>
      <c r="D1732" s="375" t="s">
        <v>1738</v>
      </c>
      <c r="E1732" s="375" t="s">
        <v>1966</v>
      </c>
      <c r="F1732" s="375" t="s">
        <v>2506</v>
      </c>
    </row>
    <row r="1733" spans="1:6">
      <c r="A1733" s="375" t="s">
        <v>4152</v>
      </c>
      <c r="B1733" s="375" t="s">
        <v>3685</v>
      </c>
      <c r="C1733" s="375" t="s">
        <v>1968</v>
      </c>
      <c r="D1733" s="375" t="s">
        <v>1738</v>
      </c>
      <c r="E1733" s="375" t="s">
        <v>1967</v>
      </c>
      <c r="F1733" s="375" t="s">
        <v>4302</v>
      </c>
    </row>
    <row r="1734" spans="1:6">
      <c r="A1734" s="375" t="s">
        <v>4152</v>
      </c>
      <c r="B1734" s="375" t="s">
        <v>3685</v>
      </c>
      <c r="C1734" s="375" t="s">
        <v>1968</v>
      </c>
      <c r="D1734" s="375" t="s">
        <v>1738</v>
      </c>
      <c r="E1734" s="375" t="s">
        <v>1968</v>
      </c>
      <c r="F1734" s="375" t="s">
        <v>4303</v>
      </c>
    </row>
    <row r="1735" spans="1:6">
      <c r="A1735" s="375" t="s">
        <v>4152</v>
      </c>
      <c r="B1735" s="375" t="s">
        <v>3685</v>
      </c>
      <c r="C1735" s="375" t="s">
        <v>1968</v>
      </c>
      <c r="D1735" s="375" t="s">
        <v>1738</v>
      </c>
      <c r="E1735" s="375" t="s">
        <v>1969</v>
      </c>
      <c r="F1735" s="375" t="s">
        <v>2507</v>
      </c>
    </row>
    <row r="1736" spans="1:6">
      <c r="A1736" s="375" t="s">
        <v>4152</v>
      </c>
      <c r="B1736" s="375" t="s">
        <v>3685</v>
      </c>
      <c r="C1736" s="375" t="s">
        <v>1968</v>
      </c>
      <c r="D1736" s="375" t="s">
        <v>1738</v>
      </c>
      <c r="E1736" s="375" t="s">
        <v>1970</v>
      </c>
      <c r="F1736" s="375" t="s">
        <v>2508</v>
      </c>
    </row>
    <row r="1737" spans="1:6">
      <c r="A1737" s="375" t="s">
        <v>4152</v>
      </c>
      <c r="B1737" s="375" t="s">
        <v>3685</v>
      </c>
      <c r="C1737" s="375" t="s">
        <v>1968</v>
      </c>
      <c r="D1737" s="375" t="s">
        <v>1738</v>
      </c>
      <c r="E1737" s="375" t="s">
        <v>1971</v>
      </c>
      <c r="F1737" s="375" t="s">
        <v>2509</v>
      </c>
    </row>
    <row r="1738" spans="1:6">
      <c r="A1738" s="375" t="s">
        <v>4152</v>
      </c>
      <c r="B1738" s="375" t="s">
        <v>3685</v>
      </c>
      <c r="C1738" s="375" t="s">
        <v>1968</v>
      </c>
      <c r="D1738" s="375" t="s">
        <v>1738</v>
      </c>
      <c r="E1738" s="375" t="s">
        <v>1972</v>
      </c>
      <c r="F1738" s="375" t="s">
        <v>2510</v>
      </c>
    </row>
    <row r="1739" spans="1:6">
      <c r="A1739" s="375" t="s">
        <v>4152</v>
      </c>
      <c r="B1739" s="375" t="s">
        <v>3685</v>
      </c>
      <c r="C1739" s="375" t="s">
        <v>1968</v>
      </c>
      <c r="D1739" s="375" t="s">
        <v>1738</v>
      </c>
      <c r="E1739" s="375" t="s">
        <v>1973</v>
      </c>
      <c r="F1739" s="375" t="s">
        <v>2511</v>
      </c>
    </row>
    <row r="1740" spans="1:6">
      <c r="A1740" s="375" t="s">
        <v>4152</v>
      </c>
      <c r="B1740" s="375" t="s">
        <v>3685</v>
      </c>
      <c r="C1740" s="375" t="s">
        <v>1968</v>
      </c>
      <c r="D1740" s="375" t="s">
        <v>1738</v>
      </c>
      <c r="E1740" s="375" t="s">
        <v>1974</v>
      </c>
      <c r="F1740" s="375" t="s">
        <v>2512</v>
      </c>
    </row>
    <row r="1741" spans="1:6">
      <c r="A1741" s="375" t="s">
        <v>4152</v>
      </c>
      <c r="B1741" s="375" t="s">
        <v>3685</v>
      </c>
      <c r="C1741" s="375" t="s">
        <v>1969</v>
      </c>
      <c r="D1741" s="375" t="s">
        <v>2386</v>
      </c>
      <c r="E1741" s="375" t="s">
        <v>1964</v>
      </c>
      <c r="F1741" s="375" t="s">
        <v>2513</v>
      </c>
    </row>
    <row r="1742" spans="1:6">
      <c r="A1742" s="375" t="s">
        <v>4152</v>
      </c>
      <c r="B1742" s="375" t="s">
        <v>3685</v>
      </c>
      <c r="C1742" s="375" t="s">
        <v>1969</v>
      </c>
      <c r="D1742" s="375" t="s">
        <v>2386</v>
      </c>
      <c r="E1742" s="375" t="s">
        <v>1965</v>
      </c>
      <c r="F1742" s="375" t="s">
        <v>2815</v>
      </c>
    </row>
    <row r="1743" spans="1:6">
      <c r="A1743" s="375" t="s">
        <v>4152</v>
      </c>
      <c r="B1743" s="375" t="s">
        <v>3685</v>
      </c>
      <c r="C1743" s="375" t="s">
        <v>1969</v>
      </c>
      <c r="D1743" s="375" t="s">
        <v>2386</v>
      </c>
      <c r="E1743" s="375" t="s">
        <v>1966</v>
      </c>
      <c r="F1743" s="375" t="s">
        <v>2816</v>
      </c>
    </row>
    <row r="1744" spans="1:6">
      <c r="A1744" s="375" t="s">
        <v>4152</v>
      </c>
      <c r="B1744" s="375" t="s">
        <v>3685</v>
      </c>
      <c r="C1744" s="375" t="s">
        <v>1969</v>
      </c>
      <c r="D1744" s="375" t="s">
        <v>2386</v>
      </c>
      <c r="E1744" s="375" t="s">
        <v>1967</v>
      </c>
      <c r="F1744" s="375" t="s">
        <v>2817</v>
      </c>
    </row>
    <row r="1745" spans="1:6">
      <c r="A1745" s="375" t="s">
        <v>4152</v>
      </c>
      <c r="B1745" s="375" t="s">
        <v>3685</v>
      </c>
      <c r="C1745" s="375" t="s">
        <v>1969</v>
      </c>
      <c r="D1745" s="375" t="s">
        <v>2386</v>
      </c>
      <c r="E1745" s="375" t="s">
        <v>1968</v>
      </c>
      <c r="F1745" s="375" t="s">
        <v>2818</v>
      </c>
    </row>
    <row r="1746" spans="1:6">
      <c r="A1746" s="375" t="s">
        <v>4152</v>
      </c>
      <c r="B1746" s="375" t="s">
        <v>3685</v>
      </c>
      <c r="C1746" s="375" t="s">
        <v>1970</v>
      </c>
      <c r="D1746" s="375" t="s">
        <v>2819</v>
      </c>
      <c r="E1746" s="375" t="s">
        <v>1964</v>
      </c>
      <c r="F1746" s="375" t="s">
        <v>2819</v>
      </c>
    </row>
    <row r="1747" spans="1:6">
      <c r="A1747" s="375" t="s">
        <v>4152</v>
      </c>
      <c r="B1747" s="375" t="s">
        <v>3685</v>
      </c>
      <c r="C1747" s="375" t="s">
        <v>1970</v>
      </c>
      <c r="D1747" s="375" t="s">
        <v>2819</v>
      </c>
      <c r="E1747" s="375" t="s">
        <v>1965</v>
      </c>
      <c r="F1747" s="375" t="s">
        <v>3440</v>
      </c>
    </row>
    <row r="1748" spans="1:6">
      <c r="A1748" s="375" t="s">
        <v>4152</v>
      </c>
      <c r="B1748" s="375" t="s">
        <v>3685</v>
      </c>
      <c r="C1748" s="375" t="s">
        <v>1970</v>
      </c>
      <c r="D1748" s="375" t="s">
        <v>2819</v>
      </c>
      <c r="E1748" s="375" t="s">
        <v>1966</v>
      </c>
      <c r="F1748" s="375" t="s">
        <v>2820</v>
      </c>
    </row>
    <row r="1749" spans="1:6">
      <c r="A1749" s="375" t="s">
        <v>4152</v>
      </c>
      <c r="B1749" s="375" t="s">
        <v>3685</v>
      </c>
      <c r="C1749" s="375" t="s">
        <v>1970</v>
      </c>
      <c r="D1749" s="375" t="s">
        <v>2819</v>
      </c>
      <c r="E1749" s="375" t="s">
        <v>1967</v>
      </c>
      <c r="F1749" s="375" t="s">
        <v>4273</v>
      </c>
    </row>
    <row r="1750" spans="1:6">
      <c r="A1750" s="375" t="s">
        <v>4152</v>
      </c>
      <c r="B1750" s="375" t="s">
        <v>3685</v>
      </c>
      <c r="C1750" s="375" t="s">
        <v>1970</v>
      </c>
      <c r="D1750" s="375" t="s">
        <v>2819</v>
      </c>
      <c r="E1750" s="375" t="s">
        <v>1968</v>
      </c>
      <c r="F1750" s="375" t="s">
        <v>4274</v>
      </c>
    </row>
    <row r="1751" spans="1:6">
      <c r="A1751" s="375" t="s">
        <v>4152</v>
      </c>
      <c r="B1751" s="375" t="s">
        <v>3685</v>
      </c>
      <c r="C1751" s="375" t="s">
        <v>1970</v>
      </c>
      <c r="D1751" s="375" t="s">
        <v>2819</v>
      </c>
      <c r="E1751" s="375" t="s">
        <v>1969</v>
      </c>
      <c r="F1751" s="375" t="s">
        <v>1221</v>
      </c>
    </row>
    <row r="1752" spans="1:6">
      <c r="A1752" s="375" t="s">
        <v>4152</v>
      </c>
      <c r="B1752" s="375" t="s">
        <v>3685</v>
      </c>
      <c r="C1752" s="375" t="s">
        <v>1970</v>
      </c>
      <c r="D1752" s="375" t="s">
        <v>2819</v>
      </c>
      <c r="E1752" s="375" t="s">
        <v>1970</v>
      </c>
      <c r="F1752" s="375" t="s">
        <v>4275</v>
      </c>
    </row>
    <row r="1753" spans="1:6">
      <c r="A1753" s="375" t="s">
        <v>4152</v>
      </c>
      <c r="B1753" s="375" t="s">
        <v>3685</v>
      </c>
      <c r="C1753" s="375" t="s">
        <v>1970</v>
      </c>
      <c r="D1753" s="375" t="s">
        <v>2819</v>
      </c>
      <c r="E1753" s="375" t="s">
        <v>1971</v>
      </c>
      <c r="F1753" s="375" t="s">
        <v>4276</v>
      </c>
    </row>
    <row r="1754" spans="1:6">
      <c r="A1754" s="375" t="s">
        <v>4152</v>
      </c>
      <c r="B1754" s="375" t="s">
        <v>3685</v>
      </c>
      <c r="C1754" s="375" t="s">
        <v>1970</v>
      </c>
      <c r="D1754" s="375" t="s">
        <v>2819</v>
      </c>
      <c r="E1754" s="375" t="s">
        <v>1972</v>
      </c>
      <c r="F1754" s="375" t="s">
        <v>4277</v>
      </c>
    </row>
    <row r="1755" spans="1:6">
      <c r="A1755" s="375" t="s">
        <v>4152</v>
      </c>
      <c r="B1755" s="375" t="s">
        <v>3685</v>
      </c>
      <c r="C1755" s="375" t="s">
        <v>1970</v>
      </c>
      <c r="D1755" s="375" t="s">
        <v>2819</v>
      </c>
      <c r="E1755" s="375" t="s">
        <v>1973</v>
      </c>
      <c r="F1755" s="375" t="s">
        <v>4278</v>
      </c>
    </row>
    <row r="1756" spans="1:6">
      <c r="A1756" s="375" t="s">
        <v>4152</v>
      </c>
      <c r="B1756" s="375" t="s">
        <v>3685</v>
      </c>
      <c r="C1756" s="375" t="s">
        <v>1971</v>
      </c>
      <c r="D1756" s="375" t="s">
        <v>4279</v>
      </c>
      <c r="E1756" s="375" t="s">
        <v>1964</v>
      </c>
      <c r="F1756" s="375" t="s">
        <v>4279</v>
      </c>
    </row>
    <row r="1757" spans="1:6">
      <c r="A1757" s="375" t="s">
        <v>4152</v>
      </c>
      <c r="B1757" s="375" t="s">
        <v>3685</v>
      </c>
      <c r="C1757" s="375" t="s">
        <v>1971</v>
      </c>
      <c r="D1757" s="375" t="s">
        <v>4279</v>
      </c>
      <c r="E1757" s="375" t="s">
        <v>1965</v>
      </c>
      <c r="F1757" s="375" t="s">
        <v>85</v>
      </c>
    </row>
    <row r="1758" spans="1:6">
      <c r="A1758" s="375" t="s">
        <v>4152</v>
      </c>
      <c r="B1758" s="375" t="s">
        <v>3685</v>
      </c>
      <c r="C1758" s="375" t="s">
        <v>1971</v>
      </c>
      <c r="D1758" s="375" t="s">
        <v>4279</v>
      </c>
      <c r="E1758" s="375" t="s">
        <v>1966</v>
      </c>
      <c r="F1758" s="375" t="s">
        <v>240</v>
      </c>
    </row>
    <row r="1759" spans="1:6">
      <c r="A1759" s="375" t="s">
        <v>4152</v>
      </c>
      <c r="B1759" s="375" t="s">
        <v>3685</v>
      </c>
      <c r="C1759" s="375" t="s">
        <v>1971</v>
      </c>
      <c r="D1759" s="375" t="s">
        <v>4279</v>
      </c>
      <c r="E1759" s="375" t="s">
        <v>1967</v>
      </c>
      <c r="F1759" s="375" t="s">
        <v>241</v>
      </c>
    </row>
    <row r="1760" spans="1:6">
      <c r="A1760" s="375" t="s">
        <v>4152</v>
      </c>
      <c r="B1760" s="375" t="s">
        <v>3685</v>
      </c>
      <c r="C1760" s="375" t="s">
        <v>1971</v>
      </c>
      <c r="D1760" s="375" t="s">
        <v>4279</v>
      </c>
      <c r="E1760" s="375" t="s">
        <v>1968</v>
      </c>
      <c r="F1760" s="375" t="s">
        <v>1701</v>
      </c>
    </row>
    <row r="1761" spans="1:6">
      <c r="A1761" s="375" t="s">
        <v>4152</v>
      </c>
      <c r="B1761" s="375" t="s">
        <v>3685</v>
      </c>
      <c r="C1761" s="375" t="s">
        <v>1971</v>
      </c>
      <c r="D1761" s="375" t="s">
        <v>4279</v>
      </c>
      <c r="E1761" s="375" t="s">
        <v>1969</v>
      </c>
      <c r="F1761" s="375" t="s">
        <v>1702</v>
      </c>
    </row>
    <row r="1762" spans="1:6">
      <c r="A1762" s="375" t="s">
        <v>4152</v>
      </c>
      <c r="B1762" s="375" t="s">
        <v>3685</v>
      </c>
      <c r="C1762" s="375" t="s">
        <v>1971</v>
      </c>
      <c r="D1762" s="375" t="s">
        <v>4279</v>
      </c>
      <c r="E1762" s="375" t="s">
        <v>1970</v>
      </c>
      <c r="F1762" s="375" t="s">
        <v>1703</v>
      </c>
    </row>
    <row r="1763" spans="1:6">
      <c r="A1763" s="375" t="s">
        <v>4152</v>
      </c>
      <c r="B1763" s="375" t="s">
        <v>3685</v>
      </c>
      <c r="C1763" s="375" t="s">
        <v>1971</v>
      </c>
      <c r="D1763" s="375" t="s">
        <v>4279</v>
      </c>
      <c r="E1763" s="375" t="s">
        <v>1971</v>
      </c>
      <c r="F1763" s="375" t="s">
        <v>1704</v>
      </c>
    </row>
    <row r="1764" spans="1:6">
      <c r="A1764" s="375" t="s">
        <v>4152</v>
      </c>
      <c r="B1764" s="375" t="s">
        <v>3685</v>
      </c>
      <c r="C1764" s="375" t="s">
        <v>1971</v>
      </c>
      <c r="D1764" s="375" t="s">
        <v>4279</v>
      </c>
      <c r="E1764" s="375" t="s">
        <v>1972</v>
      </c>
      <c r="F1764" s="375" t="s">
        <v>1705</v>
      </c>
    </row>
    <row r="1765" spans="1:6">
      <c r="A1765" s="375" t="s">
        <v>4152</v>
      </c>
      <c r="B1765" s="375" t="s">
        <v>3685</v>
      </c>
      <c r="C1765" s="375" t="s">
        <v>1972</v>
      </c>
      <c r="D1765" s="375" t="s">
        <v>3685</v>
      </c>
      <c r="E1765" s="375" t="s">
        <v>1964</v>
      </c>
      <c r="F1765" s="375" t="s">
        <v>1706</v>
      </c>
    </row>
    <row r="1766" spans="1:6">
      <c r="A1766" s="375" t="s">
        <v>4152</v>
      </c>
      <c r="B1766" s="375" t="s">
        <v>3685</v>
      </c>
      <c r="C1766" s="375" t="s">
        <v>1972</v>
      </c>
      <c r="D1766" s="375" t="s">
        <v>3685</v>
      </c>
      <c r="E1766" s="375" t="s">
        <v>1965</v>
      </c>
      <c r="F1766" s="375" t="s">
        <v>1707</v>
      </c>
    </row>
    <row r="1767" spans="1:6">
      <c r="A1767" s="375" t="s">
        <v>4152</v>
      </c>
      <c r="B1767" s="375" t="s">
        <v>3685</v>
      </c>
      <c r="C1767" s="375" t="s">
        <v>1972</v>
      </c>
      <c r="D1767" s="375" t="s">
        <v>3685</v>
      </c>
      <c r="E1767" s="375" t="s">
        <v>1966</v>
      </c>
      <c r="F1767" s="375" t="s">
        <v>1708</v>
      </c>
    </row>
    <row r="1768" spans="1:6">
      <c r="A1768" s="375" t="s">
        <v>4152</v>
      </c>
      <c r="B1768" s="375" t="s">
        <v>3685</v>
      </c>
      <c r="C1768" s="375" t="s">
        <v>1972</v>
      </c>
      <c r="D1768" s="375" t="s">
        <v>3685</v>
      </c>
      <c r="E1768" s="375" t="s">
        <v>1967</v>
      </c>
      <c r="F1768" s="375" t="s">
        <v>1709</v>
      </c>
    </row>
    <row r="1769" spans="1:6">
      <c r="A1769" s="375" t="s">
        <v>4152</v>
      </c>
      <c r="B1769" s="375" t="s">
        <v>3685</v>
      </c>
      <c r="C1769" s="375" t="s">
        <v>1972</v>
      </c>
      <c r="D1769" s="375" t="s">
        <v>3685</v>
      </c>
      <c r="E1769" s="375" t="s">
        <v>1968</v>
      </c>
      <c r="F1769" s="375" t="s">
        <v>1710</v>
      </c>
    </row>
    <row r="1770" spans="1:6">
      <c r="A1770" s="375" t="s">
        <v>4152</v>
      </c>
      <c r="B1770" s="375" t="s">
        <v>3685</v>
      </c>
      <c r="C1770" s="375" t="s">
        <v>1972</v>
      </c>
      <c r="D1770" s="375" t="s">
        <v>3685</v>
      </c>
      <c r="E1770" s="375" t="s">
        <v>1969</v>
      </c>
      <c r="F1770" s="375" t="s">
        <v>1181</v>
      </c>
    </row>
    <row r="1771" spans="1:6">
      <c r="A1771" s="375" t="s">
        <v>4152</v>
      </c>
      <c r="B1771" s="375" t="s">
        <v>3685</v>
      </c>
      <c r="C1771" s="375" t="s">
        <v>1972</v>
      </c>
      <c r="D1771" s="375" t="s">
        <v>3685</v>
      </c>
      <c r="E1771" s="375" t="s">
        <v>1970</v>
      </c>
      <c r="F1771" s="375" t="s">
        <v>1711</v>
      </c>
    </row>
    <row r="1772" spans="1:6">
      <c r="A1772" s="375" t="s">
        <v>4152</v>
      </c>
      <c r="B1772" s="375" t="s">
        <v>3685</v>
      </c>
      <c r="C1772" s="375" t="s">
        <v>1972</v>
      </c>
      <c r="D1772" s="375" t="s">
        <v>3685</v>
      </c>
      <c r="E1772" s="375" t="s">
        <v>1971</v>
      </c>
      <c r="F1772" s="375" t="s">
        <v>1712</v>
      </c>
    </row>
    <row r="1773" spans="1:6">
      <c r="A1773" s="375" t="s">
        <v>4152</v>
      </c>
      <c r="B1773" s="375" t="s">
        <v>3685</v>
      </c>
      <c r="C1773" s="375" t="s">
        <v>1972</v>
      </c>
      <c r="D1773" s="375" t="s">
        <v>3685</v>
      </c>
      <c r="E1773" s="375" t="s">
        <v>1972</v>
      </c>
      <c r="F1773" s="375" t="s">
        <v>1713</v>
      </c>
    </row>
    <row r="1774" spans="1:6">
      <c r="A1774" s="375" t="s">
        <v>4152</v>
      </c>
      <c r="B1774" s="375" t="s">
        <v>3685</v>
      </c>
      <c r="C1774" s="375" t="s">
        <v>1972</v>
      </c>
      <c r="D1774" s="375" t="s">
        <v>3685</v>
      </c>
      <c r="E1774" s="375" t="s">
        <v>1973</v>
      </c>
      <c r="F1774" s="375" t="s">
        <v>1714</v>
      </c>
    </row>
    <row r="1775" spans="1:6">
      <c r="A1775" s="375" t="s">
        <v>4152</v>
      </c>
      <c r="B1775" s="375" t="s">
        <v>3685</v>
      </c>
      <c r="C1775" s="375" t="s">
        <v>1972</v>
      </c>
      <c r="D1775" s="375" t="s">
        <v>3685</v>
      </c>
      <c r="E1775" s="375" t="s">
        <v>1974</v>
      </c>
      <c r="F1775" s="375" t="s">
        <v>1715</v>
      </c>
    </row>
    <row r="1776" spans="1:6">
      <c r="A1776" s="375" t="s">
        <v>4152</v>
      </c>
      <c r="B1776" s="375" t="s">
        <v>3685</v>
      </c>
      <c r="C1776" s="375" t="s">
        <v>1972</v>
      </c>
      <c r="D1776" s="375" t="s">
        <v>3685</v>
      </c>
      <c r="E1776" s="375" t="s">
        <v>1975</v>
      </c>
      <c r="F1776" s="375" t="s">
        <v>1449</v>
      </c>
    </row>
    <row r="1777" spans="1:6">
      <c r="A1777" s="375" t="s">
        <v>4152</v>
      </c>
      <c r="B1777" s="375" t="s">
        <v>3685</v>
      </c>
      <c r="C1777" s="375" t="s">
        <v>1972</v>
      </c>
      <c r="D1777" s="375" t="s">
        <v>3685</v>
      </c>
      <c r="E1777" s="375" t="s">
        <v>1976</v>
      </c>
      <c r="F1777" s="375" t="s">
        <v>1716</v>
      </c>
    </row>
    <row r="1778" spans="1:6">
      <c r="A1778" s="375" t="s">
        <v>4152</v>
      </c>
      <c r="B1778" s="375" t="s">
        <v>3685</v>
      </c>
      <c r="C1778" s="375" t="s">
        <v>1972</v>
      </c>
      <c r="D1778" s="375" t="s">
        <v>3685</v>
      </c>
      <c r="E1778" s="375" t="s">
        <v>1977</v>
      </c>
      <c r="F1778" s="375" t="s">
        <v>1717</v>
      </c>
    </row>
    <row r="1779" spans="1:6">
      <c r="A1779" s="375" t="s">
        <v>4152</v>
      </c>
      <c r="B1779" s="375" t="s">
        <v>3685</v>
      </c>
      <c r="C1779" s="375" t="s">
        <v>1973</v>
      </c>
      <c r="D1779" s="375" t="s">
        <v>1718</v>
      </c>
      <c r="E1779" s="375" t="s">
        <v>1964</v>
      </c>
      <c r="F1779" s="375" t="s">
        <v>1718</v>
      </c>
    </row>
    <row r="1780" spans="1:6">
      <c r="A1780" s="375" t="s">
        <v>4152</v>
      </c>
      <c r="B1780" s="375" t="s">
        <v>3685</v>
      </c>
      <c r="C1780" s="375" t="s">
        <v>1973</v>
      </c>
      <c r="D1780" s="375" t="s">
        <v>1718</v>
      </c>
      <c r="E1780" s="375" t="s">
        <v>1965</v>
      </c>
      <c r="F1780" s="375" t="s">
        <v>1163</v>
      </c>
    </row>
    <row r="1781" spans="1:6">
      <c r="A1781" s="375" t="s">
        <v>4152</v>
      </c>
      <c r="B1781" s="375" t="s">
        <v>3685</v>
      </c>
      <c r="C1781" s="375" t="s">
        <v>1973</v>
      </c>
      <c r="D1781" s="375" t="s">
        <v>1718</v>
      </c>
      <c r="E1781" s="375" t="s">
        <v>1966</v>
      </c>
      <c r="F1781" s="375" t="s">
        <v>1164</v>
      </c>
    </row>
    <row r="1782" spans="1:6">
      <c r="A1782" s="375" t="s">
        <v>4152</v>
      </c>
      <c r="B1782" s="375" t="s">
        <v>3685</v>
      </c>
      <c r="C1782" s="375" t="s">
        <v>1973</v>
      </c>
      <c r="D1782" s="375" t="s">
        <v>1718</v>
      </c>
      <c r="E1782" s="375" t="s">
        <v>1967</v>
      </c>
      <c r="F1782" s="375" t="s">
        <v>3632</v>
      </c>
    </row>
    <row r="1783" spans="1:6">
      <c r="A1783" s="375" t="s">
        <v>4152</v>
      </c>
      <c r="B1783" s="375" t="s">
        <v>3685</v>
      </c>
      <c r="C1783" s="375" t="s">
        <v>1973</v>
      </c>
      <c r="D1783" s="375" t="s">
        <v>1718</v>
      </c>
      <c r="E1783" s="375" t="s">
        <v>1968</v>
      </c>
      <c r="F1783" s="375" t="s">
        <v>1248</v>
      </c>
    </row>
    <row r="1784" spans="1:6">
      <c r="A1784" s="375" t="s">
        <v>4153</v>
      </c>
      <c r="B1784" s="375" t="s">
        <v>3060</v>
      </c>
      <c r="C1784" s="375" t="s">
        <v>1964</v>
      </c>
      <c r="D1784" s="375" t="s">
        <v>3060</v>
      </c>
      <c r="E1784" s="375" t="s">
        <v>1964</v>
      </c>
      <c r="F1784" s="375" t="s">
        <v>3060</v>
      </c>
    </row>
    <row r="1785" spans="1:6">
      <c r="A1785" s="375" t="s">
        <v>4153</v>
      </c>
      <c r="B1785" s="375" t="s">
        <v>3060</v>
      </c>
      <c r="C1785" s="375" t="s">
        <v>1964</v>
      </c>
      <c r="D1785" s="375" t="s">
        <v>3060</v>
      </c>
      <c r="E1785" s="375" t="s">
        <v>1965</v>
      </c>
      <c r="F1785" s="375" t="s">
        <v>3061</v>
      </c>
    </row>
    <row r="1786" spans="1:6">
      <c r="A1786" s="375" t="s">
        <v>4153</v>
      </c>
      <c r="B1786" s="375" t="s">
        <v>3060</v>
      </c>
      <c r="C1786" s="375" t="s">
        <v>1964</v>
      </c>
      <c r="D1786" s="375" t="s">
        <v>3060</v>
      </c>
      <c r="E1786" s="375" t="s">
        <v>1966</v>
      </c>
      <c r="F1786" s="375" t="s">
        <v>3062</v>
      </c>
    </row>
    <row r="1787" spans="1:6">
      <c r="A1787" s="375" t="s">
        <v>4153</v>
      </c>
      <c r="B1787" s="375" t="s">
        <v>3060</v>
      </c>
      <c r="C1787" s="375" t="s">
        <v>1964</v>
      </c>
      <c r="D1787" s="375" t="s">
        <v>3060</v>
      </c>
      <c r="E1787" s="375" t="s">
        <v>1967</v>
      </c>
      <c r="F1787" s="375" t="s">
        <v>3063</v>
      </c>
    </row>
    <row r="1788" spans="1:6">
      <c r="A1788" s="375" t="s">
        <v>4153</v>
      </c>
      <c r="B1788" s="375" t="s">
        <v>3060</v>
      </c>
      <c r="C1788" s="375" t="s">
        <v>1964</v>
      </c>
      <c r="D1788" s="375" t="s">
        <v>3060</v>
      </c>
      <c r="E1788" s="375" t="s">
        <v>1968</v>
      </c>
      <c r="F1788" s="375" t="s">
        <v>2466</v>
      </c>
    </row>
    <row r="1789" spans="1:6">
      <c r="A1789" s="375" t="s">
        <v>4153</v>
      </c>
      <c r="B1789" s="375" t="s">
        <v>3060</v>
      </c>
      <c r="C1789" s="375" t="s">
        <v>1964</v>
      </c>
      <c r="D1789" s="375" t="s">
        <v>3060</v>
      </c>
      <c r="E1789" s="375" t="s">
        <v>1969</v>
      </c>
      <c r="F1789" s="375" t="s">
        <v>2467</v>
      </c>
    </row>
    <row r="1790" spans="1:6">
      <c r="A1790" s="375" t="s">
        <v>4153</v>
      </c>
      <c r="B1790" s="375" t="s">
        <v>3060</v>
      </c>
      <c r="C1790" s="375" t="s">
        <v>1964</v>
      </c>
      <c r="D1790" s="375" t="s">
        <v>3060</v>
      </c>
      <c r="E1790" s="375" t="s">
        <v>1970</v>
      </c>
      <c r="F1790" s="375" t="s">
        <v>4196</v>
      </c>
    </row>
    <row r="1791" spans="1:6">
      <c r="A1791" s="375" t="s">
        <v>4153</v>
      </c>
      <c r="B1791" s="375" t="s">
        <v>3060</v>
      </c>
      <c r="C1791" s="375" t="s">
        <v>1964</v>
      </c>
      <c r="D1791" s="375" t="s">
        <v>3060</v>
      </c>
      <c r="E1791" s="375" t="s">
        <v>1971</v>
      </c>
      <c r="F1791" s="375" t="s">
        <v>2468</v>
      </c>
    </row>
    <row r="1792" spans="1:6">
      <c r="A1792" s="375" t="s">
        <v>4153</v>
      </c>
      <c r="B1792" s="375" t="s">
        <v>3060</v>
      </c>
      <c r="C1792" s="375" t="s">
        <v>1964</v>
      </c>
      <c r="D1792" s="375" t="s">
        <v>3060</v>
      </c>
      <c r="E1792" s="375" t="s">
        <v>1972</v>
      </c>
      <c r="F1792" s="375" t="s">
        <v>2469</v>
      </c>
    </row>
    <row r="1793" spans="1:6">
      <c r="A1793" s="375" t="s">
        <v>4153</v>
      </c>
      <c r="B1793" s="375" t="s">
        <v>3060</v>
      </c>
      <c r="C1793" s="375" t="s">
        <v>1964</v>
      </c>
      <c r="D1793" s="375" t="s">
        <v>3060</v>
      </c>
      <c r="E1793" s="375" t="s">
        <v>1973</v>
      </c>
      <c r="F1793" s="375" t="s">
        <v>4304</v>
      </c>
    </row>
    <row r="1794" spans="1:6">
      <c r="A1794" s="375" t="s">
        <v>4153</v>
      </c>
      <c r="B1794" s="375" t="s">
        <v>3060</v>
      </c>
      <c r="C1794" s="375" t="s">
        <v>1965</v>
      </c>
      <c r="D1794" s="375" t="s">
        <v>2470</v>
      </c>
      <c r="E1794" s="375" t="s">
        <v>1964</v>
      </c>
      <c r="F1794" s="375" t="s">
        <v>2470</v>
      </c>
    </row>
    <row r="1795" spans="1:6">
      <c r="A1795" s="375" t="s">
        <v>4153</v>
      </c>
      <c r="B1795" s="375" t="s">
        <v>3060</v>
      </c>
      <c r="C1795" s="375" t="s">
        <v>1965</v>
      </c>
      <c r="D1795" s="375" t="s">
        <v>2470</v>
      </c>
      <c r="E1795" s="375" t="s">
        <v>1965</v>
      </c>
      <c r="F1795" s="375" t="s">
        <v>2503</v>
      </c>
    </row>
    <row r="1796" spans="1:6">
      <c r="A1796" s="375" t="s">
        <v>4153</v>
      </c>
      <c r="B1796" s="375" t="s">
        <v>3060</v>
      </c>
      <c r="C1796" s="375" t="s">
        <v>1965</v>
      </c>
      <c r="D1796" s="375" t="s">
        <v>2470</v>
      </c>
      <c r="E1796" s="375" t="s">
        <v>1966</v>
      </c>
      <c r="F1796" s="375" t="s">
        <v>765</v>
      </c>
    </row>
    <row r="1797" spans="1:6">
      <c r="A1797" s="375" t="s">
        <v>4153</v>
      </c>
      <c r="B1797" s="375" t="s">
        <v>3060</v>
      </c>
      <c r="C1797" s="375" t="s">
        <v>1965</v>
      </c>
      <c r="D1797" s="375" t="s">
        <v>2470</v>
      </c>
      <c r="E1797" s="375" t="s">
        <v>1967</v>
      </c>
      <c r="F1797" s="375" t="s">
        <v>2377</v>
      </c>
    </row>
    <row r="1798" spans="1:6">
      <c r="A1798" s="375" t="s">
        <v>4153</v>
      </c>
      <c r="B1798" s="375" t="s">
        <v>3060</v>
      </c>
      <c r="C1798" s="375" t="s">
        <v>1965</v>
      </c>
      <c r="D1798" s="375" t="s">
        <v>2470</v>
      </c>
      <c r="E1798" s="375" t="s">
        <v>1968</v>
      </c>
      <c r="F1798" s="375" t="s">
        <v>2378</v>
      </c>
    </row>
    <row r="1799" spans="1:6">
      <c r="A1799" s="375" t="s">
        <v>4153</v>
      </c>
      <c r="B1799" s="375" t="s">
        <v>3060</v>
      </c>
      <c r="C1799" s="375" t="s">
        <v>1965</v>
      </c>
      <c r="D1799" s="375" t="s">
        <v>2470</v>
      </c>
      <c r="E1799" s="375" t="s">
        <v>1969</v>
      </c>
      <c r="F1799" s="375" t="s">
        <v>2379</v>
      </c>
    </row>
    <row r="1800" spans="1:6">
      <c r="A1800" s="375" t="s">
        <v>4153</v>
      </c>
      <c r="B1800" s="375" t="s">
        <v>3060</v>
      </c>
      <c r="C1800" s="375" t="s">
        <v>1966</v>
      </c>
      <c r="D1800" s="375" t="s">
        <v>1808</v>
      </c>
      <c r="E1800" s="375" t="s">
        <v>1964</v>
      </c>
      <c r="F1800" s="375" t="s">
        <v>13</v>
      </c>
    </row>
    <row r="1801" spans="1:6">
      <c r="A1801" s="375" t="s">
        <v>4153</v>
      </c>
      <c r="B1801" s="375" t="s">
        <v>3060</v>
      </c>
      <c r="C1801" s="375" t="s">
        <v>1966</v>
      </c>
      <c r="D1801" s="375" t="s">
        <v>1808</v>
      </c>
      <c r="E1801" s="375" t="s">
        <v>1965</v>
      </c>
      <c r="F1801" s="375" t="s">
        <v>14</v>
      </c>
    </row>
    <row r="1802" spans="1:6">
      <c r="A1802" s="375" t="s">
        <v>4153</v>
      </c>
      <c r="B1802" s="375" t="s">
        <v>3060</v>
      </c>
      <c r="C1802" s="375" t="s">
        <v>1966</v>
      </c>
      <c r="D1802" s="375" t="s">
        <v>1808</v>
      </c>
      <c r="E1802" s="375" t="s">
        <v>1966</v>
      </c>
      <c r="F1802" s="375" t="s">
        <v>15</v>
      </c>
    </row>
    <row r="1803" spans="1:6">
      <c r="A1803" s="375" t="s">
        <v>4153</v>
      </c>
      <c r="B1803" s="375" t="s">
        <v>3060</v>
      </c>
      <c r="C1803" s="375" t="s">
        <v>1967</v>
      </c>
      <c r="D1803" s="375" t="s">
        <v>16</v>
      </c>
      <c r="E1803" s="375" t="s">
        <v>1964</v>
      </c>
      <c r="F1803" s="375" t="s">
        <v>16</v>
      </c>
    </row>
    <row r="1804" spans="1:6">
      <c r="A1804" s="375" t="s">
        <v>4153</v>
      </c>
      <c r="B1804" s="375" t="s">
        <v>3060</v>
      </c>
      <c r="C1804" s="375" t="s">
        <v>1967</v>
      </c>
      <c r="D1804" s="375" t="s">
        <v>16</v>
      </c>
      <c r="E1804" s="375" t="s">
        <v>1965</v>
      </c>
      <c r="F1804" s="375" t="s">
        <v>3633</v>
      </c>
    </row>
    <row r="1805" spans="1:6">
      <c r="A1805" s="375" t="s">
        <v>4153</v>
      </c>
      <c r="B1805" s="375" t="s">
        <v>3060</v>
      </c>
      <c r="C1805" s="375" t="s">
        <v>1967</v>
      </c>
      <c r="D1805" s="375" t="s">
        <v>16</v>
      </c>
      <c r="E1805" s="375" t="s">
        <v>1966</v>
      </c>
      <c r="F1805" s="375" t="s">
        <v>17</v>
      </c>
    </row>
    <row r="1806" spans="1:6">
      <c r="A1806" s="375" t="s">
        <v>4153</v>
      </c>
      <c r="B1806" s="375" t="s">
        <v>3060</v>
      </c>
      <c r="C1806" s="375" t="s">
        <v>1967</v>
      </c>
      <c r="D1806" s="375" t="s">
        <v>16</v>
      </c>
      <c r="E1806" s="375" t="s">
        <v>1967</v>
      </c>
      <c r="F1806" s="375" t="s">
        <v>18</v>
      </c>
    </row>
    <row r="1807" spans="1:6">
      <c r="A1807" s="375" t="s">
        <v>4153</v>
      </c>
      <c r="B1807" s="375" t="s">
        <v>3060</v>
      </c>
      <c r="C1807" s="375" t="s">
        <v>1967</v>
      </c>
      <c r="D1807" s="375" t="s">
        <v>16</v>
      </c>
      <c r="E1807" s="375" t="s">
        <v>1968</v>
      </c>
      <c r="F1807" s="375" t="s">
        <v>19</v>
      </c>
    </row>
    <row r="1808" spans="1:6">
      <c r="A1808" s="375" t="s">
        <v>4153</v>
      </c>
      <c r="B1808" s="375" t="s">
        <v>3060</v>
      </c>
      <c r="C1808" s="375" t="s">
        <v>1967</v>
      </c>
      <c r="D1808" s="375" t="s">
        <v>16</v>
      </c>
      <c r="E1808" s="375" t="s">
        <v>1969</v>
      </c>
      <c r="F1808" s="375" t="s">
        <v>20</v>
      </c>
    </row>
    <row r="1809" spans="1:6">
      <c r="A1809" s="375" t="s">
        <v>4153</v>
      </c>
      <c r="B1809" s="375" t="s">
        <v>3060</v>
      </c>
      <c r="C1809" s="375" t="s">
        <v>1967</v>
      </c>
      <c r="D1809" s="375" t="s">
        <v>16</v>
      </c>
      <c r="E1809" s="375" t="s">
        <v>1970</v>
      </c>
      <c r="F1809" s="375" t="s">
        <v>21</v>
      </c>
    </row>
    <row r="1810" spans="1:6">
      <c r="A1810" s="375" t="s">
        <v>4153</v>
      </c>
      <c r="B1810" s="375" t="s">
        <v>3060</v>
      </c>
      <c r="C1810" s="375" t="s">
        <v>1967</v>
      </c>
      <c r="D1810" s="375" t="s">
        <v>16</v>
      </c>
      <c r="E1810" s="375" t="s">
        <v>1971</v>
      </c>
      <c r="F1810" s="375" t="s">
        <v>22</v>
      </c>
    </row>
    <row r="1811" spans="1:6">
      <c r="A1811" s="375" t="s">
        <v>4154</v>
      </c>
      <c r="B1811" s="375" t="s">
        <v>23</v>
      </c>
      <c r="C1811" s="375" t="s">
        <v>1964</v>
      </c>
      <c r="D1811" s="375" t="s">
        <v>23</v>
      </c>
      <c r="E1811" s="375" t="s">
        <v>1964</v>
      </c>
      <c r="F1811" s="375" t="s">
        <v>23</v>
      </c>
    </row>
    <row r="1812" spans="1:6">
      <c r="A1812" s="375" t="s">
        <v>4154</v>
      </c>
      <c r="B1812" s="375" t="s">
        <v>23</v>
      </c>
      <c r="C1812" s="375" t="s">
        <v>1964</v>
      </c>
      <c r="D1812" s="375" t="s">
        <v>23</v>
      </c>
      <c r="E1812" s="375" t="s">
        <v>1965</v>
      </c>
      <c r="F1812" s="375" t="s">
        <v>24</v>
      </c>
    </row>
    <row r="1813" spans="1:6">
      <c r="A1813" s="375" t="s">
        <v>4154</v>
      </c>
      <c r="B1813" s="375" t="s">
        <v>23</v>
      </c>
      <c r="C1813" s="375" t="s">
        <v>1964</v>
      </c>
      <c r="D1813" s="375" t="s">
        <v>23</v>
      </c>
      <c r="E1813" s="375" t="s">
        <v>1966</v>
      </c>
      <c r="F1813" s="375" t="s">
        <v>25</v>
      </c>
    </row>
    <row r="1814" spans="1:6">
      <c r="A1814" s="375" t="s">
        <v>4154</v>
      </c>
      <c r="B1814" s="375" t="s">
        <v>23</v>
      </c>
      <c r="C1814" s="375" t="s">
        <v>1964</v>
      </c>
      <c r="D1814" s="375" t="s">
        <v>23</v>
      </c>
      <c r="E1814" s="375" t="s">
        <v>1967</v>
      </c>
      <c r="F1814" s="375" t="s">
        <v>26</v>
      </c>
    </row>
    <row r="1815" spans="1:6">
      <c r="A1815" s="375" t="s">
        <v>4154</v>
      </c>
      <c r="B1815" s="375" t="s">
        <v>23</v>
      </c>
      <c r="C1815" s="375" t="s">
        <v>1964</v>
      </c>
      <c r="D1815" s="375" t="s">
        <v>23</v>
      </c>
      <c r="E1815" s="375" t="s">
        <v>1968</v>
      </c>
      <c r="F1815" s="375" t="s">
        <v>27</v>
      </c>
    </row>
    <row r="1816" spans="1:6">
      <c r="A1816" s="375" t="s">
        <v>4154</v>
      </c>
      <c r="B1816" s="375" t="s">
        <v>23</v>
      </c>
      <c r="C1816" s="375" t="s">
        <v>1964</v>
      </c>
      <c r="D1816" s="375" t="s">
        <v>23</v>
      </c>
      <c r="E1816" s="375" t="s">
        <v>1969</v>
      </c>
      <c r="F1816" s="375" t="s">
        <v>2922</v>
      </c>
    </row>
    <row r="1817" spans="1:6">
      <c r="A1817" s="375" t="s">
        <v>4154</v>
      </c>
      <c r="B1817" s="375" t="s">
        <v>23</v>
      </c>
      <c r="C1817" s="375" t="s">
        <v>1965</v>
      </c>
      <c r="D1817" s="375" t="s">
        <v>2923</v>
      </c>
      <c r="E1817" s="375" t="s">
        <v>1964</v>
      </c>
      <c r="F1817" s="375" t="s">
        <v>2924</v>
      </c>
    </row>
    <row r="1818" spans="1:6">
      <c r="A1818" s="375" t="s">
        <v>4154</v>
      </c>
      <c r="B1818" s="375" t="s">
        <v>23</v>
      </c>
      <c r="C1818" s="375" t="s">
        <v>1965</v>
      </c>
      <c r="D1818" s="375" t="s">
        <v>2923</v>
      </c>
      <c r="E1818" s="375" t="s">
        <v>1965</v>
      </c>
      <c r="F1818" s="375" t="s">
        <v>2925</v>
      </c>
    </row>
    <row r="1819" spans="1:6">
      <c r="A1819" s="375" t="s">
        <v>4154</v>
      </c>
      <c r="B1819" s="375" t="s">
        <v>23</v>
      </c>
      <c r="C1819" s="375" t="s">
        <v>1965</v>
      </c>
      <c r="D1819" s="375" t="s">
        <v>2923</v>
      </c>
      <c r="E1819" s="375" t="s">
        <v>1966</v>
      </c>
      <c r="F1819" s="375" t="s">
        <v>3634</v>
      </c>
    </row>
    <row r="1820" spans="1:6">
      <c r="A1820" s="375" t="s">
        <v>4154</v>
      </c>
      <c r="B1820" s="375" t="s">
        <v>23</v>
      </c>
      <c r="C1820" s="375" t="s">
        <v>1966</v>
      </c>
      <c r="D1820" s="375" t="s">
        <v>2926</v>
      </c>
      <c r="E1820" s="375" t="s">
        <v>1964</v>
      </c>
      <c r="F1820" s="375" t="s">
        <v>2926</v>
      </c>
    </row>
    <row r="1821" spans="1:6">
      <c r="A1821" s="375" t="s">
        <v>4154</v>
      </c>
      <c r="B1821" s="375" t="s">
        <v>23</v>
      </c>
      <c r="C1821" s="375" t="s">
        <v>1966</v>
      </c>
      <c r="D1821" s="375" t="s">
        <v>2926</v>
      </c>
      <c r="E1821" s="375" t="s">
        <v>1965</v>
      </c>
      <c r="F1821" s="375" t="s">
        <v>2927</v>
      </c>
    </row>
    <row r="1822" spans="1:6">
      <c r="A1822" s="375" t="s">
        <v>4154</v>
      </c>
      <c r="B1822" s="375" t="s">
        <v>23</v>
      </c>
      <c r="C1822" s="375" t="s">
        <v>1966</v>
      </c>
      <c r="D1822" s="375" t="s">
        <v>2926</v>
      </c>
      <c r="E1822" s="375" t="s">
        <v>1966</v>
      </c>
      <c r="F1822" s="375" t="s">
        <v>4113</v>
      </c>
    </row>
    <row r="1823" spans="1:6">
      <c r="A1823" s="375" t="s">
        <v>4154</v>
      </c>
      <c r="B1823" s="375" t="s">
        <v>23</v>
      </c>
      <c r="C1823" s="375" t="s">
        <v>1966</v>
      </c>
      <c r="D1823" s="375" t="s">
        <v>2926</v>
      </c>
      <c r="E1823" s="375" t="s">
        <v>1967</v>
      </c>
      <c r="F1823" s="375" t="s">
        <v>4114</v>
      </c>
    </row>
    <row r="1824" spans="1:6">
      <c r="A1824" s="375" t="s">
        <v>4155</v>
      </c>
      <c r="B1824" s="375" t="s">
        <v>4290</v>
      </c>
      <c r="C1824" s="375" t="s">
        <v>1964</v>
      </c>
      <c r="D1824" s="375" t="s">
        <v>3365</v>
      </c>
      <c r="E1824" s="375" t="s">
        <v>1964</v>
      </c>
      <c r="F1824" s="375" t="s">
        <v>3635</v>
      </c>
    </row>
    <row r="1825" spans="1:6">
      <c r="A1825" s="375" t="s">
        <v>4155</v>
      </c>
      <c r="B1825" s="375" t="s">
        <v>4290</v>
      </c>
      <c r="C1825" s="375" t="s">
        <v>1964</v>
      </c>
      <c r="D1825" s="375" t="s">
        <v>3365</v>
      </c>
      <c r="E1825" s="375" t="s">
        <v>1965</v>
      </c>
      <c r="F1825" s="375" t="s">
        <v>3366</v>
      </c>
    </row>
    <row r="1826" spans="1:6">
      <c r="A1826" s="375" t="s">
        <v>4155</v>
      </c>
      <c r="B1826" s="375" t="s">
        <v>4290</v>
      </c>
      <c r="C1826" s="375" t="s">
        <v>1964</v>
      </c>
      <c r="D1826" s="375" t="s">
        <v>3365</v>
      </c>
      <c r="E1826" s="375" t="s">
        <v>1966</v>
      </c>
      <c r="F1826" s="375" t="s">
        <v>3367</v>
      </c>
    </row>
    <row r="1827" spans="1:6">
      <c r="A1827" s="375" t="s">
        <v>4155</v>
      </c>
      <c r="B1827" s="375" t="s">
        <v>4290</v>
      </c>
      <c r="C1827" s="375" t="s">
        <v>1964</v>
      </c>
      <c r="D1827" s="375" t="s">
        <v>3365</v>
      </c>
      <c r="E1827" s="375" t="s">
        <v>1967</v>
      </c>
      <c r="F1827" s="375" t="s">
        <v>3368</v>
      </c>
    </row>
    <row r="1828" spans="1:6">
      <c r="A1828" s="375" t="s">
        <v>4155</v>
      </c>
      <c r="B1828" s="375" t="s">
        <v>4290</v>
      </c>
      <c r="C1828" s="375" t="s">
        <v>1964</v>
      </c>
      <c r="D1828" s="375" t="s">
        <v>3365</v>
      </c>
      <c r="E1828" s="375" t="s">
        <v>1968</v>
      </c>
      <c r="F1828" s="375" t="s">
        <v>3369</v>
      </c>
    </row>
    <row r="1829" spans="1:6">
      <c r="A1829" s="375" t="s">
        <v>4155</v>
      </c>
      <c r="B1829" s="375" t="s">
        <v>4290</v>
      </c>
      <c r="C1829" s="375" t="s">
        <v>1964</v>
      </c>
      <c r="D1829" s="375" t="s">
        <v>3365</v>
      </c>
      <c r="E1829" s="375" t="s">
        <v>1969</v>
      </c>
      <c r="F1829" s="375" t="s">
        <v>3370</v>
      </c>
    </row>
    <row r="1830" spans="1:6">
      <c r="A1830" s="375" t="s">
        <v>4155</v>
      </c>
      <c r="B1830" s="375" t="s">
        <v>4290</v>
      </c>
      <c r="C1830" s="375" t="s">
        <v>1964</v>
      </c>
      <c r="D1830" s="375" t="s">
        <v>3365</v>
      </c>
      <c r="E1830" s="375" t="s">
        <v>1970</v>
      </c>
      <c r="F1830" s="375" t="s">
        <v>3636</v>
      </c>
    </row>
    <row r="1831" spans="1:6">
      <c r="A1831" s="375" t="s">
        <v>4155</v>
      </c>
      <c r="B1831" s="375" t="s">
        <v>4290</v>
      </c>
      <c r="C1831" s="375" t="s">
        <v>1965</v>
      </c>
      <c r="D1831" s="375" t="s">
        <v>3371</v>
      </c>
      <c r="E1831" s="375" t="s">
        <v>1964</v>
      </c>
      <c r="F1831" s="375" t="s">
        <v>3712</v>
      </c>
    </row>
    <row r="1832" spans="1:6">
      <c r="A1832" s="375" t="s">
        <v>4155</v>
      </c>
      <c r="B1832" s="375" t="s">
        <v>4290</v>
      </c>
      <c r="C1832" s="375" t="s">
        <v>1965</v>
      </c>
      <c r="D1832" s="375" t="s">
        <v>3371</v>
      </c>
      <c r="E1832" s="375" t="s">
        <v>1965</v>
      </c>
      <c r="F1832" s="375" t="s">
        <v>3713</v>
      </c>
    </row>
    <row r="1833" spans="1:6">
      <c r="A1833" s="375" t="s">
        <v>4155</v>
      </c>
      <c r="B1833" s="375" t="s">
        <v>4290</v>
      </c>
      <c r="C1833" s="375" t="s">
        <v>1965</v>
      </c>
      <c r="D1833" s="375" t="s">
        <v>3371</v>
      </c>
      <c r="E1833" s="375" t="s">
        <v>1966</v>
      </c>
      <c r="F1833" s="375" t="s">
        <v>3714</v>
      </c>
    </row>
    <row r="1834" spans="1:6">
      <c r="A1834" s="375" t="s">
        <v>4155</v>
      </c>
      <c r="B1834" s="375" t="s">
        <v>4290</v>
      </c>
      <c r="C1834" s="375" t="s">
        <v>1965</v>
      </c>
      <c r="D1834" s="375" t="s">
        <v>3371</v>
      </c>
      <c r="E1834" s="375" t="s">
        <v>1967</v>
      </c>
      <c r="F1834" s="375" t="s">
        <v>3715</v>
      </c>
    </row>
    <row r="1835" spans="1:6" hidden="1">
      <c r="A1835" s="375" t="s">
        <v>4155</v>
      </c>
      <c r="B1835" s="375" t="s">
        <v>4290</v>
      </c>
      <c r="C1835" s="375" t="s">
        <v>1966</v>
      </c>
      <c r="D1835" s="375" t="s">
        <v>3481</v>
      </c>
      <c r="E1835" s="375" t="s">
        <v>1964</v>
      </c>
      <c r="F1835" s="375" t="s">
        <v>3481</v>
      </c>
    </row>
    <row r="1836" spans="1:6" hidden="1">
      <c r="A1836" s="375" t="s">
        <v>4155</v>
      </c>
      <c r="B1836" s="375" t="s">
        <v>4290</v>
      </c>
      <c r="C1836" s="375" t="s">
        <v>1966</v>
      </c>
      <c r="D1836" s="375" t="s">
        <v>3481</v>
      </c>
      <c r="E1836" s="375" t="s">
        <v>1965</v>
      </c>
      <c r="F1836" s="375" t="s">
        <v>3482</v>
      </c>
    </row>
    <row r="1837" spans="1:6" hidden="1">
      <c r="A1837" s="375" t="s">
        <v>4155</v>
      </c>
      <c r="B1837" s="375" t="s">
        <v>4290</v>
      </c>
      <c r="C1837" s="375" t="s">
        <v>1966</v>
      </c>
      <c r="D1837" s="375" t="s">
        <v>3481</v>
      </c>
      <c r="E1837" s="375" t="s">
        <v>1966</v>
      </c>
      <c r="F1837" s="375" t="s">
        <v>3483</v>
      </c>
    </row>
    <row r="1838" spans="1:6" hidden="1">
      <c r="A1838" s="375" t="s">
        <v>4155</v>
      </c>
      <c r="B1838" s="375" t="s">
        <v>4290</v>
      </c>
      <c r="C1838" s="375" t="s">
        <v>1967</v>
      </c>
      <c r="D1838" s="375" t="s">
        <v>3484</v>
      </c>
      <c r="E1838" s="375" t="s">
        <v>1964</v>
      </c>
      <c r="F1838" s="375" t="s">
        <v>3484</v>
      </c>
    </row>
    <row r="1839" spans="1:6" hidden="1"/>
    <row r="1840" spans="1:6" hidden="1"/>
    <row r="1841" spans="1:14" hidden="1"/>
    <row r="1842" spans="1:14" hidden="1"/>
    <row r="1845" spans="1:14">
      <c r="A1845" s="289"/>
      <c r="B1845" s="161" t="s">
        <v>1591</v>
      </c>
      <c r="C1845" s="161" t="s">
        <v>1595</v>
      </c>
      <c r="I1845" s="53" t="s">
        <v>1591</v>
      </c>
      <c r="J1845" s="53" t="s">
        <v>1595</v>
      </c>
      <c r="K1845" s="57" t="s">
        <v>1592</v>
      </c>
      <c r="L1845" s="53" t="s">
        <v>1596</v>
      </c>
      <c r="M1845" s="53" t="s">
        <v>1593</v>
      </c>
      <c r="N1845" s="53" t="s">
        <v>1597</v>
      </c>
    </row>
    <row r="1846" spans="1:14">
      <c r="A1846" s="282">
        <v>1</v>
      </c>
      <c r="B1846" s="460" t="s">
        <v>3354</v>
      </c>
      <c r="C1846" s="161" t="s">
        <v>374</v>
      </c>
      <c r="D1846" s="160"/>
      <c r="H1846" s="161">
        <v>1826</v>
      </c>
      <c r="I1846" s="53" t="s">
        <v>1965</v>
      </c>
      <c r="J1846" s="53" t="s">
        <v>49</v>
      </c>
      <c r="K1846" s="57">
        <v>19</v>
      </c>
      <c r="L1846" s="53" t="s">
        <v>557</v>
      </c>
      <c r="M1846" s="53" t="s">
        <v>1964</v>
      </c>
      <c r="N1846" s="53" t="s">
        <v>557</v>
      </c>
    </row>
    <row r="1847" spans="1:14">
      <c r="A1847" s="282">
        <v>2</v>
      </c>
      <c r="B1847" s="161" t="s">
        <v>1964</v>
      </c>
      <c r="C1847" s="161" t="s">
        <v>1598</v>
      </c>
      <c r="D1847" s="160"/>
      <c r="H1847" s="161">
        <v>1827</v>
      </c>
      <c r="I1847" s="53" t="s">
        <v>1965</v>
      </c>
      <c r="J1847" s="53" t="s">
        <v>49</v>
      </c>
      <c r="K1847" s="57">
        <v>19</v>
      </c>
      <c r="L1847" s="53" t="s">
        <v>557</v>
      </c>
      <c r="M1847" s="53" t="s">
        <v>1965</v>
      </c>
      <c r="N1847" s="53" t="s">
        <v>558</v>
      </c>
    </row>
    <row r="1848" spans="1:14">
      <c r="A1848" s="282">
        <v>3</v>
      </c>
      <c r="B1848" s="161" t="s">
        <v>1965</v>
      </c>
      <c r="C1848" s="161" t="s">
        <v>49</v>
      </c>
      <c r="D1848" s="160"/>
      <c r="H1848" s="161">
        <v>1828</v>
      </c>
      <c r="I1848" s="53" t="s">
        <v>1965</v>
      </c>
      <c r="J1848" s="53" t="s">
        <v>49</v>
      </c>
      <c r="K1848" s="57">
        <v>19</v>
      </c>
      <c r="L1848" s="53" t="s">
        <v>557</v>
      </c>
      <c r="M1848" s="53" t="s">
        <v>1966</v>
      </c>
      <c r="N1848" s="53" t="s">
        <v>3909</v>
      </c>
    </row>
    <row r="1849" spans="1:14">
      <c r="A1849" s="282">
        <v>4</v>
      </c>
      <c r="B1849" s="161" t="s">
        <v>1966</v>
      </c>
      <c r="C1849" s="161" t="s">
        <v>3018</v>
      </c>
      <c r="D1849" s="160"/>
      <c r="H1849" s="161">
        <v>1829</v>
      </c>
      <c r="I1849" s="53" t="s">
        <v>1965</v>
      </c>
      <c r="J1849" s="53" t="s">
        <v>49</v>
      </c>
      <c r="K1849" s="57">
        <v>19</v>
      </c>
      <c r="L1849" s="53" t="s">
        <v>557</v>
      </c>
      <c r="M1849" s="53" t="s">
        <v>1967</v>
      </c>
      <c r="N1849" s="53" t="s">
        <v>3910</v>
      </c>
    </row>
    <row r="1850" spans="1:14">
      <c r="A1850" s="282">
        <v>5</v>
      </c>
      <c r="B1850" s="161" t="s">
        <v>1967</v>
      </c>
      <c r="C1850" s="161" t="s">
        <v>755</v>
      </c>
      <c r="D1850" s="160"/>
      <c r="H1850" s="161">
        <v>1830</v>
      </c>
      <c r="I1850" s="53" t="s">
        <v>1965</v>
      </c>
      <c r="J1850" s="53" t="s">
        <v>49</v>
      </c>
      <c r="K1850" s="57">
        <v>19</v>
      </c>
      <c r="L1850" s="53" t="s">
        <v>557</v>
      </c>
      <c r="M1850" s="53" t="s">
        <v>1968</v>
      </c>
      <c r="N1850" s="53" t="s">
        <v>424</v>
      </c>
    </row>
    <row r="1851" spans="1:14">
      <c r="A1851" s="282">
        <v>6</v>
      </c>
      <c r="B1851" s="161" t="s">
        <v>1968</v>
      </c>
      <c r="C1851" s="161" t="s">
        <v>1496</v>
      </c>
      <c r="D1851" s="160"/>
      <c r="H1851" s="161">
        <v>1831</v>
      </c>
      <c r="I1851" s="53" t="s">
        <v>1965</v>
      </c>
      <c r="J1851" s="53" t="s">
        <v>49</v>
      </c>
      <c r="K1851" s="57">
        <v>19</v>
      </c>
      <c r="L1851" s="53" t="s">
        <v>557</v>
      </c>
      <c r="M1851" s="53" t="s">
        <v>1969</v>
      </c>
      <c r="N1851" s="53" t="s">
        <v>425</v>
      </c>
    </row>
    <row r="1852" spans="1:14">
      <c r="A1852" s="282">
        <v>7</v>
      </c>
      <c r="B1852" s="161" t="s">
        <v>1969</v>
      </c>
      <c r="C1852" s="161" t="s">
        <v>912</v>
      </c>
      <c r="D1852" s="160"/>
      <c r="H1852" s="161">
        <v>1832</v>
      </c>
      <c r="I1852" s="53" t="s">
        <v>1965</v>
      </c>
      <c r="J1852" s="53" t="s">
        <v>49</v>
      </c>
      <c r="K1852" s="57">
        <v>19</v>
      </c>
      <c r="L1852" s="53" t="s">
        <v>557</v>
      </c>
      <c r="M1852" s="53" t="s">
        <v>1970</v>
      </c>
      <c r="N1852" s="53" t="s">
        <v>426</v>
      </c>
    </row>
    <row r="1853" spans="1:14">
      <c r="A1853" s="282">
        <v>8</v>
      </c>
      <c r="B1853" s="161" t="s">
        <v>1970</v>
      </c>
      <c r="C1853" s="161" t="s">
        <v>3679</v>
      </c>
      <c r="D1853" s="160"/>
      <c r="H1853" s="161">
        <v>1833</v>
      </c>
      <c r="I1853" s="53" t="s">
        <v>1965</v>
      </c>
      <c r="J1853" s="53" t="s">
        <v>49</v>
      </c>
      <c r="K1853" s="57">
        <v>19</v>
      </c>
      <c r="L1853" s="53" t="s">
        <v>557</v>
      </c>
      <c r="M1853" s="53" t="s">
        <v>1971</v>
      </c>
      <c r="N1853" s="53" t="s">
        <v>1484</v>
      </c>
    </row>
    <row r="1854" spans="1:14">
      <c r="A1854" s="282">
        <v>9</v>
      </c>
      <c r="B1854" s="161" t="s">
        <v>1971</v>
      </c>
      <c r="C1854" s="161" t="s">
        <v>3397</v>
      </c>
      <c r="D1854" s="160"/>
      <c r="H1854" s="161">
        <v>1834</v>
      </c>
      <c r="I1854" s="53" t="s">
        <v>1965</v>
      </c>
      <c r="J1854" s="53" t="s">
        <v>49</v>
      </c>
      <c r="K1854" s="57">
        <v>19</v>
      </c>
      <c r="L1854" s="53" t="s">
        <v>557</v>
      </c>
      <c r="M1854" s="53" t="s">
        <v>1972</v>
      </c>
      <c r="N1854" s="53" t="s">
        <v>1485</v>
      </c>
    </row>
    <row r="1855" spans="1:14">
      <c r="A1855" s="282">
        <v>10</v>
      </c>
      <c r="B1855" s="161" t="s">
        <v>1972</v>
      </c>
      <c r="C1855" s="161" t="s">
        <v>1472</v>
      </c>
      <c r="D1855" s="160"/>
      <c r="H1855" s="161">
        <v>1835</v>
      </c>
      <c r="I1855" s="53" t="s">
        <v>1965</v>
      </c>
      <c r="J1855" s="53" t="s">
        <v>49</v>
      </c>
      <c r="K1855" s="57">
        <v>19</v>
      </c>
      <c r="L1855" s="53" t="s">
        <v>557</v>
      </c>
      <c r="M1855" s="53" t="s">
        <v>1973</v>
      </c>
      <c r="N1855" s="53" t="s">
        <v>1486</v>
      </c>
    </row>
    <row r="1856" spans="1:14">
      <c r="A1856" s="282">
        <v>11</v>
      </c>
      <c r="B1856" s="161" t="s">
        <v>1973</v>
      </c>
      <c r="C1856" s="161" t="s">
        <v>4108</v>
      </c>
      <c r="D1856" s="160"/>
      <c r="H1856" s="161">
        <v>1836</v>
      </c>
    </row>
    <row r="1857" spans="1:8">
      <c r="A1857" s="282">
        <v>12</v>
      </c>
      <c r="B1857" s="161" t="s">
        <v>1974</v>
      </c>
      <c r="C1857" s="161" t="s">
        <v>2532</v>
      </c>
      <c r="D1857" s="160"/>
      <c r="H1857" s="161">
        <v>1837</v>
      </c>
    </row>
    <row r="1858" spans="1:8">
      <c r="A1858" s="282">
        <v>13</v>
      </c>
      <c r="B1858" s="161" t="s">
        <v>1975</v>
      </c>
      <c r="C1858" s="161" t="s">
        <v>2719</v>
      </c>
      <c r="D1858" s="160"/>
      <c r="H1858" s="161">
        <v>1838</v>
      </c>
    </row>
    <row r="1859" spans="1:8">
      <c r="A1859" s="282">
        <v>14</v>
      </c>
      <c r="B1859" s="161" t="s">
        <v>1976</v>
      </c>
      <c r="C1859" s="161" t="s">
        <v>2048</v>
      </c>
      <c r="D1859" s="160"/>
      <c r="H1859" s="161">
        <v>1839</v>
      </c>
    </row>
    <row r="1860" spans="1:8">
      <c r="A1860" s="282">
        <v>15</v>
      </c>
      <c r="B1860" s="161" t="s">
        <v>1977</v>
      </c>
      <c r="C1860" s="161" t="s">
        <v>2877</v>
      </c>
      <c r="D1860" s="160"/>
      <c r="H1860" s="161">
        <v>1840</v>
      </c>
    </row>
    <row r="1861" spans="1:8">
      <c r="A1861" s="282">
        <v>16</v>
      </c>
      <c r="B1861" s="161" t="s">
        <v>1978</v>
      </c>
      <c r="C1861" s="161" t="s">
        <v>251</v>
      </c>
      <c r="D1861" s="160"/>
      <c r="H1861" s="161">
        <v>1841</v>
      </c>
    </row>
    <row r="1862" spans="1:8">
      <c r="A1862" s="282">
        <v>17</v>
      </c>
      <c r="B1862" s="161" t="s">
        <v>1979</v>
      </c>
      <c r="C1862" s="161" t="s">
        <v>4283</v>
      </c>
      <c r="D1862" s="160"/>
      <c r="H1862" s="161">
        <v>1842</v>
      </c>
    </row>
    <row r="1863" spans="1:8">
      <c r="A1863" s="282">
        <v>18</v>
      </c>
      <c r="B1863" s="161" t="s">
        <v>1980</v>
      </c>
      <c r="C1863" s="161" t="s">
        <v>393</v>
      </c>
      <c r="D1863" s="160"/>
      <c r="H1863" s="161">
        <v>1843</v>
      </c>
    </row>
    <row r="1864" spans="1:8">
      <c r="A1864" s="282">
        <v>19</v>
      </c>
      <c r="B1864" s="161" t="s">
        <v>1981</v>
      </c>
      <c r="C1864" s="161" t="s">
        <v>2131</v>
      </c>
      <c r="D1864" s="160"/>
      <c r="H1864" s="161">
        <v>1844</v>
      </c>
    </row>
    <row r="1865" spans="1:8">
      <c r="A1865" s="282">
        <v>20</v>
      </c>
      <c r="B1865" s="161" t="s">
        <v>1982</v>
      </c>
      <c r="C1865" s="161" t="s">
        <v>4138</v>
      </c>
      <c r="D1865" s="160"/>
      <c r="H1865" s="161">
        <v>1845</v>
      </c>
    </row>
    <row r="1866" spans="1:8">
      <c r="A1866" s="282">
        <v>21</v>
      </c>
      <c r="B1866" s="161" t="s">
        <v>4150</v>
      </c>
      <c r="C1866" s="161" t="s">
        <v>1295</v>
      </c>
      <c r="D1866" s="160"/>
    </row>
    <row r="1867" spans="1:8">
      <c r="A1867" s="282">
        <v>22</v>
      </c>
      <c r="B1867" s="161" t="s">
        <v>4151</v>
      </c>
      <c r="C1867" s="161" t="s">
        <v>3148</v>
      </c>
      <c r="D1867" s="160"/>
    </row>
    <row r="1868" spans="1:8">
      <c r="A1868" s="282">
        <v>23</v>
      </c>
      <c r="B1868" s="161" t="s">
        <v>4152</v>
      </c>
      <c r="C1868" s="161" t="s">
        <v>3685</v>
      </c>
      <c r="D1868" s="160"/>
    </row>
    <row r="1869" spans="1:8">
      <c r="A1869" s="282">
        <v>24</v>
      </c>
      <c r="B1869" s="161" t="s">
        <v>4153</v>
      </c>
      <c r="C1869" s="161" t="s">
        <v>3060</v>
      </c>
      <c r="D1869" s="160"/>
    </row>
    <row r="1870" spans="1:8">
      <c r="A1870" s="282">
        <v>25</v>
      </c>
      <c r="B1870" s="161" t="s">
        <v>4154</v>
      </c>
      <c r="C1870" s="161" t="s">
        <v>23</v>
      </c>
      <c r="D1870" s="160"/>
    </row>
    <row r="1871" spans="1:8">
      <c r="A1871" s="282">
        <v>26</v>
      </c>
      <c r="B1871" s="161" t="s">
        <v>4155</v>
      </c>
      <c r="C1871" s="161" t="s">
        <v>4290</v>
      </c>
      <c r="D1871" s="160"/>
    </row>
    <row r="1872" spans="1:8">
      <c r="A1872" s="282"/>
      <c r="D1872" s="160"/>
    </row>
    <row r="1873" spans="1:15">
      <c r="A1873" s="282"/>
      <c r="D1873" s="160"/>
    </row>
    <row r="1874" spans="1:15">
      <c r="A1874" s="282"/>
      <c r="D1874" s="160"/>
    </row>
    <row r="1875" spans="1:15">
      <c r="A1875" s="282"/>
      <c r="D1875" s="160"/>
    </row>
    <row r="1876" spans="1:15">
      <c r="A1876" s="282"/>
      <c r="D1876" s="160"/>
    </row>
    <row r="1877" spans="1:15">
      <c r="A1877" s="282"/>
      <c r="D1877" s="160"/>
    </row>
    <row r="1880" spans="1:15">
      <c r="B1880" s="161" t="s">
        <v>1591</v>
      </c>
      <c r="C1880" s="161" t="s">
        <v>1595</v>
      </c>
      <c r="D1880" s="161" t="s">
        <v>1592</v>
      </c>
      <c r="E1880" s="161" t="s">
        <v>1596</v>
      </c>
      <c r="L1880" s="161"/>
      <c r="M1880" s="161"/>
      <c r="N1880" s="161"/>
      <c r="O1880" s="161"/>
    </row>
    <row r="1881" spans="1:15">
      <c r="A1881" s="282">
        <v>1</v>
      </c>
      <c r="B1881" s="460" t="s">
        <v>3354</v>
      </c>
      <c r="C1881" s="57" t="s">
        <v>374</v>
      </c>
      <c r="D1881" s="460" t="s">
        <v>3354</v>
      </c>
      <c r="E1881" s="57" t="s">
        <v>374</v>
      </c>
      <c r="L1881" s="57"/>
      <c r="M1881" s="57"/>
      <c r="N1881" s="57"/>
      <c r="O1881" s="57"/>
    </row>
    <row r="1882" spans="1:15">
      <c r="A1882" s="282">
        <v>2</v>
      </c>
      <c r="C1882" s="57"/>
      <c r="E1882" s="57"/>
      <c r="L1882" s="57"/>
      <c r="M1882" s="57"/>
      <c r="N1882" s="57"/>
      <c r="O1882" s="57"/>
    </row>
    <row r="1883" spans="1:15">
      <c r="A1883" s="282">
        <v>3</v>
      </c>
      <c r="C1883" s="57"/>
      <c r="E1883" s="57"/>
      <c r="L1883" s="57"/>
      <c r="M1883" s="57"/>
      <c r="N1883" s="57"/>
      <c r="O1883" s="57"/>
    </row>
    <row r="1884" spans="1:15">
      <c r="A1884" s="282">
        <v>4</v>
      </c>
      <c r="C1884" s="57"/>
      <c r="E1884" s="57"/>
      <c r="L1884" s="57"/>
      <c r="M1884" s="57"/>
      <c r="N1884" s="57"/>
      <c r="O1884" s="57"/>
    </row>
    <row r="1885" spans="1:15">
      <c r="A1885" s="282">
        <v>5</v>
      </c>
      <c r="C1885" s="57"/>
      <c r="E1885" s="57"/>
      <c r="L1885" s="57"/>
      <c r="M1885" s="57"/>
      <c r="N1885" s="57"/>
      <c r="O1885" s="57"/>
    </row>
    <row r="1886" spans="1:15">
      <c r="A1886" s="282">
        <v>6</v>
      </c>
      <c r="C1886" s="57"/>
      <c r="E1886" s="57"/>
      <c r="L1886" s="57"/>
      <c r="M1886" s="57"/>
      <c r="N1886" s="57"/>
      <c r="O1886" s="57"/>
    </row>
    <row r="1887" spans="1:15">
      <c r="A1887" s="282">
        <v>7</v>
      </c>
      <c r="C1887" s="57"/>
      <c r="E1887" s="57"/>
      <c r="L1887" s="57"/>
      <c r="M1887" s="57"/>
      <c r="N1887" s="57"/>
      <c r="O1887" s="57"/>
    </row>
    <row r="1888" spans="1:15">
      <c r="A1888" s="282">
        <v>8</v>
      </c>
      <c r="C1888" s="57"/>
      <c r="E1888" s="57"/>
      <c r="L1888" s="57"/>
      <c r="M1888" s="57"/>
      <c r="N1888" s="57"/>
      <c r="O1888" s="57"/>
    </row>
    <row r="1889" spans="1:15">
      <c r="A1889" s="282">
        <v>9</v>
      </c>
      <c r="C1889" s="57"/>
      <c r="E1889" s="57"/>
      <c r="L1889" s="57"/>
      <c r="M1889" s="57"/>
      <c r="N1889" s="57"/>
      <c r="O1889" s="57"/>
    </row>
    <row r="1890" spans="1:15">
      <c r="A1890" s="282">
        <v>10</v>
      </c>
      <c r="C1890" s="57"/>
      <c r="E1890" s="57"/>
      <c r="L1890" s="57"/>
      <c r="M1890" s="57"/>
      <c r="N1890" s="57"/>
      <c r="O1890" s="57"/>
    </row>
    <row r="1891" spans="1:15">
      <c r="A1891" s="282">
        <v>11</v>
      </c>
      <c r="C1891" s="57"/>
      <c r="E1891" s="57"/>
      <c r="L1891" s="57"/>
      <c r="M1891" s="57"/>
      <c r="N1891" s="57"/>
      <c r="O1891" s="57"/>
    </row>
    <row r="1892" spans="1:15">
      <c r="A1892" s="282">
        <v>12</v>
      </c>
      <c r="C1892" s="57"/>
      <c r="E1892" s="57"/>
      <c r="L1892" s="57"/>
      <c r="M1892" s="57"/>
      <c r="N1892" s="57"/>
      <c r="O1892" s="57"/>
    </row>
    <row r="1893" spans="1:15">
      <c r="A1893" s="282">
        <v>13</v>
      </c>
      <c r="C1893" s="57"/>
      <c r="E1893" s="57"/>
      <c r="L1893" s="57"/>
      <c r="M1893" s="57"/>
      <c r="N1893" s="57"/>
      <c r="O1893" s="57"/>
    </row>
    <row r="1894" spans="1:15">
      <c r="A1894" s="282">
        <v>14</v>
      </c>
      <c r="C1894" s="57"/>
      <c r="E1894" s="57"/>
      <c r="L1894" s="57"/>
      <c r="M1894" s="57"/>
      <c r="N1894" s="57"/>
      <c r="O1894" s="57"/>
    </row>
    <row r="1895" spans="1:15">
      <c r="A1895" s="282">
        <v>15</v>
      </c>
      <c r="C1895" s="57"/>
      <c r="E1895" s="57"/>
      <c r="L1895" s="57"/>
      <c r="M1895" s="57"/>
      <c r="N1895" s="57"/>
      <c r="O1895" s="57"/>
    </row>
    <row r="1896" spans="1:15">
      <c r="A1896" s="282">
        <v>16</v>
      </c>
      <c r="C1896" s="57"/>
      <c r="E1896" s="57"/>
      <c r="L1896" s="57"/>
      <c r="M1896" s="57"/>
      <c r="N1896" s="57"/>
      <c r="O1896" s="57"/>
    </row>
    <row r="1897" spans="1:15">
      <c r="A1897" s="282">
        <v>17</v>
      </c>
      <c r="C1897" s="57"/>
      <c r="E1897" s="57"/>
      <c r="L1897" s="57"/>
      <c r="M1897" s="57"/>
      <c r="N1897" s="57"/>
      <c r="O1897" s="57"/>
    </row>
    <row r="1898" spans="1:15">
      <c r="A1898" s="282">
        <v>18</v>
      </c>
      <c r="C1898" s="57"/>
      <c r="E1898" s="57"/>
      <c r="L1898" s="57"/>
      <c r="M1898" s="57"/>
      <c r="N1898" s="57"/>
      <c r="O1898" s="57"/>
    </row>
    <row r="1899" spans="1:15">
      <c r="A1899" s="282">
        <v>19</v>
      </c>
      <c r="C1899" s="57"/>
      <c r="E1899" s="57"/>
      <c r="L1899" s="57"/>
      <c r="M1899" s="57"/>
      <c r="N1899" s="57"/>
      <c r="O1899" s="57"/>
    </row>
    <row r="1900" spans="1:15">
      <c r="A1900" s="282">
        <v>20</v>
      </c>
      <c r="C1900" s="57"/>
      <c r="E1900" s="57"/>
      <c r="L1900" s="57"/>
      <c r="M1900" s="57"/>
      <c r="N1900" s="57"/>
      <c r="O1900" s="57"/>
    </row>
    <row r="1901" spans="1:15">
      <c r="A1901" s="282">
        <v>21</v>
      </c>
      <c r="L1901" s="57"/>
      <c r="M1901" s="57"/>
      <c r="N1901" s="57"/>
      <c r="O1901" s="57"/>
    </row>
    <row r="1902" spans="1:15">
      <c r="A1902" s="282">
        <v>22</v>
      </c>
      <c r="L1902" s="57"/>
      <c r="M1902" s="57"/>
      <c r="N1902" s="57"/>
      <c r="O1902" s="57"/>
    </row>
    <row r="1903" spans="1:15">
      <c r="A1903" s="282">
        <v>23</v>
      </c>
      <c r="L1903" s="57"/>
      <c r="M1903" s="57"/>
      <c r="N1903" s="57"/>
      <c r="O1903" s="57"/>
    </row>
    <row r="1904" spans="1:15">
      <c r="A1904" s="282">
        <v>24</v>
      </c>
      <c r="L1904" s="57"/>
      <c r="M1904" s="57"/>
      <c r="N1904" s="57"/>
      <c r="O1904" s="57"/>
    </row>
    <row r="1905" spans="1:17">
      <c r="A1905" s="282">
        <v>25</v>
      </c>
      <c r="L1905" s="57"/>
      <c r="M1905" s="57"/>
      <c r="N1905" s="57"/>
      <c r="O1905" s="57"/>
    </row>
    <row r="1906" spans="1:17">
      <c r="A1906" s="282">
        <v>26</v>
      </c>
      <c r="L1906" s="57"/>
      <c r="M1906" s="57"/>
      <c r="N1906" s="57"/>
      <c r="O1906" s="57"/>
    </row>
    <row r="1907" spans="1:17">
      <c r="A1907" s="282">
        <v>27</v>
      </c>
      <c r="L1907" s="57"/>
      <c r="M1907" s="57"/>
      <c r="N1907" s="57"/>
      <c r="O1907" s="57"/>
    </row>
    <row r="1908" spans="1:17">
      <c r="A1908" s="282">
        <v>28</v>
      </c>
      <c r="L1908" s="57"/>
      <c r="M1908" s="57"/>
      <c r="N1908" s="57"/>
      <c r="O1908" s="57"/>
    </row>
    <row r="1909" spans="1:17">
      <c r="A1909" s="282">
        <v>29</v>
      </c>
      <c r="L1909" s="57"/>
      <c r="M1909" s="57"/>
      <c r="N1909" s="57"/>
      <c r="O1909" s="57"/>
    </row>
    <row r="1910" spans="1:17">
      <c r="A1910" s="282">
        <v>30</v>
      </c>
      <c r="L1910" s="57"/>
      <c r="M1910" s="57"/>
      <c r="N1910" s="57"/>
      <c r="O1910" s="57"/>
    </row>
    <row r="1911" spans="1:17">
      <c r="A1911" s="282"/>
    </row>
    <row r="1912" spans="1:17" ht="12" customHeight="1">
      <c r="A1912" s="282"/>
    </row>
    <row r="1913" spans="1:17" hidden="1">
      <c r="A1913" s="282"/>
    </row>
    <row r="1914" spans="1:17" hidden="1">
      <c r="A1914" s="282"/>
    </row>
    <row r="1915" spans="1:17" hidden="1">
      <c r="A1915" s="282"/>
    </row>
    <row r="1916" spans="1:17" hidden="1">
      <c r="A1916" s="282"/>
    </row>
    <row r="1917" spans="1:17" hidden="1">
      <c r="A1917" s="282"/>
    </row>
    <row r="1918" spans="1:17" hidden="1">
      <c r="A1918" s="282"/>
    </row>
    <row r="1919" spans="1:17">
      <c r="A1919" s="282"/>
    </row>
    <row r="1920" spans="1:17">
      <c r="A1920" s="282"/>
      <c r="B1920" s="161" t="s">
        <v>1591</v>
      </c>
      <c r="C1920" s="161" t="s">
        <v>1595</v>
      </c>
      <c r="D1920" s="161" t="s">
        <v>1592</v>
      </c>
      <c r="E1920" s="161" t="s">
        <v>1596</v>
      </c>
      <c r="F1920" s="161" t="s">
        <v>1593</v>
      </c>
      <c r="G1920" s="161" t="s">
        <v>1597</v>
      </c>
      <c r="L1920" s="161"/>
      <c r="M1920" s="161"/>
      <c r="N1920" s="161"/>
      <c r="O1920" s="161"/>
      <c r="P1920" s="161"/>
      <c r="Q1920" s="161"/>
    </row>
    <row r="1921" spans="1:17">
      <c r="A1921" s="282">
        <v>1</v>
      </c>
      <c r="B1921" s="460" t="s">
        <v>3354</v>
      </c>
      <c r="C1921" s="57" t="s">
        <v>374</v>
      </c>
      <c r="D1921" s="460" t="s">
        <v>3354</v>
      </c>
      <c r="E1921" s="57" t="s">
        <v>374</v>
      </c>
      <c r="F1921" s="460" t="s">
        <v>3354</v>
      </c>
      <c r="G1921" s="57" t="s">
        <v>374</v>
      </c>
      <c r="L1921" s="57"/>
      <c r="M1921" s="57"/>
      <c r="N1921" s="57"/>
      <c r="O1921" s="57"/>
      <c r="P1921" s="57"/>
      <c r="Q1921" s="57"/>
    </row>
    <row r="1922" spans="1:17">
      <c r="A1922" s="282">
        <v>2</v>
      </c>
      <c r="C1922" s="57"/>
      <c r="E1922" s="57"/>
      <c r="G1922" s="57"/>
      <c r="L1922" s="57"/>
      <c r="M1922" s="57"/>
      <c r="N1922" s="57"/>
      <c r="O1922" s="57"/>
      <c r="P1922" s="57"/>
      <c r="Q1922" s="57"/>
    </row>
    <row r="1923" spans="1:17">
      <c r="A1923" s="282">
        <v>3</v>
      </c>
      <c r="C1923" s="57"/>
      <c r="E1923" s="57"/>
      <c r="G1923" s="57"/>
      <c r="L1923" s="57"/>
      <c r="M1923" s="57"/>
      <c r="N1923" s="57"/>
      <c r="O1923" s="57"/>
      <c r="P1923" s="57"/>
      <c r="Q1923" s="57"/>
    </row>
    <row r="1924" spans="1:17">
      <c r="A1924" s="282">
        <v>4</v>
      </c>
      <c r="C1924" s="57"/>
      <c r="E1924" s="57"/>
      <c r="G1924" s="57"/>
      <c r="L1924" s="57"/>
      <c r="M1924" s="57"/>
      <c r="N1924" s="57"/>
      <c r="O1924" s="57"/>
      <c r="P1924" s="57"/>
      <c r="Q1924" s="57"/>
    </row>
    <row r="1925" spans="1:17">
      <c r="A1925" s="282">
        <v>5</v>
      </c>
      <c r="C1925" s="57"/>
      <c r="E1925" s="57"/>
      <c r="G1925" s="57"/>
      <c r="L1925" s="57"/>
      <c r="M1925" s="57"/>
      <c r="N1925" s="57"/>
      <c r="O1925" s="57"/>
      <c r="P1925" s="57"/>
      <c r="Q1925" s="57"/>
    </row>
    <row r="1926" spans="1:17">
      <c r="A1926" s="282">
        <v>6</v>
      </c>
      <c r="C1926" s="57"/>
      <c r="E1926" s="57"/>
      <c r="G1926" s="57"/>
      <c r="L1926" s="57"/>
      <c r="M1926" s="57"/>
      <c r="N1926" s="57"/>
      <c r="O1926" s="57"/>
      <c r="P1926" s="57"/>
      <c r="Q1926" s="57"/>
    </row>
    <row r="1927" spans="1:17">
      <c r="A1927" s="282">
        <v>7</v>
      </c>
      <c r="C1927" s="57"/>
      <c r="E1927" s="57"/>
      <c r="G1927" s="57"/>
      <c r="L1927" s="57"/>
      <c r="M1927" s="57"/>
      <c r="N1927" s="57"/>
      <c r="O1927" s="57"/>
      <c r="P1927" s="57"/>
      <c r="Q1927" s="57"/>
    </row>
    <row r="1928" spans="1:17">
      <c r="A1928" s="282">
        <v>8</v>
      </c>
      <c r="C1928" s="57"/>
      <c r="E1928" s="57"/>
      <c r="G1928" s="57"/>
      <c r="L1928" s="57"/>
      <c r="M1928" s="57"/>
      <c r="N1928" s="57"/>
      <c r="O1928" s="57"/>
      <c r="P1928" s="57"/>
      <c r="Q1928" s="57"/>
    </row>
    <row r="1929" spans="1:17">
      <c r="A1929" s="282">
        <v>9</v>
      </c>
      <c r="C1929" s="57"/>
      <c r="E1929" s="57"/>
      <c r="G1929" s="57"/>
      <c r="L1929" s="57"/>
      <c r="M1929" s="57"/>
      <c r="N1929" s="57"/>
      <c r="O1929" s="57"/>
      <c r="P1929" s="57"/>
      <c r="Q1929" s="57"/>
    </row>
    <row r="1930" spans="1:17">
      <c r="A1930" s="282">
        <v>10</v>
      </c>
      <c r="C1930" s="57"/>
      <c r="E1930" s="57"/>
      <c r="G1930" s="57"/>
      <c r="L1930" s="57"/>
      <c r="M1930" s="57"/>
      <c r="N1930" s="57"/>
      <c r="O1930" s="57"/>
      <c r="P1930" s="57"/>
      <c r="Q1930" s="57"/>
    </row>
    <row r="1931" spans="1:17">
      <c r="A1931" s="282">
        <v>11</v>
      </c>
      <c r="C1931" s="57"/>
      <c r="E1931" s="57"/>
      <c r="G1931" s="57"/>
      <c r="L1931" s="57"/>
      <c r="M1931" s="57"/>
      <c r="N1931" s="57"/>
      <c r="O1931" s="57"/>
      <c r="P1931" s="57"/>
      <c r="Q1931" s="57"/>
    </row>
    <row r="1932" spans="1:17">
      <c r="A1932" s="282">
        <v>12</v>
      </c>
      <c r="C1932" s="57"/>
      <c r="E1932" s="57"/>
      <c r="G1932" s="57"/>
      <c r="L1932" s="57"/>
      <c r="M1932" s="57"/>
      <c r="N1932" s="57"/>
      <c r="O1932" s="57"/>
      <c r="P1932" s="57"/>
      <c r="Q1932" s="57"/>
    </row>
    <row r="1933" spans="1:17">
      <c r="A1933" s="282">
        <v>13</v>
      </c>
      <c r="C1933" s="57"/>
      <c r="E1933" s="57"/>
      <c r="G1933" s="57"/>
      <c r="L1933" s="57"/>
      <c r="M1933" s="57"/>
      <c r="N1933" s="57"/>
      <c r="O1933" s="57"/>
      <c r="P1933" s="57"/>
      <c r="Q1933" s="57"/>
    </row>
    <row r="1934" spans="1:17">
      <c r="A1934" s="282">
        <v>14</v>
      </c>
      <c r="C1934" s="57"/>
      <c r="E1934" s="57"/>
      <c r="G1934" s="57"/>
      <c r="L1934" s="57"/>
      <c r="M1934" s="57"/>
      <c r="N1934" s="57"/>
      <c r="O1934" s="57"/>
      <c r="P1934" s="57"/>
      <c r="Q1934" s="57"/>
    </row>
    <row r="1935" spans="1:17">
      <c r="A1935" s="282">
        <v>15</v>
      </c>
      <c r="C1935" s="57"/>
      <c r="E1935" s="57"/>
      <c r="G1935" s="57"/>
      <c r="L1935" s="57"/>
      <c r="M1935" s="57"/>
      <c r="N1935" s="57"/>
      <c r="O1935" s="57"/>
      <c r="P1935" s="57"/>
      <c r="Q1935" s="57"/>
    </row>
    <row r="1936" spans="1:17">
      <c r="A1936" s="282">
        <v>16</v>
      </c>
      <c r="C1936" s="57"/>
      <c r="E1936" s="57"/>
      <c r="G1936" s="57"/>
      <c r="L1936" s="57"/>
      <c r="M1936" s="57"/>
      <c r="N1936" s="57"/>
      <c r="O1936" s="57"/>
      <c r="P1936" s="57"/>
      <c r="Q1936" s="57"/>
    </row>
    <row r="1937" spans="1:17">
      <c r="A1937" s="282">
        <v>17</v>
      </c>
      <c r="C1937" s="57"/>
      <c r="E1937" s="57"/>
      <c r="G1937" s="57"/>
      <c r="L1937" s="57"/>
      <c r="M1937" s="57"/>
      <c r="N1937" s="57"/>
      <c r="O1937" s="57"/>
      <c r="P1937" s="57"/>
      <c r="Q1937" s="57"/>
    </row>
    <row r="1938" spans="1:17">
      <c r="A1938" s="282">
        <v>18</v>
      </c>
      <c r="C1938" s="57"/>
      <c r="E1938" s="57"/>
      <c r="G1938" s="57"/>
      <c r="L1938" s="57"/>
      <c r="M1938" s="57"/>
      <c r="N1938" s="57"/>
      <c r="O1938" s="57"/>
      <c r="P1938" s="57"/>
      <c r="Q1938" s="57"/>
    </row>
    <row r="1939" spans="1:17">
      <c r="A1939" s="282">
        <v>19</v>
      </c>
      <c r="C1939" s="57"/>
      <c r="E1939" s="57"/>
      <c r="G1939" s="57"/>
      <c r="L1939" s="57"/>
      <c r="M1939" s="57"/>
      <c r="N1939" s="57"/>
      <c r="O1939" s="57"/>
      <c r="P1939" s="57"/>
      <c r="Q1939" s="57"/>
    </row>
    <row r="1940" spans="1:17">
      <c r="A1940" s="282">
        <v>20</v>
      </c>
      <c r="C1940" s="57"/>
      <c r="E1940" s="57"/>
      <c r="G1940" s="57"/>
      <c r="L1940" s="57"/>
      <c r="M1940" s="57"/>
      <c r="N1940" s="57"/>
      <c r="O1940" s="57"/>
      <c r="P1940" s="57"/>
      <c r="Q1940" s="57"/>
    </row>
    <row r="1941" spans="1:17">
      <c r="A1941" s="282">
        <v>21</v>
      </c>
      <c r="C1941" s="57"/>
      <c r="E1941" s="57"/>
      <c r="G1941" s="57"/>
      <c r="L1941" s="57"/>
      <c r="M1941" s="57"/>
      <c r="N1941" s="57"/>
      <c r="O1941" s="57"/>
      <c r="P1941" s="57"/>
      <c r="Q1941" s="57"/>
    </row>
    <row r="1942" spans="1:17">
      <c r="A1942" s="282">
        <v>22</v>
      </c>
      <c r="C1942" s="57"/>
      <c r="E1942" s="57"/>
      <c r="G1942" s="57"/>
      <c r="L1942" s="57"/>
      <c r="M1942" s="57"/>
      <c r="N1942" s="57"/>
      <c r="O1942" s="57"/>
      <c r="P1942" s="57"/>
      <c r="Q1942" s="57"/>
    </row>
    <row r="1943" spans="1:17">
      <c r="A1943" s="282">
        <v>23</v>
      </c>
      <c r="C1943" s="57"/>
      <c r="E1943" s="57"/>
      <c r="G1943" s="57"/>
      <c r="L1943" s="57"/>
      <c r="M1943" s="57"/>
      <c r="N1943" s="57"/>
      <c r="O1943" s="57"/>
      <c r="P1943" s="57"/>
      <c r="Q1943" s="57"/>
    </row>
    <row r="1944" spans="1:17">
      <c r="A1944" s="282">
        <v>24</v>
      </c>
      <c r="C1944" s="57"/>
      <c r="E1944" s="57"/>
      <c r="G1944" s="57"/>
      <c r="L1944" s="57"/>
      <c r="M1944" s="57"/>
      <c r="N1944" s="57"/>
      <c r="O1944" s="57"/>
      <c r="P1944" s="57"/>
      <c r="Q1944" s="57"/>
    </row>
    <row r="1945" spans="1:17">
      <c r="A1945" s="282">
        <v>25</v>
      </c>
      <c r="C1945" s="57"/>
      <c r="E1945" s="57"/>
      <c r="G1945" s="57"/>
      <c r="L1945" s="57"/>
      <c r="M1945" s="57"/>
      <c r="N1945" s="57"/>
      <c r="O1945" s="57"/>
      <c r="P1945" s="57"/>
      <c r="Q1945" s="57"/>
    </row>
    <row r="1946" spans="1:17">
      <c r="A1946" s="282">
        <v>26</v>
      </c>
      <c r="C1946" s="57"/>
      <c r="E1946" s="57"/>
      <c r="G1946" s="57"/>
      <c r="L1946" s="57"/>
      <c r="M1946" s="57"/>
      <c r="N1946" s="57"/>
      <c r="O1946" s="57"/>
      <c r="P1946" s="57"/>
      <c r="Q1946" s="57"/>
    </row>
    <row r="1947" spans="1:17">
      <c r="A1947" s="282">
        <v>27</v>
      </c>
      <c r="C1947" s="57"/>
      <c r="E1947" s="57"/>
      <c r="G1947" s="57"/>
      <c r="L1947" s="57"/>
      <c r="M1947" s="57"/>
      <c r="N1947" s="57"/>
      <c r="O1947" s="57"/>
      <c r="P1947" s="57"/>
      <c r="Q1947" s="57"/>
    </row>
    <row r="1948" spans="1:17">
      <c r="A1948" s="282">
        <v>28</v>
      </c>
      <c r="C1948" s="57"/>
      <c r="E1948" s="57"/>
      <c r="G1948" s="57"/>
      <c r="L1948" s="57"/>
      <c r="M1948" s="57"/>
      <c r="N1948" s="57"/>
      <c r="O1948" s="57"/>
      <c r="P1948" s="57"/>
      <c r="Q1948" s="57"/>
    </row>
    <row r="1949" spans="1:17">
      <c r="A1949" s="282">
        <v>29</v>
      </c>
      <c r="C1949" s="57"/>
      <c r="E1949" s="57"/>
      <c r="G1949" s="57"/>
      <c r="L1949" s="57"/>
      <c r="M1949" s="57"/>
      <c r="N1949" s="57"/>
      <c r="O1949" s="57"/>
      <c r="P1949" s="57"/>
      <c r="Q1949" s="57"/>
    </row>
    <row r="1950" spans="1:17">
      <c r="A1950" s="282">
        <v>30</v>
      </c>
      <c r="C1950" s="57"/>
      <c r="E1950" s="57"/>
      <c r="G1950" s="57"/>
      <c r="L1950" s="57"/>
      <c r="M1950" s="57"/>
      <c r="N1950" s="57"/>
      <c r="O1950" s="57"/>
      <c r="P1950" s="57"/>
      <c r="Q1950" s="57"/>
    </row>
    <row r="1951" spans="1:17">
      <c r="A1951" s="282">
        <v>31</v>
      </c>
      <c r="C1951" s="57"/>
      <c r="E1951" s="57"/>
      <c r="G1951" s="57"/>
      <c r="L1951" s="57"/>
      <c r="M1951" s="57"/>
      <c r="N1951" s="57"/>
      <c r="O1951" s="57"/>
      <c r="P1951" s="57"/>
      <c r="Q1951" s="57"/>
    </row>
    <row r="1952" spans="1:17">
      <c r="A1952" s="282">
        <v>32</v>
      </c>
      <c r="C1952" s="57"/>
      <c r="E1952" s="57"/>
      <c r="G1952" s="57"/>
      <c r="L1952" s="57"/>
      <c r="M1952" s="57"/>
      <c r="N1952" s="57"/>
      <c r="O1952" s="57"/>
      <c r="P1952" s="57"/>
      <c r="Q1952" s="57"/>
    </row>
    <row r="1953" spans="1:17">
      <c r="A1953" s="282">
        <v>33</v>
      </c>
      <c r="C1953" s="57"/>
      <c r="E1953" s="57"/>
      <c r="G1953" s="57"/>
      <c r="L1953" s="57"/>
      <c r="M1953" s="57"/>
      <c r="N1953" s="57"/>
      <c r="O1953" s="57"/>
      <c r="P1953" s="57"/>
      <c r="Q1953" s="57"/>
    </row>
    <row r="1954" spans="1:17">
      <c r="A1954" s="282">
        <v>34</v>
      </c>
      <c r="C1954" s="57"/>
      <c r="E1954" s="57"/>
      <c r="G1954" s="57"/>
      <c r="L1954" s="57"/>
      <c r="M1954" s="57"/>
      <c r="N1954" s="57"/>
      <c r="O1954" s="57"/>
      <c r="P1954" s="57"/>
      <c r="Q1954" s="57"/>
    </row>
    <row r="1955" spans="1:17">
      <c r="A1955" s="282">
        <v>35</v>
      </c>
      <c r="C1955" s="57"/>
      <c r="E1955" s="57"/>
      <c r="G1955" s="57"/>
      <c r="L1955" s="57"/>
      <c r="M1955" s="57"/>
      <c r="N1955" s="57"/>
      <c r="O1955" s="57"/>
      <c r="P1955" s="57"/>
      <c r="Q1955" s="57"/>
    </row>
    <row r="1956" spans="1:17">
      <c r="A1956" s="282">
        <v>36</v>
      </c>
      <c r="C1956" s="57"/>
      <c r="E1956" s="57"/>
      <c r="G1956" s="57"/>
      <c r="L1956" s="57"/>
      <c r="M1956" s="57"/>
      <c r="N1956" s="57"/>
      <c r="O1956" s="57"/>
      <c r="P1956" s="57"/>
      <c r="Q1956" s="57"/>
    </row>
    <row r="1957" spans="1:17">
      <c r="A1957" s="282">
        <v>37</v>
      </c>
      <c r="C1957" s="57"/>
      <c r="E1957" s="57"/>
      <c r="G1957" s="57"/>
      <c r="L1957" s="57"/>
      <c r="M1957" s="57"/>
      <c r="N1957" s="57"/>
      <c r="O1957" s="57"/>
      <c r="P1957" s="57"/>
      <c r="Q1957" s="57"/>
    </row>
    <row r="1958" spans="1:17">
      <c r="A1958" s="282">
        <v>38</v>
      </c>
      <c r="C1958" s="57"/>
      <c r="E1958" s="57"/>
      <c r="G1958" s="57"/>
      <c r="L1958" s="57"/>
      <c r="M1958" s="57"/>
      <c r="N1958" s="57"/>
      <c r="O1958" s="57"/>
      <c r="P1958" s="57"/>
      <c r="Q1958" s="57"/>
    </row>
    <row r="1959" spans="1:17">
      <c r="A1959" s="282">
        <v>39</v>
      </c>
      <c r="C1959" s="57"/>
      <c r="E1959" s="57"/>
      <c r="G1959" s="57"/>
      <c r="L1959" s="57"/>
      <c r="M1959" s="57"/>
      <c r="N1959" s="57"/>
      <c r="O1959" s="57"/>
      <c r="P1959" s="57"/>
      <c r="Q1959" s="57"/>
    </row>
    <row r="1960" spans="1:17">
      <c r="A1960" s="282">
        <v>40</v>
      </c>
      <c r="C1960" s="57"/>
      <c r="E1960" s="57"/>
      <c r="G1960" s="57"/>
      <c r="L1960" s="57"/>
      <c r="M1960" s="57"/>
      <c r="N1960" s="57"/>
      <c r="O1960" s="57"/>
      <c r="P1960" s="57"/>
      <c r="Q1960" s="57"/>
    </row>
    <row r="1961" spans="1:17">
      <c r="A1961" s="282">
        <v>41</v>
      </c>
      <c r="C1961" s="57"/>
      <c r="E1961" s="57"/>
      <c r="G1961" s="57"/>
      <c r="L1961" s="57"/>
      <c r="M1961" s="57"/>
      <c r="N1961" s="57"/>
      <c r="O1961" s="57"/>
      <c r="P1961" s="57"/>
      <c r="Q1961" s="57"/>
    </row>
    <row r="1962" spans="1:17">
      <c r="A1962" s="282">
        <v>42</v>
      </c>
      <c r="C1962" s="57"/>
      <c r="E1962" s="57"/>
      <c r="G1962" s="57"/>
      <c r="L1962" s="57"/>
      <c r="M1962" s="57"/>
      <c r="N1962" s="57"/>
      <c r="O1962" s="57"/>
      <c r="P1962" s="57"/>
      <c r="Q1962" s="57"/>
    </row>
    <row r="1963" spans="1:17">
      <c r="A1963" s="282">
        <v>43</v>
      </c>
      <c r="C1963" s="57"/>
      <c r="E1963" s="57"/>
      <c r="G1963" s="57"/>
      <c r="L1963" s="57"/>
      <c r="M1963" s="57"/>
      <c r="N1963" s="57"/>
      <c r="O1963" s="57"/>
      <c r="P1963" s="57"/>
      <c r="Q1963" s="57"/>
    </row>
    <row r="1964" spans="1:17">
      <c r="A1964" s="282">
        <v>44</v>
      </c>
      <c r="C1964" s="160"/>
    </row>
    <row r="1965" spans="1:17">
      <c r="A1965" s="282">
        <v>45</v>
      </c>
      <c r="C1965" s="160"/>
    </row>
    <row r="1966" spans="1:17">
      <c r="A1966" s="282">
        <v>46</v>
      </c>
      <c r="C1966" s="160"/>
    </row>
    <row r="1967" spans="1:17">
      <c r="A1967" s="282">
        <v>47</v>
      </c>
      <c r="C1967" s="160"/>
    </row>
    <row r="1968" spans="1:17">
      <c r="A1968" s="282">
        <v>48</v>
      </c>
      <c r="C1968" s="160"/>
    </row>
    <row r="1969" spans="1:3">
      <c r="A1969" s="282">
        <v>49</v>
      </c>
      <c r="C1969" s="160"/>
    </row>
    <row r="1970" spans="1:3">
      <c r="A1970" s="282">
        <v>50</v>
      </c>
      <c r="C1970" s="160"/>
    </row>
    <row r="1971" spans="1:3">
      <c r="A1971" s="57"/>
    </row>
    <row r="1972" spans="1:3">
      <c r="A1972" s="57"/>
    </row>
    <row r="1973" spans="1:3">
      <c r="A1973" s="57"/>
    </row>
    <row r="1974" spans="1:3">
      <c r="A1974" s="57"/>
    </row>
    <row r="1975" spans="1:3">
      <c r="A1975" s="57"/>
    </row>
    <row r="1976" spans="1:3">
      <c r="A1976" s="57"/>
    </row>
    <row r="1977" spans="1:3">
      <c r="A1977" s="57"/>
    </row>
    <row r="1978" spans="1:3">
      <c r="A1978" s="57"/>
    </row>
    <row r="1979" spans="1:3">
      <c r="A1979" s="57"/>
    </row>
    <row r="1980" spans="1:3">
      <c r="A1980" s="57"/>
    </row>
    <row r="1981" spans="1:3">
      <c r="A1981" s="57"/>
    </row>
    <row r="1982" spans="1:3">
      <c r="A1982" s="57"/>
    </row>
    <row r="1983" spans="1:3">
      <c r="A1983" s="57"/>
    </row>
    <row r="1984" spans="1:3">
      <c r="A1984" s="57"/>
    </row>
    <row r="1985" spans="1:1">
      <c r="A1985" s="57"/>
    </row>
    <row r="1986" spans="1:1">
      <c r="A1986" s="57"/>
    </row>
    <row r="1987" spans="1:1">
      <c r="A1987" s="57"/>
    </row>
    <row r="1988" spans="1:1">
      <c r="A1988" s="57"/>
    </row>
    <row r="1989" spans="1:1">
      <c r="A1989" s="57"/>
    </row>
    <row r="1990" spans="1:1">
      <c r="A1990" s="57"/>
    </row>
    <row r="1991" spans="1:1">
      <c r="A1991" s="57"/>
    </row>
    <row r="1992" spans="1:1">
      <c r="A1992" s="57"/>
    </row>
    <row r="1993" spans="1:1">
      <c r="A1993" s="57"/>
    </row>
    <row r="1994" spans="1:1">
      <c r="A1994" s="57"/>
    </row>
    <row r="1995" spans="1:1">
      <c r="A1995" s="57"/>
    </row>
    <row r="1996" spans="1:1">
      <c r="A1996" s="57"/>
    </row>
    <row r="1997" spans="1:1">
      <c r="A1997" s="57"/>
    </row>
    <row r="1998" spans="1:1">
      <c r="A1998" s="57"/>
    </row>
    <row r="1999" spans="1:1">
      <c r="A1999" s="57"/>
    </row>
    <row r="2000" spans="1:1">
      <c r="A2000" s="57"/>
    </row>
    <row r="2001" spans="1:1">
      <c r="A2001" s="57"/>
    </row>
    <row r="2002" spans="1:1">
      <c r="A2002" s="57"/>
    </row>
    <row r="2003" spans="1:1">
      <c r="A2003" s="57"/>
    </row>
    <row r="2004" spans="1:1">
      <c r="A2004" s="57"/>
    </row>
    <row r="2005" spans="1:1">
      <c r="A2005" s="57"/>
    </row>
    <row r="2006" spans="1:1">
      <c r="A2006" s="57"/>
    </row>
    <row r="2007" spans="1:1">
      <c r="A2007" s="57"/>
    </row>
    <row r="2008" spans="1:1">
      <c r="A2008" s="57"/>
    </row>
    <row r="2009" spans="1:1">
      <c r="A2009" s="57"/>
    </row>
    <row r="2010" spans="1:1">
      <c r="A2010" s="57"/>
    </row>
    <row r="2011" spans="1:1">
      <c r="A2011" s="57"/>
    </row>
    <row r="2012" spans="1:1">
      <c r="A2012" s="57"/>
    </row>
    <row r="2013" spans="1:1">
      <c r="A2013" s="57"/>
    </row>
    <row r="2014" spans="1:1">
      <c r="A2014" s="57"/>
    </row>
    <row r="2015" spans="1:1">
      <c r="A2015" s="57"/>
    </row>
    <row r="2016" spans="1:1">
      <c r="A2016" s="57"/>
    </row>
    <row r="2017" spans="1:1">
      <c r="A2017" s="57"/>
    </row>
    <row r="2018" spans="1:1">
      <c r="A2018" s="57"/>
    </row>
  </sheetData>
  <phoneticPr fontId="0" type="noConversion"/>
  <pageMargins left="0.75" right="0.75" top="1" bottom="1" header="0" footer="0"/>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Y2055"/>
  <sheetViews>
    <sheetView workbookViewId="0">
      <selection activeCell="C2" sqref="C2"/>
    </sheetView>
  </sheetViews>
  <sheetFormatPr defaultColWidth="11.3984375" defaultRowHeight="10.15"/>
  <cols>
    <col min="1" max="1" width="12.1328125" style="53" customWidth="1"/>
    <col min="2" max="2" width="40.73046875" style="53" customWidth="1"/>
    <col min="3" max="3" width="14" style="53" customWidth="1"/>
    <col min="4" max="4" width="74" style="53" customWidth="1"/>
    <col min="5" max="16384" width="11.3984375" style="53"/>
  </cols>
  <sheetData>
    <row r="1" spans="1:25">
      <c r="B1" s="53" t="s">
        <v>1065</v>
      </c>
      <c r="C1" s="53" t="s">
        <v>3350</v>
      </c>
      <c r="D1" s="53" t="s">
        <v>3352</v>
      </c>
      <c r="M1" s="53">
        <v>3</v>
      </c>
      <c r="Y1" s="53">
        <v>3</v>
      </c>
    </row>
    <row r="2" spans="1:25">
      <c r="B2" s="53">
        <v>1</v>
      </c>
      <c r="C2" s="160" t="str">
        <f>VLOOKUP(B2,A1930:B2043,2,FALSE)</f>
        <v>0000</v>
      </c>
      <c r="D2" s="53" t="s">
        <v>1594</v>
      </c>
      <c r="E2" s="53">
        <v>1</v>
      </c>
    </row>
    <row r="3" spans="1:25">
      <c r="A3" s="53" t="s">
        <v>3350</v>
      </c>
      <c r="B3" s="53" t="s">
        <v>3351</v>
      </c>
      <c r="C3" s="53" t="s">
        <v>3352</v>
      </c>
      <c r="D3" s="53" t="s">
        <v>3353</v>
      </c>
    </row>
    <row r="4" spans="1:25">
      <c r="A4" s="160" t="s">
        <v>2928</v>
      </c>
      <c r="B4" s="53" t="s">
        <v>2565</v>
      </c>
      <c r="C4" s="160" t="s">
        <v>3354</v>
      </c>
      <c r="D4" s="53" t="s">
        <v>2566</v>
      </c>
    </row>
    <row r="5" spans="1:25">
      <c r="A5" s="53" t="s">
        <v>2851</v>
      </c>
      <c r="B5" s="53" t="s">
        <v>1639</v>
      </c>
      <c r="C5" s="53" t="s">
        <v>3354</v>
      </c>
      <c r="D5" s="53" t="s">
        <v>1640</v>
      </c>
    </row>
    <row r="6" spans="1:25">
      <c r="A6" s="53" t="s">
        <v>2851</v>
      </c>
      <c r="B6" s="53" t="s">
        <v>1639</v>
      </c>
      <c r="C6" s="53" t="s">
        <v>1964</v>
      </c>
      <c r="D6" s="53" t="s">
        <v>2133</v>
      </c>
    </row>
    <row r="7" spans="1:25">
      <c r="A7" s="53" t="s">
        <v>2851</v>
      </c>
      <c r="B7" s="53" t="s">
        <v>1639</v>
      </c>
      <c r="C7" s="53" t="s">
        <v>1965</v>
      </c>
      <c r="D7" s="53" t="s">
        <v>2134</v>
      </c>
    </row>
    <row r="8" spans="1:25">
      <c r="A8" s="53" t="s">
        <v>2851</v>
      </c>
      <c r="B8" s="53" t="s">
        <v>1639</v>
      </c>
      <c r="C8" s="53" t="s">
        <v>1966</v>
      </c>
      <c r="D8" s="53" t="s">
        <v>2135</v>
      </c>
    </row>
    <row r="9" spans="1:25">
      <c r="A9" s="53" t="s">
        <v>2851</v>
      </c>
      <c r="B9" s="53" t="s">
        <v>1639</v>
      </c>
      <c r="C9" s="53" t="s">
        <v>1967</v>
      </c>
      <c r="D9" s="53" t="s">
        <v>2136</v>
      </c>
    </row>
    <row r="10" spans="1:25">
      <c r="A10" s="53" t="s">
        <v>2851</v>
      </c>
      <c r="B10" s="53" t="s">
        <v>1639</v>
      </c>
      <c r="C10" s="53" t="s">
        <v>1968</v>
      </c>
      <c r="D10" s="53" t="s">
        <v>2137</v>
      </c>
    </row>
    <row r="11" spans="1:25">
      <c r="A11" s="53" t="s">
        <v>2851</v>
      </c>
      <c r="B11" s="53" t="s">
        <v>1639</v>
      </c>
      <c r="C11" s="53" t="s">
        <v>1969</v>
      </c>
      <c r="D11" s="53" t="s">
        <v>2138</v>
      </c>
    </row>
    <row r="12" spans="1:25">
      <c r="A12" s="53" t="s">
        <v>2852</v>
      </c>
      <c r="B12" s="53" t="s">
        <v>1560</v>
      </c>
      <c r="C12" s="53" t="s">
        <v>3354</v>
      </c>
      <c r="D12" s="53" t="s">
        <v>1563</v>
      </c>
    </row>
    <row r="13" spans="1:25">
      <c r="A13" s="53" t="s">
        <v>2852</v>
      </c>
      <c r="B13" s="53" t="s">
        <v>1560</v>
      </c>
      <c r="C13" s="53" t="s">
        <v>1964</v>
      </c>
      <c r="D13" s="53" t="s">
        <v>1946</v>
      </c>
    </row>
    <row r="14" spans="1:25">
      <c r="A14" s="53" t="s">
        <v>958</v>
      </c>
      <c r="B14" s="53" t="s">
        <v>1785</v>
      </c>
      <c r="C14" s="53" t="s">
        <v>3354</v>
      </c>
      <c r="D14" s="53" t="s">
        <v>933</v>
      </c>
    </row>
    <row r="15" spans="1:25">
      <c r="A15" s="53" t="s">
        <v>958</v>
      </c>
      <c r="B15" s="53" t="s">
        <v>1785</v>
      </c>
      <c r="C15" s="53" t="s">
        <v>1964</v>
      </c>
      <c r="D15" s="53" t="s">
        <v>1805</v>
      </c>
    </row>
    <row r="16" spans="1:25">
      <c r="A16" s="53" t="s">
        <v>958</v>
      </c>
      <c r="B16" s="53" t="s">
        <v>1785</v>
      </c>
      <c r="C16" s="53" t="s">
        <v>1965</v>
      </c>
      <c r="D16" s="53" t="s">
        <v>1806</v>
      </c>
    </row>
    <row r="17" spans="1:4">
      <c r="A17" s="53" t="s">
        <v>958</v>
      </c>
      <c r="B17" s="53" t="s">
        <v>1785</v>
      </c>
      <c r="C17" s="53" t="s">
        <v>1966</v>
      </c>
      <c r="D17" s="53" t="s">
        <v>1807</v>
      </c>
    </row>
    <row r="18" spans="1:4">
      <c r="A18" s="53" t="s">
        <v>958</v>
      </c>
      <c r="B18" s="53" t="s">
        <v>1785</v>
      </c>
      <c r="C18" s="53" t="s">
        <v>1967</v>
      </c>
      <c r="D18" s="53" t="s">
        <v>2835</v>
      </c>
    </row>
    <row r="19" spans="1:4">
      <c r="A19" s="53" t="s">
        <v>958</v>
      </c>
      <c r="B19" s="53" t="s">
        <v>1785</v>
      </c>
      <c r="C19" s="53" t="s">
        <v>1968</v>
      </c>
      <c r="D19" s="53" t="s">
        <v>2836</v>
      </c>
    </row>
    <row r="20" spans="1:4">
      <c r="A20" s="53" t="s">
        <v>958</v>
      </c>
      <c r="B20" s="53" t="s">
        <v>1785</v>
      </c>
      <c r="C20" s="53" t="s">
        <v>1969</v>
      </c>
      <c r="D20" s="53" t="s">
        <v>4411</v>
      </c>
    </row>
    <row r="21" spans="1:4">
      <c r="A21" s="53" t="s">
        <v>958</v>
      </c>
      <c r="B21" s="53" t="s">
        <v>1785</v>
      </c>
      <c r="C21" s="53" t="s">
        <v>1970</v>
      </c>
      <c r="D21" s="53" t="s">
        <v>3831</v>
      </c>
    </row>
    <row r="22" spans="1:4">
      <c r="A22" s="53" t="s">
        <v>959</v>
      </c>
      <c r="B22" s="53" t="s">
        <v>3832</v>
      </c>
      <c r="C22" s="53" t="s">
        <v>3354</v>
      </c>
      <c r="D22" s="53" t="s">
        <v>2872</v>
      </c>
    </row>
    <row r="23" spans="1:4">
      <c r="A23" s="53" t="s">
        <v>959</v>
      </c>
      <c r="B23" s="53" t="s">
        <v>3832</v>
      </c>
      <c r="C23" s="53" t="s">
        <v>1964</v>
      </c>
      <c r="D23" s="53" t="s">
        <v>2873</v>
      </c>
    </row>
    <row r="24" spans="1:4">
      <c r="A24" s="53" t="s">
        <v>959</v>
      </c>
      <c r="B24" s="53" t="s">
        <v>3832</v>
      </c>
      <c r="C24" s="53" t="s">
        <v>1965</v>
      </c>
      <c r="D24" s="53" t="s">
        <v>2874</v>
      </c>
    </row>
    <row r="25" spans="1:4">
      <c r="A25" s="53" t="s">
        <v>959</v>
      </c>
      <c r="B25" s="53" t="s">
        <v>3832</v>
      </c>
      <c r="C25" s="53" t="s">
        <v>1966</v>
      </c>
      <c r="D25" s="53" t="s">
        <v>1941</v>
      </c>
    </row>
    <row r="26" spans="1:4">
      <c r="A26" s="53" t="s">
        <v>959</v>
      </c>
      <c r="B26" s="53" t="s">
        <v>3832</v>
      </c>
      <c r="C26" s="53" t="s">
        <v>1967</v>
      </c>
      <c r="D26" s="53" t="s">
        <v>3240</v>
      </c>
    </row>
    <row r="27" spans="1:4">
      <c r="A27" s="53" t="s">
        <v>3864</v>
      </c>
      <c r="B27" s="53" t="s">
        <v>3865</v>
      </c>
      <c r="C27" s="53" t="s">
        <v>3354</v>
      </c>
      <c r="D27" s="53" t="s">
        <v>3866</v>
      </c>
    </row>
    <row r="28" spans="1:4">
      <c r="A28" s="53" t="s">
        <v>3864</v>
      </c>
      <c r="B28" s="53" t="s">
        <v>3865</v>
      </c>
      <c r="C28" s="53" t="s">
        <v>1964</v>
      </c>
      <c r="D28" s="53" t="s">
        <v>3867</v>
      </c>
    </row>
    <row r="29" spans="1:4">
      <c r="A29" s="53" t="s">
        <v>4225</v>
      </c>
      <c r="B29" s="53" t="s">
        <v>2580</v>
      </c>
      <c r="C29" s="53" t="s">
        <v>3354</v>
      </c>
      <c r="D29" s="53" t="s">
        <v>2581</v>
      </c>
    </row>
    <row r="30" spans="1:4">
      <c r="A30" s="53" t="s">
        <v>4225</v>
      </c>
      <c r="B30" s="53" t="s">
        <v>2580</v>
      </c>
      <c r="C30" s="53" t="s">
        <v>1964</v>
      </c>
      <c r="D30" s="53" t="s">
        <v>3862</v>
      </c>
    </row>
    <row r="31" spans="1:4">
      <c r="A31" s="53" t="s">
        <v>4225</v>
      </c>
      <c r="B31" s="53" t="s">
        <v>2580</v>
      </c>
      <c r="C31" s="53" t="s">
        <v>1965</v>
      </c>
      <c r="D31" s="53" t="s">
        <v>357</v>
      </c>
    </row>
    <row r="32" spans="1:4">
      <c r="A32" s="53" t="s">
        <v>4225</v>
      </c>
      <c r="B32" s="53" t="s">
        <v>2580</v>
      </c>
      <c r="C32" s="53" t="s">
        <v>1966</v>
      </c>
      <c r="D32" s="53" t="s">
        <v>3863</v>
      </c>
    </row>
    <row r="33" spans="1:4">
      <c r="A33" s="53" t="s">
        <v>2712</v>
      </c>
      <c r="B33" s="53" t="s">
        <v>2368</v>
      </c>
      <c r="C33" s="53" t="s">
        <v>3354</v>
      </c>
      <c r="D33" s="53" t="s">
        <v>2370</v>
      </c>
    </row>
    <row r="34" spans="1:4">
      <c r="A34" s="53" t="s">
        <v>2712</v>
      </c>
      <c r="B34" s="53" t="s">
        <v>2368</v>
      </c>
      <c r="C34" s="53" t="s">
        <v>1964</v>
      </c>
      <c r="D34" s="53" t="s">
        <v>2063</v>
      </c>
    </row>
    <row r="35" spans="1:4">
      <c r="A35" s="53" t="s">
        <v>2712</v>
      </c>
      <c r="B35" s="53" t="s">
        <v>2368</v>
      </c>
      <c r="C35" s="53" t="s">
        <v>1965</v>
      </c>
      <c r="D35" s="53" t="s">
        <v>2064</v>
      </c>
    </row>
    <row r="36" spans="1:4">
      <c r="A36" s="53" t="s">
        <v>2712</v>
      </c>
      <c r="B36" s="53" t="s">
        <v>2368</v>
      </c>
      <c r="C36" s="53" t="s">
        <v>1966</v>
      </c>
      <c r="D36" s="53" t="s">
        <v>2065</v>
      </c>
    </row>
    <row r="37" spans="1:4">
      <c r="A37" s="53" t="s">
        <v>2712</v>
      </c>
      <c r="B37" s="53" t="s">
        <v>2368</v>
      </c>
      <c r="C37" s="53" t="s">
        <v>1967</v>
      </c>
      <c r="D37" s="53" t="s">
        <v>2066</v>
      </c>
    </row>
    <row r="38" spans="1:4">
      <c r="A38" s="53" t="s">
        <v>2712</v>
      </c>
      <c r="B38" s="53" t="s">
        <v>2368</v>
      </c>
      <c r="C38" s="53" t="s">
        <v>1968</v>
      </c>
      <c r="D38" s="53" t="s">
        <v>750</v>
      </c>
    </row>
    <row r="39" spans="1:4">
      <c r="A39" s="53" t="s">
        <v>2712</v>
      </c>
      <c r="B39" s="53" t="s">
        <v>2368</v>
      </c>
      <c r="C39" s="53" t="s">
        <v>1969</v>
      </c>
      <c r="D39" s="53" t="s">
        <v>751</v>
      </c>
    </row>
    <row r="40" spans="1:4">
      <c r="A40" s="53" t="s">
        <v>2712</v>
      </c>
      <c r="B40" s="53" t="s">
        <v>2368</v>
      </c>
      <c r="C40" s="53" t="s">
        <v>1970</v>
      </c>
      <c r="D40" s="53" t="s">
        <v>2666</v>
      </c>
    </row>
    <row r="41" spans="1:4">
      <c r="A41" s="53" t="s">
        <v>2712</v>
      </c>
      <c r="B41" s="53" t="s">
        <v>2368</v>
      </c>
      <c r="C41" s="53" t="s">
        <v>1971</v>
      </c>
      <c r="D41" s="53" t="s">
        <v>2667</v>
      </c>
    </row>
    <row r="42" spans="1:4">
      <c r="A42" s="53" t="s">
        <v>2712</v>
      </c>
      <c r="B42" s="53" t="s">
        <v>2368</v>
      </c>
      <c r="C42" s="53" t="s">
        <v>1972</v>
      </c>
      <c r="D42" s="53" t="s">
        <v>2668</v>
      </c>
    </row>
    <row r="43" spans="1:4">
      <c r="A43" s="53" t="s">
        <v>2077</v>
      </c>
      <c r="B43" s="53" t="s">
        <v>2078</v>
      </c>
      <c r="C43" s="53" t="s">
        <v>3354</v>
      </c>
      <c r="D43" s="53" t="s">
        <v>2079</v>
      </c>
    </row>
    <row r="44" spans="1:4">
      <c r="A44" s="53" t="s">
        <v>2077</v>
      </c>
      <c r="B44" s="53" t="s">
        <v>2078</v>
      </c>
      <c r="C44" s="53" t="s">
        <v>1964</v>
      </c>
      <c r="D44" s="53" t="s">
        <v>2080</v>
      </c>
    </row>
    <row r="45" spans="1:4">
      <c r="A45" s="53" t="s">
        <v>2077</v>
      </c>
      <c r="B45" s="53" t="s">
        <v>2078</v>
      </c>
      <c r="C45" s="53" t="s">
        <v>1965</v>
      </c>
      <c r="D45" s="53" t="s">
        <v>2081</v>
      </c>
    </row>
    <row r="46" spans="1:4">
      <c r="A46" s="53" t="s">
        <v>2077</v>
      </c>
      <c r="B46" s="53" t="s">
        <v>2078</v>
      </c>
      <c r="C46" s="53" t="s">
        <v>1966</v>
      </c>
      <c r="D46" s="53" t="s">
        <v>2082</v>
      </c>
    </row>
    <row r="47" spans="1:4">
      <c r="A47" s="53" t="s">
        <v>2077</v>
      </c>
      <c r="B47" s="53" t="s">
        <v>2078</v>
      </c>
      <c r="C47" s="53" t="s">
        <v>1967</v>
      </c>
      <c r="D47" s="53" t="s">
        <v>3681</v>
      </c>
    </row>
    <row r="48" spans="1:4">
      <c r="A48" s="53" t="s">
        <v>2077</v>
      </c>
      <c r="B48" s="53" t="s">
        <v>2078</v>
      </c>
      <c r="C48" s="53" t="s">
        <v>1968</v>
      </c>
      <c r="D48" s="53" t="s">
        <v>1348</v>
      </c>
    </row>
    <row r="49" spans="1:4">
      <c r="A49" s="53" t="s">
        <v>2077</v>
      </c>
      <c r="B49" s="53" t="s">
        <v>2078</v>
      </c>
      <c r="C49" s="53" t="s">
        <v>1969</v>
      </c>
      <c r="D49" s="53" t="s">
        <v>1349</v>
      </c>
    </row>
    <row r="50" spans="1:4">
      <c r="A50" s="53" t="s">
        <v>2077</v>
      </c>
      <c r="B50" s="53" t="s">
        <v>2078</v>
      </c>
      <c r="C50" s="53" t="s">
        <v>1970</v>
      </c>
      <c r="D50" s="53" t="s">
        <v>1350</v>
      </c>
    </row>
    <row r="51" spans="1:4">
      <c r="A51" s="53" t="s">
        <v>1351</v>
      </c>
      <c r="B51" s="53" t="s">
        <v>1375</v>
      </c>
      <c r="C51" s="53" t="s">
        <v>3354</v>
      </c>
      <c r="D51" s="53" t="s">
        <v>747</v>
      </c>
    </row>
    <row r="52" spans="1:4">
      <c r="A52" s="53" t="s">
        <v>1351</v>
      </c>
      <c r="B52" s="53" t="s">
        <v>1375</v>
      </c>
      <c r="C52" s="53" t="s">
        <v>1964</v>
      </c>
      <c r="D52" s="53" t="s">
        <v>748</v>
      </c>
    </row>
    <row r="53" spans="1:4">
      <c r="A53" s="53" t="s">
        <v>1351</v>
      </c>
      <c r="B53" s="53" t="s">
        <v>1375</v>
      </c>
      <c r="C53" s="53" t="s">
        <v>1965</v>
      </c>
      <c r="D53" s="53" t="s">
        <v>3522</v>
      </c>
    </row>
    <row r="54" spans="1:4">
      <c r="A54" s="53" t="s">
        <v>1351</v>
      </c>
      <c r="B54" s="53" t="s">
        <v>1375</v>
      </c>
      <c r="C54" s="53" t="s">
        <v>1966</v>
      </c>
      <c r="D54" s="53" t="s">
        <v>3523</v>
      </c>
    </row>
    <row r="55" spans="1:4">
      <c r="A55" s="53" t="s">
        <v>1351</v>
      </c>
      <c r="B55" s="53" t="s">
        <v>1375</v>
      </c>
      <c r="C55" s="53" t="s">
        <v>1967</v>
      </c>
      <c r="D55" s="53" t="s">
        <v>3524</v>
      </c>
    </row>
    <row r="56" spans="1:4">
      <c r="A56" s="53" t="s">
        <v>1351</v>
      </c>
      <c r="B56" s="53" t="s">
        <v>1375</v>
      </c>
      <c r="C56" s="53" t="s">
        <v>1968</v>
      </c>
      <c r="D56" s="53" t="s">
        <v>3525</v>
      </c>
    </row>
    <row r="57" spans="1:4">
      <c r="A57" s="53" t="s">
        <v>1351</v>
      </c>
      <c r="B57" s="53" t="s">
        <v>1375</v>
      </c>
      <c r="C57" s="53" t="s">
        <v>1969</v>
      </c>
      <c r="D57" s="53" t="s">
        <v>3526</v>
      </c>
    </row>
    <row r="58" spans="1:4">
      <c r="A58" s="53" t="s">
        <v>1351</v>
      </c>
      <c r="B58" s="53" t="s">
        <v>1375</v>
      </c>
      <c r="C58" s="53" t="s">
        <v>1970</v>
      </c>
      <c r="D58" s="53" t="s">
        <v>3527</v>
      </c>
    </row>
    <row r="59" spans="1:4">
      <c r="A59" s="53" t="s">
        <v>1351</v>
      </c>
      <c r="B59" s="53" t="s">
        <v>1375</v>
      </c>
      <c r="C59" s="53" t="s">
        <v>1971</v>
      </c>
      <c r="D59" s="53" t="s">
        <v>3528</v>
      </c>
    </row>
    <row r="60" spans="1:4">
      <c r="A60" s="53" t="s">
        <v>1351</v>
      </c>
      <c r="B60" s="53" t="s">
        <v>1375</v>
      </c>
      <c r="C60" s="53" t="s">
        <v>1972</v>
      </c>
      <c r="D60" s="53" t="s">
        <v>3529</v>
      </c>
    </row>
    <row r="61" spans="1:4">
      <c r="A61" s="53" t="s">
        <v>1351</v>
      </c>
      <c r="B61" s="53" t="s">
        <v>1375</v>
      </c>
      <c r="C61" s="53" t="s">
        <v>1973</v>
      </c>
      <c r="D61" s="53" t="s">
        <v>3273</v>
      </c>
    </row>
    <row r="62" spans="1:4">
      <c r="A62" s="53" t="s">
        <v>1351</v>
      </c>
      <c r="B62" s="53" t="s">
        <v>1375</v>
      </c>
      <c r="C62" s="53" t="s">
        <v>1974</v>
      </c>
      <c r="D62" s="53" t="s">
        <v>3274</v>
      </c>
    </row>
    <row r="63" spans="1:4">
      <c r="A63" s="53" t="s">
        <v>1351</v>
      </c>
      <c r="B63" s="53" t="s">
        <v>1375</v>
      </c>
      <c r="C63" s="53" t="s">
        <v>1975</v>
      </c>
      <c r="D63" s="53" t="s">
        <v>3275</v>
      </c>
    </row>
    <row r="64" spans="1:4">
      <c r="A64" s="53" t="s">
        <v>1351</v>
      </c>
      <c r="B64" s="53" t="s">
        <v>1375</v>
      </c>
      <c r="C64" s="53" t="s">
        <v>1976</v>
      </c>
      <c r="D64" s="53" t="s">
        <v>1504</v>
      </c>
    </row>
    <row r="65" spans="1:4">
      <c r="A65" s="53" t="s">
        <v>1351</v>
      </c>
      <c r="B65" s="53" t="s">
        <v>1375</v>
      </c>
      <c r="C65" s="53" t="s">
        <v>1977</v>
      </c>
      <c r="D65" s="53" t="s">
        <v>3183</v>
      </c>
    </row>
    <row r="66" spans="1:4">
      <c r="A66" s="53" t="s">
        <v>1351</v>
      </c>
      <c r="B66" s="53" t="s">
        <v>1375</v>
      </c>
      <c r="C66" s="53" t="s">
        <v>1978</v>
      </c>
      <c r="D66" s="53" t="s">
        <v>4077</v>
      </c>
    </row>
    <row r="67" spans="1:4">
      <c r="A67" s="53" t="s">
        <v>1351</v>
      </c>
      <c r="B67" s="53" t="s">
        <v>1375</v>
      </c>
      <c r="C67" s="53" t="s">
        <v>1979</v>
      </c>
      <c r="D67" s="53" t="s">
        <v>4078</v>
      </c>
    </row>
    <row r="68" spans="1:4">
      <c r="A68" s="53" t="s">
        <v>1351</v>
      </c>
      <c r="B68" s="53" t="s">
        <v>1375</v>
      </c>
      <c r="C68" s="53" t="s">
        <v>1980</v>
      </c>
      <c r="D68" s="53" t="s">
        <v>4079</v>
      </c>
    </row>
    <row r="69" spans="1:4">
      <c r="A69" s="53" t="s">
        <v>1351</v>
      </c>
      <c r="B69" s="53" t="s">
        <v>1375</v>
      </c>
      <c r="C69" s="53" t="s">
        <v>1981</v>
      </c>
      <c r="D69" s="53" t="s">
        <v>3285</v>
      </c>
    </row>
    <row r="70" spans="1:4">
      <c r="A70" s="53" t="s">
        <v>1351</v>
      </c>
      <c r="B70" s="53" t="s">
        <v>1375</v>
      </c>
      <c r="C70" s="53" t="s">
        <v>1982</v>
      </c>
      <c r="D70" s="53" t="s">
        <v>3286</v>
      </c>
    </row>
    <row r="71" spans="1:4">
      <c r="A71" s="53" t="s">
        <v>1351</v>
      </c>
      <c r="B71" s="53" t="s">
        <v>1375</v>
      </c>
      <c r="C71" s="53" t="s">
        <v>4150</v>
      </c>
      <c r="D71" s="53" t="s">
        <v>3133</v>
      </c>
    </row>
    <row r="72" spans="1:4">
      <c r="A72" s="53" t="s">
        <v>1351</v>
      </c>
      <c r="B72" s="53" t="s">
        <v>1375</v>
      </c>
      <c r="C72" s="53" t="s">
        <v>4151</v>
      </c>
      <c r="D72" s="53" t="s">
        <v>1648</v>
      </c>
    </row>
    <row r="73" spans="1:4">
      <c r="A73" s="53" t="s">
        <v>1351</v>
      </c>
      <c r="B73" s="53" t="s">
        <v>1375</v>
      </c>
      <c r="C73" s="53" t="s">
        <v>4152</v>
      </c>
      <c r="D73" s="53" t="s">
        <v>1649</v>
      </c>
    </row>
    <row r="74" spans="1:4">
      <c r="A74" s="53" t="s">
        <v>1351</v>
      </c>
      <c r="B74" s="53" t="s">
        <v>1375</v>
      </c>
      <c r="C74" s="53" t="s">
        <v>4153</v>
      </c>
      <c r="D74" s="53" t="s">
        <v>1650</v>
      </c>
    </row>
    <row r="75" spans="1:4">
      <c r="A75" s="53" t="s">
        <v>1651</v>
      </c>
      <c r="B75" s="53" t="s">
        <v>1652</v>
      </c>
      <c r="C75" s="53" t="s">
        <v>3354</v>
      </c>
      <c r="D75" s="53" t="s">
        <v>1653</v>
      </c>
    </row>
    <row r="76" spans="1:4">
      <c r="A76" s="53" t="s">
        <v>1651</v>
      </c>
      <c r="B76" s="53" t="s">
        <v>1652</v>
      </c>
      <c r="C76" s="53" t="s">
        <v>1964</v>
      </c>
      <c r="D76" s="53" t="s">
        <v>1654</v>
      </c>
    </row>
    <row r="77" spans="1:4">
      <c r="A77" s="53" t="s">
        <v>1651</v>
      </c>
      <c r="B77" s="53" t="s">
        <v>1652</v>
      </c>
      <c r="C77" s="53" t="s">
        <v>1965</v>
      </c>
      <c r="D77" s="53" t="s">
        <v>3235</v>
      </c>
    </row>
    <row r="78" spans="1:4">
      <c r="A78" s="53" t="s">
        <v>1651</v>
      </c>
      <c r="B78" s="53" t="s">
        <v>1652</v>
      </c>
      <c r="C78" s="53" t="s">
        <v>1966</v>
      </c>
      <c r="D78" s="53" t="s">
        <v>3236</v>
      </c>
    </row>
    <row r="79" spans="1:4">
      <c r="A79" s="53" t="s">
        <v>1651</v>
      </c>
      <c r="B79" s="53" t="s">
        <v>1652</v>
      </c>
      <c r="C79" s="53" t="s">
        <v>1967</v>
      </c>
      <c r="D79" s="53" t="s">
        <v>934</v>
      </c>
    </row>
    <row r="80" spans="1:4">
      <c r="A80" s="53" t="s">
        <v>1651</v>
      </c>
      <c r="B80" s="53" t="s">
        <v>1652</v>
      </c>
      <c r="C80" s="53" t="s">
        <v>1968</v>
      </c>
      <c r="D80" s="53" t="s">
        <v>935</v>
      </c>
    </row>
    <row r="81" spans="1:4">
      <c r="A81" s="53" t="s">
        <v>936</v>
      </c>
      <c r="B81" s="53" t="s">
        <v>937</v>
      </c>
      <c r="C81" s="53" t="s">
        <v>3354</v>
      </c>
      <c r="D81" s="53" t="s">
        <v>4100</v>
      </c>
    </row>
    <row r="82" spans="1:4">
      <c r="A82" s="53" t="s">
        <v>936</v>
      </c>
      <c r="B82" s="53" t="s">
        <v>937</v>
      </c>
      <c r="C82" s="53" t="s">
        <v>1964</v>
      </c>
      <c r="D82" s="53" t="s">
        <v>4101</v>
      </c>
    </row>
    <row r="83" spans="1:4">
      <c r="A83" s="53" t="s">
        <v>936</v>
      </c>
      <c r="B83" s="53" t="s">
        <v>937</v>
      </c>
      <c r="C83" s="53" t="s">
        <v>1965</v>
      </c>
      <c r="D83" s="53" t="s">
        <v>2375</v>
      </c>
    </row>
    <row r="84" spans="1:4">
      <c r="A84" s="53" t="s">
        <v>936</v>
      </c>
      <c r="B84" s="53" t="s">
        <v>937</v>
      </c>
      <c r="C84" s="53" t="s">
        <v>1966</v>
      </c>
      <c r="D84" s="53" t="s">
        <v>2376</v>
      </c>
    </row>
    <row r="85" spans="1:4">
      <c r="A85" s="53" t="s">
        <v>936</v>
      </c>
      <c r="B85" s="53" t="s">
        <v>937</v>
      </c>
      <c r="C85" s="53" t="s">
        <v>1967</v>
      </c>
      <c r="D85" s="53" t="s">
        <v>1903</v>
      </c>
    </row>
    <row r="86" spans="1:4">
      <c r="A86" s="53" t="s">
        <v>936</v>
      </c>
      <c r="B86" s="53" t="s">
        <v>937</v>
      </c>
      <c r="C86" s="53" t="s">
        <v>1968</v>
      </c>
      <c r="D86" s="53" t="s">
        <v>1904</v>
      </c>
    </row>
    <row r="87" spans="1:4">
      <c r="A87" s="53" t="s">
        <v>936</v>
      </c>
      <c r="B87" s="53" t="s">
        <v>937</v>
      </c>
      <c r="C87" s="53" t="s">
        <v>1969</v>
      </c>
      <c r="D87" s="53" t="s">
        <v>643</v>
      </c>
    </row>
    <row r="88" spans="1:4">
      <c r="A88" s="53" t="s">
        <v>936</v>
      </c>
      <c r="B88" s="53" t="s">
        <v>937</v>
      </c>
      <c r="C88" s="53" t="s">
        <v>1970</v>
      </c>
      <c r="D88" s="53" t="s">
        <v>644</v>
      </c>
    </row>
    <row r="89" spans="1:4">
      <c r="A89" s="53" t="s">
        <v>936</v>
      </c>
      <c r="B89" s="53" t="s">
        <v>937</v>
      </c>
      <c r="C89" s="53" t="s">
        <v>1971</v>
      </c>
      <c r="D89" s="53" t="s">
        <v>645</v>
      </c>
    </row>
    <row r="90" spans="1:4">
      <c r="A90" s="53" t="s">
        <v>936</v>
      </c>
      <c r="B90" s="53" t="s">
        <v>937</v>
      </c>
      <c r="C90" s="53" t="s">
        <v>1972</v>
      </c>
      <c r="D90" s="53" t="s">
        <v>646</v>
      </c>
    </row>
    <row r="91" spans="1:4">
      <c r="A91" s="53" t="s">
        <v>936</v>
      </c>
      <c r="B91" s="53" t="s">
        <v>937</v>
      </c>
      <c r="C91" s="53" t="s">
        <v>1973</v>
      </c>
      <c r="D91" s="53" t="s">
        <v>647</v>
      </c>
    </row>
    <row r="92" spans="1:4">
      <c r="A92" s="53" t="s">
        <v>648</v>
      </c>
      <c r="B92" s="53" t="s">
        <v>649</v>
      </c>
      <c r="C92" s="53" t="s">
        <v>3354</v>
      </c>
      <c r="D92" s="53" t="s">
        <v>650</v>
      </c>
    </row>
    <row r="93" spans="1:4">
      <c r="A93" s="53" t="s">
        <v>648</v>
      </c>
      <c r="B93" s="53" t="s">
        <v>649</v>
      </c>
      <c r="C93" s="53" t="s">
        <v>1964</v>
      </c>
      <c r="D93" s="53" t="s">
        <v>2412</v>
      </c>
    </row>
    <row r="94" spans="1:4">
      <c r="A94" s="53" t="s">
        <v>648</v>
      </c>
      <c r="B94" s="53" t="s">
        <v>649</v>
      </c>
      <c r="C94" s="53" t="s">
        <v>1965</v>
      </c>
      <c r="D94" s="53" t="s">
        <v>2413</v>
      </c>
    </row>
    <row r="95" spans="1:4">
      <c r="A95" s="53" t="s">
        <v>648</v>
      </c>
      <c r="B95" s="53" t="s">
        <v>649</v>
      </c>
      <c r="C95" s="53" t="s">
        <v>1966</v>
      </c>
      <c r="D95" s="53" t="s">
        <v>2414</v>
      </c>
    </row>
    <row r="96" spans="1:4">
      <c r="A96" s="53" t="s">
        <v>648</v>
      </c>
      <c r="B96" s="53" t="s">
        <v>649</v>
      </c>
      <c r="C96" s="53" t="s">
        <v>1967</v>
      </c>
      <c r="D96" s="53" t="s">
        <v>2415</v>
      </c>
    </row>
    <row r="97" spans="1:4">
      <c r="A97" s="53" t="s">
        <v>648</v>
      </c>
      <c r="B97" s="53" t="s">
        <v>649</v>
      </c>
      <c r="C97" s="53" t="s">
        <v>1968</v>
      </c>
      <c r="D97" s="53" t="s">
        <v>2416</v>
      </c>
    </row>
    <row r="98" spans="1:4">
      <c r="A98" s="53" t="s">
        <v>648</v>
      </c>
      <c r="B98" s="53" t="s">
        <v>649</v>
      </c>
      <c r="C98" s="53" t="s">
        <v>1969</v>
      </c>
      <c r="D98" s="53" t="s">
        <v>2417</v>
      </c>
    </row>
    <row r="99" spans="1:4">
      <c r="A99" s="53" t="s">
        <v>648</v>
      </c>
      <c r="B99" s="53" t="s">
        <v>649</v>
      </c>
      <c r="C99" s="53" t="s">
        <v>1970</v>
      </c>
      <c r="D99" s="53" t="s">
        <v>2128</v>
      </c>
    </row>
    <row r="100" spans="1:4">
      <c r="A100" s="53" t="s">
        <v>648</v>
      </c>
      <c r="B100" s="53" t="s">
        <v>649</v>
      </c>
      <c r="C100" s="53" t="s">
        <v>1971</v>
      </c>
      <c r="D100" s="53" t="s">
        <v>3095</v>
      </c>
    </row>
    <row r="101" spans="1:4">
      <c r="A101" s="53" t="s">
        <v>648</v>
      </c>
      <c r="B101" s="53" t="s">
        <v>649</v>
      </c>
      <c r="C101" s="53" t="s">
        <v>1972</v>
      </c>
      <c r="D101" s="53" t="s">
        <v>460</v>
      </c>
    </row>
    <row r="102" spans="1:4">
      <c r="A102" s="53" t="s">
        <v>648</v>
      </c>
      <c r="B102" s="53" t="s">
        <v>649</v>
      </c>
      <c r="C102" s="53" t="s">
        <v>1973</v>
      </c>
      <c r="D102" s="53" t="s">
        <v>3495</v>
      </c>
    </row>
    <row r="103" spans="1:4">
      <c r="A103" s="53" t="s">
        <v>648</v>
      </c>
      <c r="B103" s="53" t="s">
        <v>649</v>
      </c>
      <c r="C103" s="53" t="s">
        <v>1974</v>
      </c>
      <c r="D103" s="53" t="s">
        <v>1129</v>
      </c>
    </row>
    <row r="104" spans="1:4">
      <c r="A104" s="53" t="s">
        <v>648</v>
      </c>
      <c r="B104" s="53" t="s">
        <v>649</v>
      </c>
      <c r="C104" s="53" t="s">
        <v>1975</v>
      </c>
      <c r="D104" s="53" t="s">
        <v>636</v>
      </c>
    </row>
    <row r="105" spans="1:4">
      <c r="A105" s="53" t="s">
        <v>648</v>
      </c>
      <c r="B105" s="53" t="s">
        <v>649</v>
      </c>
      <c r="C105" s="53" t="s">
        <v>1976</v>
      </c>
      <c r="D105" s="53" t="s">
        <v>637</v>
      </c>
    </row>
    <row r="106" spans="1:4">
      <c r="A106" s="53" t="s">
        <v>648</v>
      </c>
      <c r="B106" s="53" t="s">
        <v>649</v>
      </c>
      <c r="C106" s="53" t="s">
        <v>1977</v>
      </c>
      <c r="D106" s="53" t="s">
        <v>638</v>
      </c>
    </row>
    <row r="107" spans="1:4">
      <c r="A107" s="53" t="s">
        <v>648</v>
      </c>
      <c r="B107" s="53" t="s">
        <v>649</v>
      </c>
      <c r="C107" s="53" t="s">
        <v>1978</v>
      </c>
      <c r="D107" s="53" t="s">
        <v>3130</v>
      </c>
    </row>
    <row r="108" spans="1:4">
      <c r="A108" s="53" t="s">
        <v>648</v>
      </c>
      <c r="B108" s="53" t="s">
        <v>649</v>
      </c>
      <c r="C108" s="53" t="s">
        <v>1979</v>
      </c>
      <c r="D108" s="53" t="s">
        <v>3794</v>
      </c>
    </row>
    <row r="109" spans="1:4">
      <c r="A109" s="53" t="s">
        <v>648</v>
      </c>
      <c r="B109" s="53" t="s">
        <v>649</v>
      </c>
      <c r="C109" s="53" t="s">
        <v>1980</v>
      </c>
      <c r="D109" s="53" t="s">
        <v>3795</v>
      </c>
    </row>
    <row r="110" spans="1:4">
      <c r="A110" s="53" t="s">
        <v>648</v>
      </c>
      <c r="B110" s="53" t="s">
        <v>649</v>
      </c>
      <c r="C110" s="53" t="s">
        <v>1981</v>
      </c>
      <c r="D110" s="53" t="s">
        <v>3796</v>
      </c>
    </row>
    <row r="111" spans="1:4">
      <c r="A111" s="53" t="s">
        <v>648</v>
      </c>
      <c r="B111" s="53" t="s">
        <v>649</v>
      </c>
      <c r="C111" s="53" t="s">
        <v>1982</v>
      </c>
      <c r="D111" s="53" t="s">
        <v>3797</v>
      </c>
    </row>
    <row r="112" spans="1:4">
      <c r="A112" s="53" t="s">
        <v>648</v>
      </c>
      <c r="B112" s="53" t="s">
        <v>649</v>
      </c>
      <c r="C112" s="53" t="s">
        <v>4150</v>
      </c>
      <c r="D112" s="53" t="s">
        <v>3798</v>
      </c>
    </row>
    <row r="113" spans="1:4">
      <c r="A113" s="53" t="s">
        <v>648</v>
      </c>
      <c r="B113" s="53" t="s">
        <v>649</v>
      </c>
      <c r="C113" s="53" t="s">
        <v>4151</v>
      </c>
      <c r="D113" s="53" t="s">
        <v>3799</v>
      </c>
    </row>
    <row r="114" spans="1:4">
      <c r="A114" s="53" t="s">
        <v>648</v>
      </c>
      <c r="B114" s="53" t="s">
        <v>649</v>
      </c>
      <c r="C114" s="53" t="s">
        <v>4152</v>
      </c>
      <c r="D114" s="53" t="s">
        <v>3800</v>
      </c>
    </row>
    <row r="115" spans="1:4">
      <c r="A115" s="53" t="s">
        <v>648</v>
      </c>
      <c r="B115" s="53" t="s">
        <v>649</v>
      </c>
      <c r="C115" s="53" t="s">
        <v>4153</v>
      </c>
      <c r="D115" s="53" t="s">
        <v>3801</v>
      </c>
    </row>
    <row r="116" spans="1:4">
      <c r="A116" s="53" t="s">
        <v>3802</v>
      </c>
      <c r="B116" s="53" t="s">
        <v>2750</v>
      </c>
      <c r="C116" s="53" t="s">
        <v>3354</v>
      </c>
      <c r="D116" s="53" t="s">
        <v>1130</v>
      </c>
    </row>
    <row r="117" spans="1:4">
      <c r="A117" s="53" t="s">
        <v>3802</v>
      </c>
      <c r="B117" s="53" t="s">
        <v>2750</v>
      </c>
      <c r="C117" s="53" t="s">
        <v>1964</v>
      </c>
      <c r="D117" s="53" t="s">
        <v>1131</v>
      </c>
    </row>
    <row r="118" spans="1:4">
      <c r="A118" s="53" t="s">
        <v>3802</v>
      </c>
      <c r="B118" s="53" t="s">
        <v>2750</v>
      </c>
      <c r="C118" s="53" t="s">
        <v>1965</v>
      </c>
      <c r="D118" s="53" t="s">
        <v>2916</v>
      </c>
    </row>
    <row r="119" spans="1:4">
      <c r="A119" s="53" t="s">
        <v>3802</v>
      </c>
      <c r="B119" s="53" t="s">
        <v>2750</v>
      </c>
      <c r="C119" s="53" t="s">
        <v>1966</v>
      </c>
      <c r="D119" s="53" t="s">
        <v>2917</v>
      </c>
    </row>
    <row r="120" spans="1:4">
      <c r="A120" s="53" t="s">
        <v>3802</v>
      </c>
      <c r="B120" s="53" t="s">
        <v>2750</v>
      </c>
      <c r="C120" s="53" t="s">
        <v>1967</v>
      </c>
      <c r="D120" s="53" t="s">
        <v>2918</v>
      </c>
    </row>
    <row r="121" spans="1:4">
      <c r="A121" s="53" t="s">
        <v>3802</v>
      </c>
      <c r="B121" s="53" t="s">
        <v>2750</v>
      </c>
      <c r="C121" s="53" t="s">
        <v>1968</v>
      </c>
      <c r="D121" s="53" t="s">
        <v>2919</v>
      </c>
    </row>
    <row r="122" spans="1:4">
      <c r="A122" s="53" t="s">
        <v>3802</v>
      </c>
      <c r="B122" s="53" t="s">
        <v>2750</v>
      </c>
      <c r="C122" s="53" t="s">
        <v>1969</v>
      </c>
      <c r="D122" s="53" t="s">
        <v>2920</v>
      </c>
    </row>
    <row r="123" spans="1:4">
      <c r="A123" s="53" t="s">
        <v>3802</v>
      </c>
      <c r="B123" s="53" t="s">
        <v>2750</v>
      </c>
      <c r="C123" s="53" t="s">
        <v>1970</v>
      </c>
      <c r="D123" s="53" t="s">
        <v>2921</v>
      </c>
    </row>
    <row r="124" spans="1:4">
      <c r="A124" s="53" t="s">
        <v>3802</v>
      </c>
      <c r="B124" s="53" t="s">
        <v>2750</v>
      </c>
      <c r="C124" s="53" t="s">
        <v>1971</v>
      </c>
      <c r="D124" s="53" t="s">
        <v>1319</v>
      </c>
    </row>
    <row r="125" spans="1:4">
      <c r="A125" s="53" t="s">
        <v>3802</v>
      </c>
      <c r="B125" s="53" t="s">
        <v>2750</v>
      </c>
      <c r="C125" s="53" t="s">
        <v>1972</v>
      </c>
      <c r="D125" s="53" t="s">
        <v>1320</v>
      </c>
    </row>
    <row r="126" spans="1:4">
      <c r="A126" s="53" t="s">
        <v>1321</v>
      </c>
      <c r="B126" s="53" t="s">
        <v>1322</v>
      </c>
      <c r="C126" s="53" t="s">
        <v>3354</v>
      </c>
      <c r="D126" s="53" t="s">
        <v>1323</v>
      </c>
    </row>
    <row r="127" spans="1:4">
      <c r="A127" s="53" t="s">
        <v>1321</v>
      </c>
      <c r="B127" s="53" t="s">
        <v>1322</v>
      </c>
      <c r="C127" s="53" t="s">
        <v>1964</v>
      </c>
      <c r="D127" s="53" t="s">
        <v>1324</v>
      </c>
    </row>
    <row r="128" spans="1:4">
      <c r="A128" s="53" t="s">
        <v>1321</v>
      </c>
      <c r="B128" s="53" t="s">
        <v>1322</v>
      </c>
      <c r="C128" s="53" t="s">
        <v>1965</v>
      </c>
      <c r="D128" s="53" t="s">
        <v>1325</v>
      </c>
    </row>
    <row r="129" spans="1:4">
      <c r="A129" s="53" t="s">
        <v>1321</v>
      </c>
      <c r="B129" s="53" t="s">
        <v>1322</v>
      </c>
      <c r="C129" s="53" t="s">
        <v>1966</v>
      </c>
      <c r="D129" s="53" t="s">
        <v>1326</v>
      </c>
    </row>
    <row r="130" spans="1:4">
      <c r="A130" s="53" t="s">
        <v>1321</v>
      </c>
      <c r="B130" s="53" t="s">
        <v>1322</v>
      </c>
      <c r="C130" s="53" t="s">
        <v>1967</v>
      </c>
      <c r="D130" s="53" t="s">
        <v>1327</v>
      </c>
    </row>
    <row r="131" spans="1:4">
      <c r="A131" s="53" t="s">
        <v>1321</v>
      </c>
      <c r="B131" s="53" t="s">
        <v>1322</v>
      </c>
      <c r="C131" s="53" t="s">
        <v>1968</v>
      </c>
      <c r="D131" s="53" t="s">
        <v>1328</v>
      </c>
    </row>
    <row r="132" spans="1:4">
      <c r="A132" s="53" t="s">
        <v>1321</v>
      </c>
      <c r="B132" s="53" t="s">
        <v>1322</v>
      </c>
      <c r="C132" s="53" t="s">
        <v>1969</v>
      </c>
      <c r="D132" s="53" t="s">
        <v>3704</v>
      </c>
    </row>
    <row r="133" spans="1:4">
      <c r="A133" s="53" t="s">
        <v>1321</v>
      </c>
      <c r="B133" s="53" t="s">
        <v>1322</v>
      </c>
      <c r="C133" s="53" t="s">
        <v>1970</v>
      </c>
      <c r="D133" s="53" t="s">
        <v>3705</v>
      </c>
    </row>
    <row r="134" spans="1:4">
      <c r="A134" s="53" t="s">
        <v>1321</v>
      </c>
      <c r="B134" s="53" t="s">
        <v>1322</v>
      </c>
      <c r="C134" s="53" t="s">
        <v>1971</v>
      </c>
      <c r="D134" s="53" t="s">
        <v>3706</v>
      </c>
    </row>
    <row r="135" spans="1:4">
      <c r="A135" s="53" t="s">
        <v>1321</v>
      </c>
      <c r="B135" s="53" t="s">
        <v>1322</v>
      </c>
      <c r="C135" s="53" t="s">
        <v>1972</v>
      </c>
      <c r="D135" s="53" t="s">
        <v>3707</v>
      </c>
    </row>
    <row r="136" spans="1:4">
      <c r="A136" s="53" t="s">
        <v>1321</v>
      </c>
      <c r="B136" s="53" t="s">
        <v>1322</v>
      </c>
      <c r="C136" s="53" t="s">
        <v>1973</v>
      </c>
      <c r="D136" s="53" t="s">
        <v>2124</v>
      </c>
    </row>
    <row r="137" spans="1:4">
      <c r="A137" s="53" t="s">
        <v>1321</v>
      </c>
      <c r="B137" s="53" t="s">
        <v>1322</v>
      </c>
      <c r="C137" s="53" t="s">
        <v>1974</v>
      </c>
      <c r="D137" s="53" t="s">
        <v>3131</v>
      </c>
    </row>
    <row r="138" spans="1:4">
      <c r="A138" s="53" t="s">
        <v>1321</v>
      </c>
      <c r="B138" s="53" t="s">
        <v>1322</v>
      </c>
      <c r="C138" s="53" t="s">
        <v>1975</v>
      </c>
      <c r="D138" s="53" t="s">
        <v>3132</v>
      </c>
    </row>
    <row r="139" spans="1:4">
      <c r="A139" s="53" t="s">
        <v>1321</v>
      </c>
      <c r="B139" s="53" t="s">
        <v>1322</v>
      </c>
      <c r="C139" s="53" t="s">
        <v>1976</v>
      </c>
      <c r="D139" s="53" t="s">
        <v>3272</v>
      </c>
    </row>
    <row r="140" spans="1:4">
      <c r="A140" s="53" t="s">
        <v>1321</v>
      </c>
      <c r="B140" s="53" t="s">
        <v>1322</v>
      </c>
      <c r="C140" s="53" t="s">
        <v>1977</v>
      </c>
      <c r="D140" s="53" t="s">
        <v>3012</v>
      </c>
    </row>
    <row r="141" spans="1:4">
      <c r="A141" s="53" t="s">
        <v>1321</v>
      </c>
      <c r="B141" s="53" t="s">
        <v>1322</v>
      </c>
      <c r="C141" s="53" t="s">
        <v>1978</v>
      </c>
      <c r="D141" s="53" t="s">
        <v>3013</v>
      </c>
    </row>
    <row r="142" spans="1:4">
      <c r="A142" s="53" t="s">
        <v>1321</v>
      </c>
      <c r="B142" s="53" t="s">
        <v>1322</v>
      </c>
      <c r="C142" s="53" t="s">
        <v>1979</v>
      </c>
      <c r="D142" s="53" t="s">
        <v>3014</v>
      </c>
    </row>
    <row r="143" spans="1:4">
      <c r="A143" s="53" t="s">
        <v>1321</v>
      </c>
      <c r="B143" s="53" t="s">
        <v>1322</v>
      </c>
      <c r="C143" s="53" t="s">
        <v>1980</v>
      </c>
      <c r="D143" s="53" t="s">
        <v>3015</v>
      </c>
    </row>
    <row r="144" spans="1:4">
      <c r="A144" s="53" t="s">
        <v>3016</v>
      </c>
      <c r="B144" s="53" t="s">
        <v>3017</v>
      </c>
      <c r="C144" s="53" t="s">
        <v>3354</v>
      </c>
      <c r="D144" s="53" t="s">
        <v>1117</v>
      </c>
    </row>
    <row r="145" spans="1:4">
      <c r="A145" s="53" t="s">
        <v>3016</v>
      </c>
      <c r="B145" s="53" t="s">
        <v>3017</v>
      </c>
      <c r="C145" s="53" t="s">
        <v>1964</v>
      </c>
      <c r="D145" s="53" t="s">
        <v>1641</v>
      </c>
    </row>
    <row r="146" spans="1:4">
      <c r="A146" s="53" t="s">
        <v>3016</v>
      </c>
      <c r="B146" s="53" t="s">
        <v>3017</v>
      </c>
      <c r="C146" s="53" t="s">
        <v>1965</v>
      </c>
      <c r="D146" s="53" t="s">
        <v>1642</v>
      </c>
    </row>
    <row r="147" spans="1:4">
      <c r="A147" s="53" t="s">
        <v>3016</v>
      </c>
      <c r="B147" s="53" t="s">
        <v>3017</v>
      </c>
      <c r="C147" s="53" t="s">
        <v>1966</v>
      </c>
      <c r="D147" s="53" t="s">
        <v>1643</v>
      </c>
    </row>
    <row r="148" spans="1:4">
      <c r="A148" s="53" t="s">
        <v>3016</v>
      </c>
      <c r="B148" s="53" t="s">
        <v>3017</v>
      </c>
      <c r="C148" s="53" t="s">
        <v>1967</v>
      </c>
      <c r="D148" s="53" t="s">
        <v>1629</v>
      </c>
    </row>
    <row r="149" spans="1:4">
      <c r="A149" s="53" t="s">
        <v>3016</v>
      </c>
      <c r="B149" s="53" t="s">
        <v>3017</v>
      </c>
      <c r="C149" s="53" t="s">
        <v>1968</v>
      </c>
      <c r="D149" s="53" t="s">
        <v>1630</v>
      </c>
    </row>
    <row r="150" spans="1:4">
      <c r="A150" s="53" t="s">
        <v>3016</v>
      </c>
      <c r="B150" s="53" t="s">
        <v>3017</v>
      </c>
      <c r="C150" s="53" t="s">
        <v>1969</v>
      </c>
      <c r="D150" s="53" t="s">
        <v>1631</v>
      </c>
    </row>
    <row r="151" spans="1:4">
      <c r="A151" s="53" t="s">
        <v>3016</v>
      </c>
      <c r="B151" s="53" t="s">
        <v>3017</v>
      </c>
      <c r="C151" s="53" t="s">
        <v>1970</v>
      </c>
      <c r="D151" s="53" t="s">
        <v>427</v>
      </c>
    </row>
    <row r="152" spans="1:4">
      <c r="A152" s="53" t="s">
        <v>3016</v>
      </c>
      <c r="B152" s="53" t="s">
        <v>3017</v>
      </c>
      <c r="C152" s="53" t="s">
        <v>1971</v>
      </c>
      <c r="D152" s="53" t="s">
        <v>428</v>
      </c>
    </row>
    <row r="153" spans="1:4">
      <c r="A153" s="53" t="s">
        <v>3016</v>
      </c>
      <c r="B153" s="53" t="s">
        <v>3017</v>
      </c>
      <c r="C153" s="53" t="s">
        <v>1972</v>
      </c>
      <c r="D153" s="53" t="s">
        <v>429</v>
      </c>
    </row>
    <row r="154" spans="1:4">
      <c r="A154" s="53" t="s">
        <v>3016</v>
      </c>
      <c r="B154" s="53" t="s">
        <v>3017</v>
      </c>
      <c r="C154" s="53" t="s">
        <v>1973</v>
      </c>
      <c r="D154" s="53" t="s">
        <v>430</v>
      </c>
    </row>
    <row r="155" spans="1:4">
      <c r="A155" s="53" t="s">
        <v>431</v>
      </c>
      <c r="B155" s="53" t="s">
        <v>432</v>
      </c>
      <c r="C155" s="53" t="s">
        <v>3354</v>
      </c>
      <c r="D155" s="53" t="s">
        <v>433</v>
      </c>
    </row>
    <row r="156" spans="1:4">
      <c r="A156" s="53" t="s">
        <v>431</v>
      </c>
      <c r="B156" s="53" t="s">
        <v>432</v>
      </c>
      <c r="C156" s="53" t="s">
        <v>1964</v>
      </c>
      <c r="D156" s="53" t="s">
        <v>434</v>
      </c>
    </row>
    <row r="157" spans="1:4">
      <c r="A157" s="53" t="s">
        <v>431</v>
      </c>
      <c r="B157" s="53" t="s">
        <v>432</v>
      </c>
      <c r="C157" s="53" t="s">
        <v>1965</v>
      </c>
      <c r="D157" s="53" t="s">
        <v>1530</v>
      </c>
    </row>
    <row r="158" spans="1:4">
      <c r="A158" s="53" t="s">
        <v>431</v>
      </c>
      <c r="B158" s="53" t="s">
        <v>432</v>
      </c>
      <c r="C158" s="53" t="s">
        <v>1966</v>
      </c>
      <c r="D158" s="53" t="s">
        <v>1949</v>
      </c>
    </row>
    <row r="159" spans="1:4">
      <c r="A159" s="53" t="s">
        <v>431</v>
      </c>
      <c r="B159" s="53" t="s">
        <v>432</v>
      </c>
      <c r="C159" s="53" t="s">
        <v>1967</v>
      </c>
      <c r="D159" s="53" t="s">
        <v>1950</v>
      </c>
    </row>
    <row r="160" spans="1:4">
      <c r="A160" s="53" t="s">
        <v>431</v>
      </c>
      <c r="B160" s="53" t="s">
        <v>432</v>
      </c>
      <c r="C160" s="53" t="s">
        <v>1968</v>
      </c>
      <c r="D160" s="53" t="s">
        <v>1951</v>
      </c>
    </row>
    <row r="161" spans="1:4">
      <c r="A161" s="53" t="s">
        <v>431</v>
      </c>
      <c r="B161" s="53" t="s">
        <v>432</v>
      </c>
      <c r="C161" s="53" t="s">
        <v>1969</v>
      </c>
      <c r="D161" s="53" t="s">
        <v>358</v>
      </c>
    </row>
    <row r="162" spans="1:4">
      <c r="A162" s="53" t="s">
        <v>359</v>
      </c>
      <c r="B162" s="53" t="s">
        <v>270</v>
      </c>
      <c r="C162" s="53" t="s">
        <v>3354</v>
      </c>
      <c r="D162" s="53" t="s">
        <v>2871</v>
      </c>
    </row>
    <row r="163" spans="1:4">
      <c r="A163" s="53" t="s">
        <v>359</v>
      </c>
      <c r="B163" s="53" t="s">
        <v>270</v>
      </c>
      <c r="C163" s="53" t="s">
        <v>1964</v>
      </c>
      <c r="D163" s="53" t="s">
        <v>3090</v>
      </c>
    </row>
    <row r="164" spans="1:4">
      <c r="A164" s="53" t="s">
        <v>359</v>
      </c>
      <c r="B164" s="53" t="s">
        <v>270</v>
      </c>
      <c r="C164" s="53" t="s">
        <v>1965</v>
      </c>
      <c r="D164" s="53" t="s">
        <v>1900</v>
      </c>
    </row>
    <row r="165" spans="1:4">
      <c r="A165" s="53" t="s">
        <v>359</v>
      </c>
      <c r="B165" s="53" t="s">
        <v>270</v>
      </c>
      <c r="C165" s="53" t="s">
        <v>1966</v>
      </c>
      <c r="D165" s="53" t="s">
        <v>1919</v>
      </c>
    </row>
    <row r="166" spans="1:4">
      <c r="A166" s="53" t="s">
        <v>359</v>
      </c>
      <c r="B166" s="53" t="s">
        <v>270</v>
      </c>
      <c r="C166" s="53" t="s">
        <v>1967</v>
      </c>
      <c r="D166" s="53" t="s">
        <v>749</v>
      </c>
    </row>
    <row r="167" spans="1:4">
      <c r="A167" s="53" t="s">
        <v>359</v>
      </c>
      <c r="B167" s="53" t="s">
        <v>270</v>
      </c>
      <c r="C167" s="53" t="s">
        <v>1968</v>
      </c>
      <c r="D167" s="53" t="s">
        <v>1547</v>
      </c>
    </row>
    <row r="168" spans="1:4">
      <c r="A168" s="53" t="s">
        <v>1548</v>
      </c>
      <c r="B168" s="53" t="s">
        <v>1549</v>
      </c>
      <c r="C168" s="53" t="s">
        <v>3354</v>
      </c>
      <c r="D168" s="53" t="s">
        <v>1550</v>
      </c>
    </row>
    <row r="169" spans="1:4">
      <c r="A169" s="53" t="s">
        <v>1548</v>
      </c>
      <c r="B169" s="53" t="s">
        <v>1549</v>
      </c>
      <c r="C169" s="53" t="s">
        <v>1964</v>
      </c>
      <c r="D169" s="53" t="s">
        <v>1551</v>
      </c>
    </row>
    <row r="170" spans="1:4">
      <c r="A170" s="53" t="s">
        <v>1548</v>
      </c>
      <c r="B170" s="53" t="s">
        <v>1549</v>
      </c>
      <c r="C170" s="53" t="s">
        <v>1965</v>
      </c>
      <c r="D170" s="53" t="s">
        <v>1692</v>
      </c>
    </row>
    <row r="171" spans="1:4">
      <c r="A171" s="53" t="s">
        <v>1548</v>
      </c>
      <c r="B171" s="53" t="s">
        <v>1549</v>
      </c>
      <c r="C171" s="53" t="s">
        <v>1966</v>
      </c>
      <c r="D171" s="53" t="s">
        <v>3191</v>
      </c>
    </row>
    <row r="172" spans="1:4">
      <c r="A172" s="53" t="s">
        <v>1548</v>
      </c>
      <c r="B172" s="53" t="s">
        <v>1549</v>
      </c>
      <c r="C172" s="53" t="s">
        <v>1967</v>
      </c>
      <c r="D172" s="53" t="s">
        <v>3192</v>
      </c>
    </row>
    <row r="173" spans="1:4">
      <c r="A173" s="53" t="s">
        <v>1548</v>
      </c>
      <c r="B173" s="53" t="s">
        <v>1549</v>
      </c>
      <c r="C173" s="53" t="s">
        <v>1968</v>
      </c>
      <c r="D173" s="53" t="s">
        <v>3193</v>
      </c>
    </row>
    <row r="174" spans="1:4">
      <c r="A174" s="53" t="s">
        <v>3194</v>
      </c>
      <c r="B174" s="53" t="s">
        <v>3195</v>
      </c>
      <c r="C174" s="53" t="s">
        <v>3354</v>
      </c>
      <c r="D174" s="53" t="s">
        <v>3175</v>
      </c>
    </row>
    <row r="175" spans="1:4">
      <c r="A175" s="53" t="s">
        <v>3194</v>
      </c>
      <c r="B175" s="53" t="s">
        <v>3195</v>
      </c>
      <c r="C175" s="53" t="s">
        <v>1964</v>
      </c>
      <c r="D175" s="53" t="s">
        <v>4020</v>
      </c>
    </row>
    <row r="176" spans="1:4">
      <c r="A176" s="53" t="s">
        <v>3194</v>
      </c>
      <c r="B176" s="53" t="s">
        <v>3195</v>
      </c>
      <c r="C176" s="53" t="s">
        <v>1965</v>
      </c>
      <c r="D176" s="53" t="s">
        <v>2795</v>
      </c>
    </row>
    <row r="177" spans="1:4">
      <c r="A177" s="53" t="s">
        <v>3194</v>
      </c>
      <c r="B177" s="53" t="s">
        <v>3195</v>
      </c>
      <c r="C177" s="53" t="s">
        <v>1966</v>
      </c>
      <c r="D177" s="53" t="s">
        <v>2796</v>
      </c>
    </row>
    <row r="178" spans="1:4">
      <c r="A178" s="53" t="s">
        <v>3194</v>
      </c>
      <c r="B178" s="53" t="s">
        <v>3195</v>
      </c>
      <c r="C178" s="53" t="s">
        <v>1967</v>
      </c>
      <c r="D178" s="53" t="s">
        <v>1116</v>
      </c>
    </row>
    <row r="179" spans="1:4">
      <c r="A179" s="53" t="s">
        <v>3194</v>
      </c>
      <c r="B179" s="53" t="s">
        <v>3195</v>
      </c>
      <c r="C179" s="53" t="s">
        <v>1968</v>
      </c>
      <c r="D179" s="53" t="s">
        <v>1926</v>
      </c>
    </row>
    <row r="180" spans="1:4">
      <c r="A180" s="53" t="s">
        <v>3194</v>
      </c>
      <c r="B180" s="53" t="s">
        <v>3195</v>
      </c>
      <c r="C180" s="53" t="s">
        <v>1969</v>
      </c>
      <c r="D180" s="53" t="s">
        <v>1927</v>
      </c>
    </row>
    <row r="181" spans="1:4">
      <c r="A181" s="53" t="s">
        <v>3194</v>
      </c>
      <c r="B181" s="53" t="s">
        <v>3195</v>
      </c>
      <c r="C181" s="53" t="s">
        <v>1970</v>
      </c>
      <c r="D181" s="53" t="s">
        <v>3763</v>
      </c>
    </row>
    <row r="182" spans="1:4">
      <c r="A182" s="53" t="s">
        <v>3194</v>
      </c>
      <c r="B182" s="53" t="s">
        <v>3195</v>
      </c>
      <c r="C182" s="53" t="s">
        <v>1971</v>
      </c>
      <c r="D182" s="53" t="s">
        <v>3764</v>
      </c>
    </row>
    <row r="183" spans="1:4">
      <c r="A183" s="53" t="s">
        <v>3194</v>
      </c>
      <c r="B183" s="53" t="s">
        <v>3195</v>
      </c>
      <c r="C183" s="53" t="s">
        <v>1972</v>
      </c>
      <c r="D183" s="53" t="s">
        <v>3765</v>
      </c>
    </row>
    <row r="184" spans="1:4">
      <c r="A184" s="53" t="s">
        <v>3766</v>
      </c>
      <c r="B184" s="53" t="s">
        <v>3767</v>
      </c>
      <c r="C184" s="53" t="s">
        <v>3354</v>
      </c>
      <c r="D184" s="53" t="s">
        <v>1076</v>
      </c>
    </row>
    <row r="185" spans="1:4">
      <c r="A185" s="53" t="s">
        <v>3766</v>
      </c>
      <c r="B185" s="53" t="s">
        <v>3767</v>
      </c>
      <c r="C185" s="53" t="s">
        <v>1964</v>
      </c>
      <c r="D185" s="53" t="s">
        <v>1077</v>
      </c>
    </row>
    <row r="186" spans="1:4">
      <c r="A186" s="53" t="s">
        <v>3766</v>
      </c>
      <c r="B186" s="53" t="s">
        <v>3767</v>
      </c>
      <c r="C186" s="53" t="s">
        <v>1965</v>
      </c>
      <c r="D186" s="53" t="s">
        <v>1078</v>
      </c>
    </row>
    <row r="187" spans="1:4">
      <c r="A187" s="53" t="s">
        <v>3766</v>
      </c>
      <c r="B187" s="53" t="s">
        <v>3767</v>
      </c>
      <c r="C187" s="53" t="s">
        <v>1966</v>
      </c>
      <c r="D187" s="53" t="s">
        <v>1564</v>
      </c>
    </row>
    <row r="188" spans="1:4">
      <c r="A188" s="53" t="s">
        <v>3766</v>
      </c>
      <c r="B188" s="53" t="s">
        <v>3767</v>
      </c>
      <c r="C188" s="53" t="s">
        <v>1967</v>
      </c>
      <c r="D188" s="53" t="s">
        <v>3559</v>
      </c>
    </row>
    <row r="189" spans="1:4">
      <c r="A189" s="53" t="s">
        <v>3766</v>
      </c>
      <c r="B189" s="53" t="s">
        <v>3767</v>
      </c>
      <c r="C189" s="53" t="s">
        <v>1968</v>
      </c>
      <c r="D189" s="53" t="s">
        <v>3560</v>
      </c>
    </row>
    <row r="190" spans="1:4">
      <c r="A190" s="53" t="s">
        <v>3561</v>
      </c>
      <c r="B190" s="53" t="s">
        <v>3562</v>
      </c>
      <c r="C190" s="53" t="s">
        <v>3354</v>
      </c>
      <c r="D190" s="53" t="s">
        <v>4394</v>
      </c>
    </row>
    <row r="191" spans="1:4">
      <c r="A191" s="53" t="s">
        <v>3561</v>
      </c>
      <c r="B191" s="53" t="s">
        <v>3562</v>
      </c>
      <c r="C191" s="53" t="s">
        <v>1964</v>
      </c>
      <c r="D191" s="53" t="s">
        <v>4395</v>
      </c>
    </row>
    <row r="192" spans="1:4">
      <c r="A192" s="53" t="s">
        <v>3561</v>
      </c>
      <c r="B192" s="53" t="s">
        <v>3562</v>
      </c>
      <c r="C192" s="53" t="s">
        <v>1965</v>
      </c>
      <c r="D192" s="53" t="s">
        <v>1678</v>
      </c>
    </row>
    <row r="193" spans="1:4">
      <c r="A193" s="53" t="s">
        <v>3561</v>
      </c>
      <c r="B193" s="53" t="s">
        <v>3562</v>
      </c>
      <c r="C193" s="53" t="s">
        <v>1966</v>
      </c>
      <c r="D193" s="53" t="s">
        <v>1679</v>
      </c>
    </row>
    <row r="194" spans="1:4">
      <c r="A194" s="53" t="s">
        <v>3561</v>
      </c>
      <c r="B194" s="53" t="s">
        <v>3562</v>
      </c>
      <c r="C194" s="53" t="s">
        <v>1967</v>
      </c>
      <c r="D194" s="53" t="s">
        <v>3668</v>
      </c>
    </row>
    <row r="195" spans="1:4">
      <c r="A195" s="53" t="s">
        <v>3561</v>
      </c>
      <c r="B195" s="53" t="s">
        <v>3562</v>
      </c>
      <c r="C195" s="53" t="s">
        <v>1968</v>
      </c>
      <c r="D195" s="53" t="s">
        <v>1213</v>
      </c>
    </row>
    <row r="196" spans="1:4">
      <c r="A196" s="53" t="s">
        <v>3561</v>
      </c>
      <c r="B196" s="53" t="s">
        <v>3562</v>
      </c>
      <c r="C196" s="53" t="s">
        <v>1969</v>
      </c>
      <c r="D196" s="53" t="s">
        <v>1214</v>
      </c>
    </row>
    <row r="197" spans="1:4">
      <c r="A197" s="53" t="s">
        <v>3561</v>
      </c>
      <c r="B197" s="53" t="s">
        <v>3562</v>
      </c>
      <c r="C197" s="53" t="s">
        <v>1970</v>
      </c>
      <c r="D197" s="53" t="s">
        <v>1885</v>
      </c>
    </row>
    <row r="198" spans="1:4">
      <c r="A198" s="53" t="s">
        <v>3561</v>
      </c>
      <c r="B198" s="53" t="s">
        <v>3562</v>
      </c>
      <c r="C198" s="53" t="s">
        <v>1971</v>
      </c>
      <c r="D198" s="53" t="s">
        <v>1886</v>
      </c>
    </row>
    <row r="199" spans="1:4">
      <c r="A199" s="53" t="s">
        <v>3561</v>
      </c>
      <c r="B199" s="53" t="s">
        <v>3562</v>
      </c>
      <c r="C199" s="53" t="s">
        <v>1972</v>
      </c>
      <c r="D199" s="53" t="s">
        <v>1905</v>
      </c>
    </row>
    <row r="200" spans="1:4">
      <c r="A200" s="53" t="s">
        <v>3561</v>
      </c>
      <c r="B200" s="53" t="s">
        <v>3562</v>
      </c>
      <c r="C200" s="53" t="s">
        <v>1973</v>
      </c>
      <c r="D200" s="53" t="s">
        <v>1906</v>
      </c>
    </row>
    <row r="201" spans="1:4">
      <c r="A201" s="53" t="s">
        <v>3561</v>
      </c>
      <c r="B201" s="53" t="s">
        <v>3562</v>
      </c>
      <c r="C201" s="53" t="s">
        <v>1974</v>
      </c>
      <c r="D201" s="53" t="s">
        <v>1907</v>
      </c>
    </row>
    <row r="202" spans="1:4">
      <c r="A202" s="53" t="s">
        <v>3561</v>
      </c>
      <c r="B202" s="53" t="s">
        <v>3562</v>
      </c>
      <c r="C202" s="53" t="s">
        <v>1975</v>
      </c>
      <c r="D202" s="53" t="s">
        <v>1908</v>
      </c>
    </row>
    <row r="203" spans="1:4">
      <c r="A203" s="53" t="s">
        <v>3561</v>
      </c>
      <c r="B203" s="53" t="s">
        <v>3562</v>
      </c>
      <c r="C203" s="53" t="s">
        <v>1976</v>
      </c>
      <c r="D203" s="53" t="s">
        <v>2308</v>
      </c>
    </row>
    <row r="204" spans="1:4">
      <c r="A204" s="53" t="s">
        <v>3561</v>
      </c>
      <c r="B204" s="53" t="s">
        <v>3562</v>
      </c>
      <c r="C204" s="53" t="s">
        <v>1977</v>
      </c>
      <c r="D204" s="53" t="s">
        <v>1364</v>
      </c>
    </row>
    <row r="205" spans="1:4">
      <c r="A205" s="53" t="s">
        <v>1365</v>
      </c>
      <c r="B205" s="53" t="s">
        <v>1366</v>
      </c>
      <c r="C205" s="53" t="s">
        <v>3354</v>
      </c>
      <c r="D205" s="53" t="s">
        <v>1367</v>
      </c>
    </row>
    <row r="206" spans="1:4">
      <c r="A206" s="53" t="s">
        <v>1365</v>
      </c>
      <c r="B206" s="53" t="s">
        <v>1366</v>
      </c>
      <c r="C206" s="53" t="s">
        <v>1964</v>
      </c>
      <c r="D206" s="53" t="s">
        <v>448</v>
      </c>
    </row>
    <row r="207" spans="1:4">
      <c r="A207" s="53" t="s">
        <v>1365</v>
      </c>
      <c r="B207" s="53" t="s">
        <v>1366</v>
      </c>
      <c r="C207" s="53" t="s">
        <v>1965</v>
      </c>
      <c r="D207" s="53" t="s">
        <v>449</v>
      </c>
    </row>
    <row r="208" spans="1:4">
      <c r="A208" s="53" t="s">
        <v>1365</v>
      </c>
      <c r="B208" s="53" t="s">
        <v>1366</v>
      </c>
      <c r="C208" s="53" t="s">
        <v>1966</v>
      </c>
      <c r="D208" s="53" t="s">
        <v>450</v>
      </c>
    </row>
    <row r="209" spans="1:4">
      <c r="A209" s="53" t="s">
        <v>1365</v>
      </c>
      <c r="B209" s="53" t="s">
        <v>1366</v>
      </c>
      <c r="C209" s="53" t="s">
        <v>1967</v>
      </c>
      <c r="D209" s="53" t="s">
        <v>451</v>
      </c>
    </row>
    <row r="210" spans="1:4">
      <c r="A210" s="53" t="s">
        <v>1365</v>
      </c>
      <c r="B210" s="53" t="s">
        <v>1366</v>
      </c>
      <c r="C210" s="53" t="s">
        <v>1968</v>
      </c>
      <c r="D210" s="53" t="s">
        <v>452</v>
      </c>
    </row>
    <row r="211" spans="1:4">
      <c r="A211" s="53" t="s">
        <v>1365</v>
      </c>
      <c r="B211" s="53" t="s">
        <v>1366</v>
      </c>
      <c r="C211" s="53" t="s">
        <v>1969</v>
      </c>
      <c r="D211" s="53" t="s">
        <v>453</v>
      </c>
    </row>
    <row r="212" spans="1:4">
      <c r="A212" s="53" t="s">
        <v>1365</v>
      </c>
      <c r="B212" s="53" t="s">
        <v>1366</v>
      </c>
      <c r="C212" s="53" t="s">
        <v>1970</v>
      </c>
      <c r="D212" s="53" t="s">
        <v>454</v>
      </c>
    </row>
    <row r="213" spans="1:4">
      <c r="A213" s="53" t="s">
        <v>1365</v>
      </c>
      <c r="B213" s="53" t="s">
        <v>1366</v>
      </c>
      <c r="C213" s="53" t="s">
        <v>1971</v>
      </c>
      <c r="D213" s="53" t="s">
        <v>455</v>
      </c>
    </row>
    <row r="214" spans="1:4">
      <c r="A214" s="53" t="s">
        <v>1365</v>
      </c>
      <c r="B214" s="53" t="s">
        <v>1366</v>
      </c>
      <c r="C214" s="53" t="s">
        <v>1972</v>
      </c>
      <c r="D214" s="53" t="s">
        <v>456</v>
      </c>
    </row>
    <row r="215" spans="1:4">
      <c r="A215" s="53" t="s">
        <v>457</v>
      </c>
      <c r="B215" s="53" t="s">
        <v>2600</v>
      </c>
      <c r="C215" s="53" t="s">
        <v>3354</v>
      </c>
      <c r="D215" s="53" t="s">
        <v>2601</v>
      </c>
    </row>
    <row r="216" spans="1:4">
      <c r="A216" s="53" t="s">
        <v>457</v>
      </c>
      <c r="B216" s="53" t="s">
        <v>2600</v>
      </c>
      <c r="C216" s="53" t="s">
        <v>1964</v>
      </c>
      <c r="D216" s="53" t="s">
        <v>2219</v>
      </c>
    </row>
    <row r="217" spans="1:4">
      <c r="A217" s="53" t="s">
        <v>457</v>
      </c>
      <c r="B217" s="53" t="s">
        <v>2600</v>
      </c>
      <c r="C217" s="53" t="s">
        <v>1965</v>
      </c>
      <c r="D217" s="53" t="s">
        <v>4002</v>
      </c>
    </row>
    <row r="218" spans="1:4">
      <c r="A218" s="53" t="s">
        <v>457</v>
      </c>
      <c r="B218" s="53" t="s">
        <v>2600</v>
      </c>
      <c r="C218" s="53" t="s">
        <v>1966</v>
      </c>
      <c r="D218" s="53" t="s">
        <v>3541</v>
      </c>
    </row>
    <row r="219" spans="1:4">
      <c r="A219" s="53" t="s">
        <v>457</v>
      </c>
      <c r="B219" s="53" t="s">
        <v>2600</v>
      </c>
      <c r="C219" s="53" t="s">
        <v>1967</v>
      </c>
      <c r="D219" s="53" t="s">
        <v>994</v>
      </c>
    </row>
    <row r="220" spans="1:4">
      <c r="A220" s="53" t="s">
        <v>457</v>
      </c>
      <c r="B220" s="53" t="s">
        <v>2600</v>
      </c>
      <c r="C220" s="53" t="s">
        <v>1968</v>
      </c>
      <c r="D220" s="53" t="s">
        <v>995</v>
      </c>
    </row>
    <row r="221" spans="1:4">
      <c r="A221" s="53" t="s">
        <v>457</v>
      </c>
      <c r="B221" s="53" t="s">
        <v>2600</v>
      </c>
      <c r="C221" s="53" t="s">
        <v>1969</v>
      </c>
      <c r="D221" s="53" t="s">
        <v>996</v>
      </c>
    </row>
    <row r="222" spans="1:4">
      <c r="A222" s="53" t="s">
        <v>457</v>
      </c>
      <c r="B222" s="53" t="s">
        <v>2600</v>
      </c>
      <c r="C222" s="53" t="s">
        <v>1970</v>
      </c>
      <c r="D222" s="53" t="s">
        <v>997</v>
      </c>
    </row>
    <row r="223" spans="1:4">
      <c r="A223" s="53" t="s">
        <v>457</v>
      </c>
      <c r="B223" s="53" t="s">
        <v>2600</v>
      </c>
      <c r="C223" s="53" t="s">
        <v>1971</v>
      </c>
      <c r="D223" s="53" t="s">
        <v>998</v>
      </c>
    </row>
    <row r="224" spans="1:4">
      <c r="A224" s="53" t="s">
        <v>457</v>
      </c>
      <c r="B224" s="53" t="s">
        <v>2600</v>
      </c>
      <c r="C224" s="53" t="s">
        <v>1972</v>
      </c>
      <c r="D224" s="53" t="s">
        <v>999</v>
      </c>
    </row>
    <row r="225" spans="1:4">
      <c r="A225" s="53" t="s">
        <v>457</v>
      </c>
      <c r="B225" s="53" t="s">
        <v>2600</v>
      </c>
      <c r="C225" s="53" t="s">
        <v>1973</v>
      </c>
      <c r="D225" s="53" t="s">
        <v>1000</v>
      </c>
    </row>
    <row r="226" spans="1:4">
      <c r="A226" s="53" t="s">
        <v>457</v>
      </c>
      <c r="B226" s="53" t="s">
        <v>2600</v>
      </c>
      <c r="C226" s="53" t="s">
        <v>1974</v>
      </c>
      <c r="D226" s="53" t="s">
        <v>1001</v>
      </c>
    </row>
    <row r="227" spans="1:4">
      <c r="A227" s="53" t="s">
        <v>457</v>
      </c>
      <c r="B227" s="53" t="s">
        <v>2600</v>
      </c>
      <c r="C227" s="53" t="s">
        <v>1975</v>
      </c>
      <c r="D227" s="53" t="s">
        <v>3223</v>
      </c>
    </row>
    <row r="228" spans="1:4">
      <c r="A228" s="53" t="s">
        <v>457</v>
      </c>
      <c r="B228" s="53" t="s">
        <v>2600</v>
      </c>
      <c r="C228" s="53" t="s">
        <v>1976</v>
      </c>
      <c r="D228" s="53" t="s">
        <v>3188</v>
      </c>
    </row>
    <row r="229" spans="1:4">
      <c r="A229" s="53" t="s">
        <v>457</v>
      </c>
      <c r="B229" s="53" t="s">
        <v>2600</v>
      </c>
      <c r="C229" s="53" t="s">
        <v>1977</v>
      </c>
      <c r="D229" s="53" t="s">
        <v>3189</v>
      </c>
    </row>
    <row r="230" spans="1:4">
      <c r="A230" s="53" t="s">
        <v>457</v>
      </c>
      <c r="B230" s="53" t="s">
        <v>2600</v>
      </c>
      <c r="C230" s="53" t="s">
        <v>1978</v>
      </c>
      <c r="D230" s="53" t="s">
        <v>3190</v>
      </c>
    </row>
    <row r="231" spans="1:4">
      <c r="A231" s="53" t="s">
        <v>457</v>
      </c>
      <c r="B231" s="53" t="s">
        <v>2600</v>
      </c>
      <c r="C231" s="53" t="s">
        <v>1979</v>
      </c>
      <c r="D231" s="53" t="s">
        <v>1132</v>
      </c>
    </row>
    <row r="232" spans="1:4">
      <c r="A232" s="53" t="s">
        <v>457</v>
      </c>
      <c r="B232" s="53" t="s">
        <v>2600</v>
      </c>
      <c r="C232" s="53" t="s">
        <v>1980</v>
      </c>
      <c r="D232" s="53" t="s">
        <v>1133</v>
      </c>
    </row>
    <row r="233" spans="1:4">
      <c r="A233" s="53" t="s">
        <v>457</v>
      </c>
      <c r="B233" s="53" t="s">
        <v>2600</v>
      </c>
      <c r="C233" s="53" t="s">
        <v>1981</v>
      </c>
      <c r="D233" s="53" t="s">
        <v>1134</v>
      </c>
    </row>
    <row r="234" spans="1:4">
      <c r="A234" s="53" t="s">
        <v>457</v>
      </c>
      <c r="B234" s="53" t="s">
        <v>2600</v>
      </c>
      <c r="C234" s="53" t="s">
        <v>1982</v>
      </c>
      <c r="D234" s="53" t="s">
        <v>1135</v>
      </c>
    </row>
    <row r="235" spans="1:4">
      <c r="A235" s="53" t="s">
        <v>457</v>
      </c>
      <c r="B235" s="53" t="s">
        <v>2600</v>
      </c>
      <c r="C235" s="53" t="s">
        <v>4150</v>
      </c>
      <c r="D235" s="53" t="s">
        <v>1136</v>
      </c>
    </row>
    <row r="236" spans="1:4">
      <c r="A236" s="53" t="s">
        <v>1137</v>
      </c>
      <c r="B236" s="53" t="s">
        <v>1138</v>
      </c>
      <c r="C236" s="53" t="s">
        <v>3354</v>
      </c>
      <c r="D236" s="53" t="s">
        <v>1139</v>
      </c>
    </row>
    <row r="237" spans="1:4">
      <c r="A237" s="53" t="s">
        <v>1137</v>
      </c>
      <c r="B237" s="53" t="s">
        <v>1138</v>
      </c>
      <c r="C237" s="53" t="s">
        <v>1964</v>
      </c>
      <c r="D237" s="53" t="s">
        <v>1140</v>
      </c>
    </row>
    <row r="238" spans="1:4">
      <c r="A238" s="53" t="s">
        <v>1137</v>
      </c>
      <c r="B238" s="53" t="s">
        <v>1138</v>
      </c>
      <c r="C238" s="53" t="s">
        <v>1965</v>
      </c>
      <c r="D238" s="53" t="s">
        <v>224</v>
      </c>
    </row>
    <row r="239" spans="1:4">
      <c r="A239" s="53" t="s">
        <v>1137</v>
      </c>
      <c r="B239" s="53" t="s">
        <v>1138</v>
      </c>
      <c r="C239" s="53" t="s">
        <v>1966</v>
      </c>
      <c r="D239" s="53" t="s">
        <v>225</v>
      </c>
    </row>
    <row r="240" spans="1:4">
      <c r="A240" s="53" t="s">
        <v>1137</v>
      </c>
      <c r="B240" s="53" t="s">
        <v>1138</v>
      </c>
      <c r="C240" s="53" t="s">
        <v>1967</v>
      </c>
      <c r="D240" s="53" t="s">
        <v>226</v>
      </c>
    </row>
    <row r="241" spans="1:4">
      <c r="A241" s="53" t="s">
        <v>1137</v>
      </c>
      <c r="B241" s="53" t="s">
        <v>1138</v>
      </c>
      <c r="C241" s="53" t="s">
        <v>1968</v>
      </c>
      <c r="D241" s="53" t="s">
        <v>3414</v>
      </c>
    </row>
    <row r="242" spans="1:4">
      <c r="A242" s="53" t="s">
        <v>1137</v>
      </c>
      <c r="B242" s="53" t="s">
        <v>1138</v>
      </c>
      <c r="C242" s="53" t="s">
        <v>1969</v>
      </c>
      <c r="D242" s="53" t="s">
        <v>3233</v>
      </c>
    </row>
    <row r="243" spans="1:4">
      <c r="A243" s="53" t="s">
        <v>1137</v>
      </c>
      <c r="B243" s="53" t="s">
        <v>1138</v>
      </c>
      <c r="C243" s="53" t="s">
        <v>1970</v>
      </c>
      <c r="D243" s="53" t="s">
        <v>3234</v>
      </c>
    </row>
    <row r="244" spans="1:4">
      <c r="A244" s="53" t="s">
        <v>1137</v>
      </c>
      <c r="B244" s="53" t="s">
        <v>1138</v>
      </c>
      <c r="C244" s="53" t="s">
        <v>1971</v>
      </c>
      <c r="D244" s="53" t="s">
        <v>2636</v>
      </c>
    </row>
    <row r="245" spans="1:4">
      <c r="A245" s="53" t="s">
        <v>1137</v>
      </c>
      <c r="B245" s="53" t="s">
        <v>1138</v>
      </c>
      <c r="C245" s="53" t="s">
        <v>1972</v>
      </c>
      <c r="D245" s="53" t="s">
        <v>1235</v>
      </c>
    </row>
    <row r="246" spans="1:4">
      <c r="A246" s="53" t="s">
        <v>1137</v>
      </c>
      <c r="B246" s="53" t="s">
        <v>1138</v>
      </c>
      <c r="C246" s="53" t="s">
        <v>1973</v>
      </c>
      <c r="D246" s="53" t="s">
        <v>1200</v>
      </c>
    </row>
    <row r="247" spans="1:4">
      <c r="A247" s="53" t="s">
        <v>1137</v>
      </c>
      <c r="B247" s="53" t="s">
        <v>1138</v>
      </c>
      <c r="C247" s="53" t="s">
        <v>1974</v>
      </c>
      <c r="D247" s="53" t="s">
        <v>2758</v>
      </c>
    </row>
    <row r="248" spans="1:4">
      <c r="A248" s="53" t="s">
        <v>1137</v>
      </c>
      <c r="B248" s="53" t="s">
        <v>1138</v>
      </c>
      <c r="C248" s="53" t="s">
        <v>1975</v>
      </c>
      <c r="D248" s="53" t="s">
        <v>2759</v>
      </c>
    </row>
    <row r="249" spans="1:4">
      <c r="A249" s="53" t="s">
        <v>1137</v>
      </c>
      <c r="B249" s="53" t="s">
        <v>1138</v>
      </c>
      <c r="C249" s="53" t="s">
        <v>1976</v>
      </c>
      <c r="D249" s="53" t="s">
        <v>2760</v>
      </c>
    </row>
    <row r="250" spans="1:4">
      <c r="A250" s="53" t="s">
        <v>1137</v>
      </c>
      <c r="B250" s="53" t="s">
        <v>1138</v>
      </c>
      <c r="C250" s="53" t="s">
        <v>1977</v>
      </c>
      <c r="D250" s="53" t="s">
        <v>2761</v>
      </c>
    </row>
    <row r="251" spans="1:4">
      <c r="A251" s="53" t="s">
        <v>1137</v>
      </c>
      <c r="B251" s="53" t="s">
        <v>1138</v>
      </c>
      <c r="C251" s="53" t="s">
        <v>1978</v>
      </c>
      <c r="D251" s="53" t="s">
        <v>489</v>
      </c>
    </row>
    <row r="252" spans="1:4">
      <c r="A252" s="53" t="s">
        <v>1137</v>
      </c>
      <c r="B252" s="53" t="s">
        <v>1138</v>
      </c>
      <c r="C252" s="53" t="s">
        <v>1979</v>
      </c>
      <c r="D252" s="53" t="s">
        <v>3313</v>
      </c>
    </row>
    <row r="253" spans="1:4">
      <c r="A253" s="53" t="s">
        <v>3314</v>
      </c>
      <c r="B253" s="53" t="s">
        <v>3315</v>
      </c>
      <c r="C253" s="53" t="s">
        <v>3354</v>
      </c>
      <c r="D253" s="53" t="s">
        <v>3316</v>
      </c>
    </row>
    <row r="254" spans="1:4">
      <c r="A254" s="53" t="s">
        <v>3314</v>
      </c>
      <c r="B254" s="53" t="s">
        <v>3315</v>
      </c>
      <c r="C254" s="53" t="s">
        <v>1964</v>
      </c>
      <c r="D254" s="53" t="s">
        <v>1884</v>
      </c>
    </row>
    <row r="255" spans="1:4">
      <c r="A255" s="53" t="s">
        <v>3314</v>
      </c>
      <c r="B255" s="53" t="s">
        <v>3315</v>
      </c>
      <c r="C255" s="53" t="s">
        <v>1965</v>
      </c>
      <c r="D255" s="53" t="s">
        <v>3115</v>
      </c>
    </row>
    <row r="256" spans="1:4">
      <c r="A256" s="53" t="s">
        <v>3314</v>
      </c>
      <c r="B256" s="53" t="s">
        <v>3315</v>
      </c>
      <c r="C256" s="53" t="s">
        <v>1966</v>
      </c>
      <c r="D256" s="53" t="s">
        <v>3116</v>
      </c>
    </row>
    <row r="257" spans="1:4">
      <c r="A257" s="53" t="s">
        <v>3314</v>
      </c>
      <c r="B257" s="53" t="s">
        <v>3315</v>
      </c>
      <c r="C257" s="53" t="s">
        <v>1967</v>
      </c>
      <c r="D257" s="53" t="s">
        <v>1659</v>
      </c>
    </row>
    <row r="258" spans="1:4">
      <c r="A258" s="53" t="s">
        <v>3314</v>
      </c>
      <c r="B258" s="53" t="s">
        <v>3315</v>
      </c>
      <c r="C258" s="53" t="s">
        <v>1968</v>
      </c>
      <c r="D258" s="53" t="s">
        <v>1660</v>
      </c>
    </row>
    <row r="259" spans="1:4">
      <c r="A259" s="53" t="s">
        <v>3314</v>
      </c>
      <c r="B259" s="53" t="s">
        <v>3315</v>
      </c>
      <c r="C259" s="53" t="s">
        <v>1969</v>
      </c>
      <c r="D259" s="53" t="s">
        <v>1661</v>
      </c>
    </row>
    <row r="260" spans="1:4">
      <c r="A260" s="53" t="s">
        <v>1662</v>
      </c>
      <c r="B260" s="53" t="s">
        <v>1317</v>
      </c>
      <c r="C260" s="53" t="s">
        <v>3354</v>
      </c>
      <c r="D260" s="53" t="s">
        <v>1318</v>
      </c>
    </row>
    <row r="261" spans="1:4">
      <c r="A261" s="53" t="s">
        <v>1662</v>
      </c>
      <c r="B261" s="53" t="s">
        <v>1317</v>
      </c>
      <c r="C261" s="53" t="s">
        <v>1964</v>
      </c>
      <c r="D261" s="53" t="s">
        <v>266</v>
      </c>
    </row>
    <row r="262" spans="1:4">
      <c r="A262" s="53" t="s">
        <v>1662</v>
      </c>
      <c r="B262" s="53" t="s">
        <v>1317</v>
      </c>
      <c r="C262" s="53" t="s">
        <v>1965</v>
      </c>
      <c r="D262" s="53" t="s">
        <v>267</v>
      </c>
    </row>
    <row r="263" spans="1:4">
      <c r="A263" s="53" t="s">
        <v>1662</v>
      </c>
      <c r="B263" s="53" t="s">
        <v>1317</v>
      </c>
      <c r="C263" s="53" t="s">
        <v>1966</v>
      </c>
      <c r="D263" s="53" t="s">
        <v>268</v>
      </c>
    </row>
    <row r="264" spans="1:4">
      <c r="A264" s="53" t="s">
        <v>1662</v>
      </c>
      <c r="B264" s="53" t="s">
        <v>1317</v>
      </c>
      <c r="C264" s="53" t="s">
        <v>1967</v>
      </c>
      <c r="D264" s="53" t="s">
        <v>269</v>
      </c>
    </row>
    <row r="265" spans="1:4">
      <c r="A265" s="53" t="s">
        <v>1662</v>
      </c>
      <c r="B265" s="53" t="s">
        <v>1317</v>
      </c>
      <c r="C265" s="53" t="s">
        <v>1968</v>
      </c>
      <c r="D265" s="53" t="s">
        <v>2546</v>
      </c>
    </row>
    <row r="266" spans="1:4">
      <c r="A266" s="53" t="s">
        <v>1662</v>
      </c>
      <c r="B266" s="53" t="s">
        <v>1317</v>
      </c>
      <c r="C266" s="53" t="s">
        <v>1969</v>
      </c>
      <c r="D266" s="53" t="s">
        <v>3050</v>
      </c>
    </row>
    <row r="267" spans="1:4">
      <c r="A267" s="53" t="s">
        <v>1662</v>
      </c>
      <c r="B267" s="53" t="s">
        <v>1317</v>
      </c>
      <c r="C267" s="53" t="s">
        <v>1970</v>
      </c>
      <c r="D267" s="53" t="s">
        <v>2324</v>
      </c>
    </row>
    <row r="268" spans="1:4">
      <c r="A268" s="53" t="s">
        <v>1662</v>
      </c>
      <c r="B268" s="53" t="s">
        <v>1317</v>
      </c>
      <c r="C268" s="53" t="s">
        <v>1971</v>
      </c>
      <c r="D268" s="53" t="s">
        <v>3224</v>
      </c>
    </row>
    <row r="269" spans="1:4">
      <c r="A269" s="53" t="s">
        <v>1662</v>
      </c>
      <c r="B269" s="53" t="s">
        <v>1317</v>
      </c>
      <c r="C269" s="53" t="s">
        <v>1972</v>
      </c>
      <c r="D269" s="53" t="s">
        <v>3225</v>
      </c>
    </row>
    <row r="270" spans="1:4">
      <c r="A270" s="53" t="s">
        <v>1662</v>
      </c>
      <c r="B270" s="53" t="s">
        <v>1317</v>
      </c>
      <c r="C270" s="53" t="s">
        <v>1973</v>
      </c>
      <c r="D270" s="53" t="s">
        <v>2710</v>
      </c>
    </row>
    <row r="271" spans="1:4">
      <c r="A271" s="53" t="s">
        <v>1662</v>
      </c>
      <c r="B271" s="53" t="s">
        <v>1317</v>
      </c>
      <c r="C271" s="53" t="s">
        <v>1974</v>
      </c>
      <c r="D271" s="53" t="s">
        <v>3051</v>
      </c>
    </row>
    <row r="272" spans="1:4">
      <c r="A272" s="53" t="s">
        <v>1662</v>
      </c>
      <c r="B272" s="53" t="s">
        <v>1317</v>
      </c>
      <c r="C272" s="53" t="s">
        <v>1975</v>
      </c>
      <c r="D272" s="53" t="s">
        <v>83</v>
      </c>
    </row>
    <row r="273" spans="1:4">
      <c r="A273" s="53" t="s">
        <v>1662</v>
      </c>
      <c r="B273" s="53" t="s">
        <v>1317</v>
      </c>
      <c r="C273" s="53" t="s">
        <v>1976</v>
      </c>
      <c r="D273" s="53" t="s">
        <v>84</v>
      </c>
    </row>
    <row r="274" spans="1:4">
      <c r="A274" s="53" t="s">
        <v>1662</v>
      </c>
      <c r="B274" s="53" t="s">
        <v>1317</v>
      </c>
      <c r="C274" s="53" t="s">
        <v>1977</v>
      </c>
      <c r="D274" s="53" t="s">
        <v>4352</v>
      </c>
    </row>
    <row r="275" spans="1:4">
      <c r="A275" s="53" t="s">
        <v>1662</v>
      </c>
      <c r="B275" s="53" t="s">
        <v>1317</v>
      </c>
      <c r="C275" s="53" t="s">
        <v>1978</v>
      </c>
      <c r="D275" s="53" t="s">
        <v>4353</v>
      </c>
    </row>
    <row r="276" spans="1:4">
      <c r="A276" s="53" t="s">
        <v>1662</v>
      </c>
      <c r="B276" s="53" t="s">
        <v>1317</v>
      </c>
      <c r="C276" s="53" t="s">
        <v>1979</v>
      </c>
      <c r="D276" s="53" t="s">
        <v>4354</v>
      </c>
    </row>
    <row r="277" spans="1:4">
      <c r="A277" s="53" t="s">
        <v>1662</v>
      </c>
      <c r="B277" s="53" t="s">
        <v>1317</v>
      </c>
      <c r="C277" s="53" t="s">
        <v>1980</v>
      </c>
      <c r="D277" s="53" t="s">
        <v>4355</v>
      </c>
    </row>
    <row r="278" spans="1:4">
      <c r="A278" s="53" t="s">
        <v>1662</v>
      </c>
      <c r="B278" s="53" t="s">
        <v>1317</v>
      </c>
      <c r="C278" s="53" t="s">
        <v>1981</v>
      </c>
      <c r="D278" s="53" t="s">
        <v>4356</v>
      </c>
    </row>
    <row r="279" spans="1:4">
      <c r="A279" s="53" t="s">
        <v>1662</v>
      </c>
      <c r="B279" s="53" t="s">
        <v>1317</v>
      </c>
      <c r="C279" s="53" t="s">
        <v>1982</v>
      </c>
      <c r="D279" s="53" t="s">
        <v>4357</v>
      </c>
    </row>
    <row r="280" spans="1:4">
      <c r="A280" s="53" t="s">
        <v>1662</v>
      </c>
      <c r="B280" s="53" t="s">
        <v>1317</v>
      </c>
      <c r="C280" s="53" t="s">
        <v>4150</v>
      </c>
      <c r="D280" s="53" t="s">
        <v>4358</v>
      </c>
    </row>
    <row r="281" spans="1:4">
      <c r="A281" s="53" t="s">
        <v>1662</v>
      </c>
      <c r="B281" s="53" t="s">
        <v>1317</v>
      </c>
      <c r="C281" s="53" t="s">
        <v>4151</v>
      </c>
      <c r="D281" s="53" t="s">
        <v>4359</v>
      </c>
    </row>
    <row r="282" spans="1:4">
      <c r="A282" s="53" t="s">
        <v>1662</v>
      </c>
      <c r="B282" s="53" t="s">
        <v>1317</v>
      </c>
      <c r="C282" s="53" t="s">
        <v>4152</v>
      </c>
      <c r="D282" s="53" t="s">
        <v>4360</v>
      </c>
    </row>
    <row r="283" spans="1:4">
      <c r="A283" s="53" t="s">
        <v>1662</v>
      </c>
      <c r="B283" s="53" t="s">
        <v>1317</v>
      </c>
      <c r="C283" s="53" t="s">
        <v>4153</v>
      </c>
      <c r="D283" s="53" t="s">
        <v>4361</v>
      </c>
    </row>
    <row r="284" spans="1:4">
      <c r="A284" s="53" t="s">
        <v>1662</v>
      </c>
      <c r="B284" s="53" t="s">
        <v>1317</v>
      </c>
      <c r="C284" s="53" t="s">
        <v>4154</v>
      </c>
      <c r="D284" s="53" t="s">
        <v>1243</v>
      </c>
    </row>
    <row r="285" spans="1:4">
      <c r="A285" s="53" t="s">
        <v>1662</v>
      </c>
      <c r="B285" s="53" t="s">
        <v>1317</v>
      </c>
      <c r="C285" s="53" t="s">
        <v>4155</v>
      </c>
      <c r="D285" s="53" t="s">
        <v>2089</v>
      </c>
    </row>
    <row r="286" spans="1:4">
      <c r="A286" s="53" t="s">
        <v>1662</v>
      </c>
      <c r="B286" s="53" t="s">
        <v>1317</v>
      </c>
      <c r="C286" s="53" t="s">
        <v>4156</v>
      </c>
      <c r="D286" s="53" t="s">
        <v>2090</v>
      </c>
    </row>
    <row r="287" spans="1:4">
      <c r="A287" s="53" t="s">
        <v>2091</v>
      </c>
      <c r="B287" s="53" t="s">
        <v>2092</v>
      </c>
      <c r="C287" s="53" t="s">
        <v>3354</v>
      </c>
      <c r="D287" s="53" t="s">
        <v>1743</v>
      </c>
    </row>
    <row r="288" spans="1:4">
      <c r="A288" s="53" t="s">
        <v>2091</v>
      </c>
      <c r="B288" s="53" t="s">
        <v>2092</v>
      </c>
      <c r="C288" s="53" t="s">
        <v>1964</v>
      </c>
      <c r="D288" s="53" t="s">
        <v>1744</v>
      </c>
    </row>
    <row r="289" spans="1:4">
      <c r="A289" s="53" t="s">
        <v>2091</v>
      </c>
      <c r="B289" s="53" t="s">
        <v>2092</v>
      </c>
      <c r="C289" s="53" t="s">
        <v>1965</v>
      </c>
      <c r="D289" s="53" t="s">
        <v>1745</v>
      </c>
    </row>
    <row r="290" spans="1:4">
      <c r="A290" s="53" t="s">
        <v>2091</v>
      </c>
      <c r="B290" s="53" t="s">
        <v>2092</v>
      </c>
      <c r="C290" s="53" t="s">
        <v>1966</v>
      </c>
      <c r="D290" s="53" t="s">
        <v>4249</v>
      </c>
    </row>
    <row r="291" spans="1:4">
      <c r="A291" s="53" t="s">
        <v>2091</v>
      </c>
      <c r="B291" s="53" t="s">
        <v>2092</v>
      </c>
      <c r="C291" s="53" t="s">
        <v>1967</v>
      </c>
      <c r="D291" s="53" t="s">
        <v>3372</v>
      </c>
    </row>
    <row r="292" spans="1:4">
      <c r="A292" s="53" t="s">
        <v>2091</v>
      </c>
      <c r="B292" s="53" t="s">
        <v>2092</v>
      </c>
      <c r="C292" s="53" t="s">
        <v>1968</v>
      </c>
      <c r="D292" s="53" t="s">
        <v>3124</v>
      </c>
    </row>
    <row r="293" spans="1:4">
      <c r="A293" s="53" t="s">
        <v>3125</v>
      </c>
      <c r="B293" s="53" t="s">
        <v>3126</v>
      </c>
      <c r="C293" s="53" t="s">
        <v>3354</v>
      </c>
      <c r="D293" s="53" t="s">
        <v>3121</v>
      </c>
    </row>
    <row r="294" spans="1:4">
      <c r="A294" s="53" t="s">
        <v>3125</v>
      </c>
      <c r="B294" s="53" t="s">
        <v>3126</v>
      </c>
      <c r="C294" s="53" t="s">
        <v>1964</v>
      </c>
      <c r="D294" s="53" t="s">
        <v>3122</v>
      </c>
    </row>
    <row r="295" spans="1:4">
      <c r="A295" s="53" t="s">
        <v>3125</v>
      </c>
      <c r="B295" s="53" t="s">
        <v>3126</v>
      </c>
      <c r="C295" s="53" t="s">
        <v>1965</v>
      </c>
      <c r="D295" s="53" t="s">
        <v>1441</v>
      </c>
    </row>
    <row r="296" spans="1:4">
      <c r="A296" s="53" t="s">
        <v>3125</v>
      </c>
      <c r="B296" s="53" t="s">
        <v>3126</v>
      </c>
      <c r="C296" s="53" t="s">
        <v>1966</v>
      </c>
      <c r="D296" s="53" t="s">
        <v>1442</v>
      </c>
    </row>
    <row r="297" spans="1:4">
      <c r="A297" s="53" t="s">
        <v>3125</v>
      </c>
      <c r="B297" s="53" t="s">
        <v>3126</v>
      </c>
      <c r="C297" s="53" t="s">
        <v>1967</v>
      </c>
      <c r="D297" s="53" t="s">
        <v>1443</v>
      </c>
    </row>
    <row r="298" spans="1:4">
      <c r="A298" s="53" t="s">
        <v>3125</v>
      </c>
      <c r="B298" s="53" t="s">
        <v>3126</v>
      </c>
      <c r="C298" s="53" t="s">
        <v>1968</v>
      </c>
      <c r="D298" s="53" t="s">
        <v>1444</v>
      </c>
    </row>
    <row r="299" spans="1:4">
      <c r="A299" s="53" t="s">
        <v>1445</v>
      </c>
      <c r="B299" s="53" t="s">
        <v>2797</v>
      </c>
      <c r="C299" s="53" t="s">
        <v>3354</v>
      </c>
      <c r="D299" s="53" t="s">
        <v>2798</v>
      </c>
    </row>
    <row r="300" spans="1:4">
      <c r="A300" s="53" t="s">
        <v>1445</v>
      </c>
      <c r="B300" s="53" t="s">
        <v>2797</v>
      </c>
      <c r="C300" s="53" t="s">
        <v>1964</v>
      </c>
      <c r="D300" s="53" t="s">
        <v>2799</v>
      </c>
    </row>
    <row r="301" spans="1:4">
      <c r="A301" s="53" t="s">
        <v>1445</v>
      </c>
      <c r="B301" s="53" t="s">
        <v>2797</v>
      </c>
      <c r="C301" s="53" t="s">
        <v>1965</v>
      </c>
      <c r="D301" s="53" t="s">
        <v>2800</v>
      </c>
    </row>
    <row r="302" spans="1:4">
      <c r="A302" s="53" t="s">
        <v>2801</v>
      </c>
      <c r="B302" s="53" t="s">
        <v>1236</v>
      </c>
      <c r="C302" s="53" t="s">
        <v>3354</v>
      </c>
      <c r="D302" s="53" t="s">
        <v>1237</v>
      </c>
    </row>
    <row r="303" spans="1:4">
      <c r="A303" s="53" t="s">
        <v>2801</v>
      </c>
      <c r="B303" s="53" t="s">
        <v>1236</v>
      </c>
      <c r="C303" s="53" t="s">
        <v>1964</v>
      </c>
      <c r="D303" s="53" t="s">
        <v>1238</v>
      </c>
    </row>
    <row r="304" spans="1:4">
      <c r="A304" s="53" t="s">
        <v>2801</v>
      </c>
      <c r="B304" s="53" t="s">
        <v>1236</v>
      </c>
      <c r="C304" s="53" t="s">
        <v>1965</v>
      </c>
      <c r="D304" s="53" t="s">
        <v>1239</v>
      </c>
    </row>
    <row r="305" spans="1:4">
      <c r="A305" s="53" t="s">
        <v>2801</v>
      </c>
      <c r="B305" s="53" t="s">
        <v>1236</v>
      </c>
      <c r="C305" s="53" t="s">
        <v>1966</v>
      </c>
      <c r="D305" s="53" t="s">
        <v>3281</v>
      </c>
    </row>
    <row r="306" spans="1:4">
      <c r="A306" s="53" t="s">
        <v>2801</v>
      </c>
      <c r="B306" s="53" t="s">
        <v>1236</v>
      </c>
      <c r="C306" s="53" t="s">
        <v>1967</v>
      </c>
      <c r="D306" s="53" t="s">
        <v>3282</v>
      </c>
    </row>
    <row r="307" spans="1:4">
      <c r="A307" s="53" t="s">
        <v>2801</v>
      </c>
      <c r="B307" s="53" t="s">
        <v>1236</v>
      </c>
      <c r="C307" s="53" t="s">
        <v>1968</v>
      </c>
      <c r="D307" s="53" t="s">
        <v>3283</v>
      </c>
    </row>
    <row r="308" spans="1:4">
      <c r="A308" s="53" t="s">
        <v>2801</v>
      </c>
      <c r="B308" s="53" t="s">
        <v>1236</v>
      </c>
      <c r="C308" s="53" t="s">
        <v>1969</v>
      </c>
      <c r="D308" s="53" t="s">
        <v>3284</v>
      </c>
    </row>
    <row r="309" spans="1:4">
      <c r="A309" s="53" t="s">
        <v>2801</v>
      </c>
      <c r="B309" s="53" t="s">
        <v>1236</v>
      </c>
      <c r="C309" s="53" t="s">
        <v>1970</v>
      </c>
      <c r="D309" s="53" t="s">
        <v>4001</v>
      </c>
    </row>
    <row r="310" spans="1:4">
      <c r="A310" s="53" t="s">
        <v>2801</v>
      </c>
      <c r="B310" s="53" t="s">
        <v>1236</v>
      </c>
      <c r="C310" s="53" t="s">
        <v>1971</v>
      </c>
      <c r="D310" s="53" t="s">
        <v>3106</v>
      </c>
    </row>
    <row r="311" spans="1:4">
      <c r="A311" s="53" t="s">
        <v>2801</v>
      </c>
      <c r="B311" s="53" t="s">
        <v>1236</v>
      </c>
      <c r="C311" s="53" t="s">
        <v>1972</v>
      </c>
      <c r="D311" s="53" t="s">
        <v>3107</v>
      </c>
    </row>
    <row r="312" spans="1:4">
      <c r="A312" s="53" t="s">
        <v>3108</v>
      </c>
      <c r="B312" s="53" t="s">
        <v>2534</v>
      </c>
      <c r="C312" s="53" t="s">
        <v>3354</v>
      </c>
      <c r="D312" s="53" t="s">
        <v>2535</v>
      </c>
    </row>
    <row r="313" spans="1:4">
      <c r="A313" s="53" t="s">
        <v>3108</v>
      </c>
      <c r="B313" s="53" t="s">
        <v>2534</v>
      </c>
      <c r="C313" s="53" t="s">
        <v>1964</v>
      </c>
      <c r="D313" s="53" t="s">
        <v>2536</v>
      </c>
    </row>
    <row r="314" spans="1:4">
      <c r="A314" s="53" t="s">
        <v>3108</v>
      </c>
      <c r="B314" s="53" t="s">
        <v>2534</v>
      </c>
      <c r="C314" s="53" t="s">
        <v>1965</v>
      </c>
      <c r="D314" s="53" t="s">
        <v>2537</v>
      </c>
    </row>
    <row r="315" spans="1:4">
      <c r="A315" s="53" t="s">
        <v>3108</v>
      </c>
      <c r="B315" s="53" t="s">
        <v>2534</v>
      </c>
      <c r="C315" s="53" t="s">
        <v>1966</v>
      </c>
      <c r="D315" s="53" t="s">
        <v>986</v>
      </c>
    </row>
    <row r="316" spans="1:4">
      <c r="A316" s="53" t="s">
        <v>3108</v>
      </c>
      <c r="B316" s="53" t="s">
        <v>2534</v>
      </c>
      <c r="C316" s="53" t="s">
        <v>1967</v>
      </c>
      <c r="D316" s="53" t="s">
        <v>987</v>
      </c>
    </row>
    <row r="317" spans="1:4">
      <c r="A317" s="53" t="s">
        <v>3108</v>
      </c>
      <c r="B317" s="53" t="s">
        <v>2534</v>
      </c>
      <c r="C317" s="53" t="s">
        <v>1968</v>
      </c>
      <c r="D317" s="53" t="s">
        <v>988</v>
      </c>
    </row>
    <row r="318" spans="1:4">
      <c r="A318" s="53" t="s">
        <v>3108</v>
      </c>
      <c r="B318" s="53" t="s">
        <v>2534</v>
      </c>
      <c r="C318" s="53" t="s">
        <v>1969</v>
      </c>
      <c r="D318" s="53" t="s">
        <v>1123</v>
      </c>
    </row>
    <row r="319" spans="1:4">
      <c r="A319" s="53" t="s">
        <v>3108</v>
      </c>
      <c r="B319" s="53" t="s">
        <v>2534</v>
      </c>
      <c r="C319" s="53" t="s">
        <v>1970</v>
      </c>
      <c r="D319" s="53" t="s">
        <v>404</v>
      </c>
    </row>
    <row r="320" spans="1:4">
      <c r="A320" s="53" t="s">
        <v>3108</v>
      </c>
      <c r="B320" s="53" t="s">
        <v>2534</v>
      </c>
      <c r="C320" s="53" t="s">
        <v>1971</v>
      </c>
      <c r="D320" s="53" t="s">
        <v>405</v>
      </c>
    </row>
    <row r="321" spans="1:4">
      <c r="A321" s="53" t="s">
        <v>3108</v>
      </c>
      <c r="B321" s="53" t="s">
        <v>2534</v>
      </c>
      <c r="C321" s="53" t="s">
        <v>1972</v>
      </c>
      <c r="D321" s="53" t="s">
        <v>406</v>
      </c>
    </row>
    <row r="322" spans="1:4">
      <c r="A322" s="53" t="s">
        <v>3108</v>
      </c>
      <c r="B322" s="53" t="s">
        <v>2534</v>
      </c>
      <c r="C322" s="53" t="s">
        <v>1973</v>
      </c>
      <c r="D322" s="53" t="s">
        <v>407</v>
      </c>
    </row>
    <row r="323" spans="1:4">
      <c r="A323" s="53" t="s">
        <v>3108</v>
      </c>
      <c r="B323" s="53" t="s">
        <v>2534</v>
      </c>
      <c r="C323" s="53" t="s">
        <v>1974</v>
      </c>
      <c r="D323" s="53" t="s">
        <v>408</v>
      </c>
    </row>
    <row r="324" spans="1:4">
      <c r="A324" s="53" t="s">
        <v>3108</v>
      </c>
      <c r="B324" s="53" t="s">
        <v>2534</v>
      </c>
      <c r="C324" s="53" t="s">
        <v>1975</v>
      </c>
      <c r="D324" s="53" t="s">
        <v>409</v>
      </c>
    </row>
    <row r="325" spans="1:4">
      <c r="A325" s="53" t="s">
        <v>3108</v>
      </c>
      <c r="B325" s="53" t="s">
        <v>2534</v>
      </c>
      <c r="C325" s="53" t="s">
        <v>1976</v>
      </c>
      <c r="D325" s="53" t="s">
        <v>410</v>
      </c>
    </row>
    <row r="326" spans="1:4">
      <c r="A326" s="53" t="s">
        <v>3108</v>
      </c>
      <c r="B326" s="53" t="s">
        <v>2534</v>
      </c>
      <c r="C326" s="53" t="s">
        <v>1977</v>
      </c>
      <c r="D326" s="53" t="s">
        <v>583</v>
      </c>
    </row>
    <row r="327" spans="1:4">
      <c r="A327" s="53" t="s">
        <v>3108</v>
      </c>
      <c r="B327" s="53" t="s">
        <v>2534</v>
      </c>
      <c r="C327" s="53" t="s">
        <v>1978</v>
      </c>
      <c r="D327" s="53" t="s">
        <v>584</v>
      </c>
    </row>
    <row r="328" spans="1:4">
      <c r="A328" s="53" t="s">
        <v>3108</v>
      </c>
      <c r="B328" s="53" t="s">
        <v>2534</v>
      </c>
      <c r="C328" s="53" t="s">
        <v>1979</v>
      </c>
      <c r="D328" s="53" t="s">
        <v>4226</v>
      </c>
    </row>
    <row r="329" spans="1:4">
      <c r="A329" s="53" t="s">
        <v>3108</v>
      </c>
      <c r="B329" s="53" t="s">
        <v>2534</v>
      </c>
      <c r="C329" s="53" t="s">
        <v>1980</v>
      </c>
      <c r="D329" s="53" t="s">
        <v>4227</v>
      </c>
    </row>
    <row r="330" spans="1:4">
      <c r="A330" s="53" t="s">
        <v>3108</v>
      </c>
      <c r="B330" s="53" t="s">
        <v>2534</v>
      </c>
      <c r="C330" s="53" t="s">
        <v>1981</v>
      </c>
      <c r="D330" s="53" t="s">
        <v>4228</v>
      </c>
    </row>
    <row r="331" spans="1:4">
      <c r="A331" s="53" t="s">
        <v>4229</v>
      </c>
      <c r="B331" s="53" t="s">
        <v>589</v>
      </c>
      <c r="C331" s="53" t="s">
        <v>3354</v>
      </c>
      <c r="D331" s="53" t="s">
        <v>262</v>
      </c>
    </row>
    <row r="332" spans="1:4">
      <c r="A332" s="53" t="s">
        <v>4229</v>
      </c>
      <c r="B332" s="53" t="s">
        <v>589</v>
      </c>
      <c r="C332" s="53" t="s">
        <v>1964</v>
      </c>
      <c r="D332" s="53" t="s">
        <v>1186</v>
      </c>
    </row>
    <row r="333" spans="1:4">
      <c r="A333" s="53" t="s">
        <v>4229</v>
      </c>
      <c r="B333" s="53" t="s">
        <v>589</v>
      </c>
      <c r="C333" s="53" t="s">
        <v>1965</v>
      </c>
      <c r="D333" s="53" t="s">
        <v>411</v>
      </c>
    </row>
    <row r="334" spans="1:4">
      <c r="A334" s="53" t="s">
        <v>4229</v>
      </c>
      <c r="B334" s="53" t="s">
        <v>589</v>
      </c>
      <c r="C334" s="53" t="s">
        <v>1966</v>
      </c>
      <c r="D334" s="53" t="s">
        <v>412</v>
      </c>
    </row>
    <row r="335" spans="1:4">
      <c r="A335" s="53" t="s">
        <v>413</v>
      </c>
      <c r="B335" s="53" t="s">
        <v>414</v>
      </c>
      <c r="C335" s="53" t="s">
        <v>3354</v>
      </c>
      <c r="D335" s="53" t="s">
        <v>415</v>
      </c>
    </row>
    <row r="336" spans="1:4">
      <c r="A336" s="53" t="s">
        <v>413</v>
      </c>
      <c r="B336" s="53" t="s">
        <v>414</v>
      </c>
      <c r="C336" s="53" t="s">
        <v>1964</v>
      </c>
      <c r="D336" s="53" t="s">
        <v>416</v>
      </c>
    </row>
    <row r="337" spans="1:4">
      <c r="A337" s="53" t="s">
        <v>413</v>
      </c>
      <c r="B337" s="53" t="s">
        <v>414</v>
      </c>
      <c r="C337" s="53" t="s">
        <v>1965</v>
      </c>
      <c r="D337" s="53" t="s">
        <v>4349</v>
      </c>
    </row>
    <row r="338" spans="1:4">
      <c r="A338" s="53" t="s">
        <v>413</v>
      </c>
      <c r="B338" s="53" t="s">
        <v>414</v>
      </c>
      <c r="C338" s="53" t="s">
        <v>1966</v>
      </c>
      <c r="D338" s="53" t="s">
        <v>4350</v>
      </c>
    </row>
    <row r="339" spans="1:4">
      <c r="A339" s="53" t="s">
        <v>413</v>
      </c>
      <c r="B339" s="53" t="s">
        <v>414</v>
      </c>
      <c r="C339" s="53" t="s">
        <v>1967</v>
      </c>
      <c r="D339" s="53" t="s">
        <v>4237</v>
      </c>
    </row>
    <row r="340" spans="1:4">
      <c r="A340" s="53" t="s">
        <v>413</v>
      </c>
      <c r="B340" s="53" t="s">
        <v>414</v>
      </c>
      <c r="C340" s="53" t="s">
        <v>1968</v>
      </c>
      <c r="D340" s="53" t="s">
        <v>1141</v>
      </c>
    </row>
    <row r="341" spans="1:4">
      <c r="A341" s="53" t="s">
        <v>413</v>
      </c>
      <c r="B341" s="53" t="s">
        <v>414</v>
      </c>
      <c r="C341" s="53" t="s">
        <v>1969</v>
      </c>
      <c r="D341" s="53" t="s">
        <v>1909</v>
      </c>
    </row>
    <row r="342" spans="1:4">
      <c r="A342" s="53" t="s">
        <v>413</v>
      </c>
      <c r="B342" s="53" t="s">
        <v>414</v>
      </c>
      <c r="C342" s="53" t="s">
        <v>1970</v>
      </c>
      <c r="D342" s="53" t="s">
        <v>1910</v>
      </c>
    </row>
    <row r="343" spans="1:4">
      <c r="A343" s="53" t="s">
        <v>1911</v>
      </c>
      <c r="B343" s="53" t="s">
        <v>1912</v>
      </c>
      <c r="C343" s="53" t="s">
        <v>3354</v>
      </c>
      <c r="D343" s="53" t="s">
        <v>1913</v>
      </c>
    </row>
    <row r="344" spans="1:4">
      <c r="A344" s="53" t="s">
        <v>1911</v>
      </c>
      <c r="B344" s="53" t="s">
        <v>1912</v>
      </c>
      <c r="C344" s="53" t="s">
        <v>1964</v>
      </c>
      <c r="D344" s="53" t="s">
        <v>1914</v>
      </c>
    </row>
    <row r="345" spans="1:4">
      <c r="A345" s="53" t="s">
        <v>1911</v>
      </c>
      <c r="B345" s="53" t="s">
        <v>1912</v>
      </c>
      <c r="C345" s="53" t="s">
        <v>1965</v>
      </c>
      <c r="D345" s="53" t="s">
        <v>1915</v>
      </c>
    </row>
    <row r="346" spans="1:4">
      <c r="A346" s="53" t="s">
        <v>1916</v>
      </c>
      <c r="B346" s="53" t="s">
        <v>1917</v>
      </c>
      <c r="C346" s="53" t="s">
        <v>3354</v>
      </c>
      <c r="D346" s="53" t="s">
        <v>1918</v>
      </c>
    </row>
    <row r="347" spans="1:4">
      <c r="A347" s="53" t="s">
        <v>1916</v>
      </c>
      <c r="B347" s="53" t="s">
        <v>1917</v>
      </c>
      <c r="C347" s="53" t="s">
        <v>1964</v>
      </c>
      <c r="D347" s="53" t="s">
        <v>1329</v>
      </c>
    </row>
    <row r="348" spans="1:4">
      <c r="A348" s="53" t="s">
        <v>1916</v>
      </c>
      <c r="B348" s="53" t="s">
        <v>1917</v>
      </c>
      <c r="C348" s="53" t="s">
        <v>1965</v>
      </c>
      <c r="D348" s="53" t="s">
        <v>2788</v>
      </c>
    </row>
    <row r="349" spans="1:4">
      <c r="A349" s="53" t="s">
        <v>1916</v>
      </c>
      <c r="B349" s="53" t="s">
        <v>1917</v>
      </c>
      <c r="C349" s="53" t="s">
        <v>1966</v>
      </c>
      <c r="D349" s="53" t="s">
        <v>3895</v>
      </c>
    </row>
    <row r="350" spans="1:4">
      <c r="A350" s="53" t="s">
        <v>1916</v>
      </c>
      <c r="B350" s="53" t="s">
        <v>1917</v>
      </c>
      <c r="C350" s="53" t="s">
        <v>1967</v>
      </c>
      <c r="D350" s="53" t="s">
        <v>2522</v>
      </c>
    </row>
    <row r="351" spans="1:4">
      <c r="A351" s="53" t="s">
        <v>1916</v>
      </c>
      <c r="B351" s="53" t="s">
        <v>1917</v>
      </c>
      <c r="C351" s="53" t="s">
        <v>1968</v>
      </c>
      <c r="D351" s="53" t="s">
        <v>2523</v>
      </c>
    </row>
    <row r="352" spans="1:4">
      <c r="A352" s="53" t="s">
        <v>1916</v>
      </c>
      <c r="B352" s="53" t="s">
        <v>1917</v>
      </c>
      <c r="C352" s="53" t="s">
        <v>1969</v>
      </c>
      <c r="D352" s="53" t="s">
        <v>2524</v>
      </c>
    </row>
    <row r="353" spans="1:4">
      <c r="A353" s="53" t="s">
        <v>1916</v>
      </c>
      <c r="B353" s="53" t="s">
        <v>1917</v>
      </c>
      <c r="C353" s="53" t="s">
        <v>1970</v>
      </c>
      <c r="D353" s="53" t="s">
        <v>2525</v>
      </c>
    </row>
    <row r="354" spans="1:4">
      <c r="A354" s="53" t="s">
        <v>1916</v>
      </c>
      <c r="B354" s="53" t="s">
        <v>1917</v>
      </c>
      <c r="C354" s="53" t="s">
        <v>1971</v>
      </c>
      <c r="D354" s="53" t="s">
        <v>3975</v>
      </c>
    </row>
    <row r="355" spans="1:4">
      <c r="A355" s="53" t="s">
        <v>3976</v>
      </c>
      <c r="B355" s="53" t="s">
        <v>3977</v>
      </c>
      <c r="C355" s="53" t="s">
        <v>3354</v>
      </c>
      <c r="D355" s="53" t="s">
        <v>3978</v>
      </c>
    </row>
    <row r="356" spans="1:4">
      <c r="A356" s="53" t="s">
        <v>3976</v>
      </c>
      <c r="B356" s="53" t="s">
        <v>3977</v>
      </c>
      <c r="C356" s="53" t="s">
        <v>1964</v>
      </c>
      <c r="D356" s="53" t="s">
        <v>3979</v>
      </c>
    </row>
    <row r="357" spans="1:4">
      <c r="A357" s="53" t="s">
        <v>3976</v>
      </c>
      <c r="B357" s="53" t="s">
        <v>3977</v>
      </c>
      <c r="C357" s="53" t="s">
        <v>1965</v>
      </c>
      <c r="D357" s="53" t="s">
        <v>3980</v>
      </c>
    </row>
    <row r="358" spans="1:4">
      <c r="A358" s="53" t="s">
        <v>3976</v>
      </c>
      <c r="B358" s="53" t="s">
        <v>3977</v>
      </c>
      <c r="C358" s="53" t="s">
        <v>1966</v>
      </c>
      <c r="D358" s="53" t="s">
        <v>3885</v>
      </c>
    </row>
    <row r="359" spans="1:4">
      <c r="A359" s="53" t="s">
        <v>3976</v>
      </c>
      <c r="B359" s="53" t="s">
        <v>3977</v>
      </c>
      <c r="C359" s="53" t="s">
        <v>1967</v>
      </c>
      <c r="D359" s="53" t="s">
        <v>658</v>
      </c>
    </row>
    <row r="360" spans="1:4">
      <c r="A360" s="53" t="s">
        <v>3976</v>
      </c>
      <c r="B360" s="53" t="s">
        <v>3977</v>
      </c>
      <c r="C360" s="53" t="s">
        <v>1968</v>
      </c>
      <c r="D360" s="53" t="s">
        <v>4314</v>
      </c>
    </row>
    <row r="361" spans="1:4">
      <c r="A361" s="53" t="s">
        <v>3976</v>
      </c>
      <c r="B361" s="53" t="s">
        <v>3977</v>
      </c>
      <c r="C361" s="53" t="s">
        <v>1969</v>
      </c>
      <c r="D361" s="53" t="s">
        <v>2747</v>
      </c>
    </row>
    <row r="362" spans="1:4">
      <c r="A362" s="53" t="s">
        <v>1781</v>
      </c>
      <c r="B362" s="53" t="s">
        <v>1782</v>
      </c>
      <c r="C362" s="53" t="s">
        <v>3354</v>
      </c>
      <c r="D362" s="53" t="s">
        <v>1783</v>
      </c>
    </row>
    <row r="363" spans="1:4">
      <c r="A363" s="53" t="s">
        <v>1781</v>
      </c>
      <c r="B363" s="53" t="s">
        <v>1782</v>
      </c>
      <c r="C363" s="53" t="s">
        <v>1964</v>
      </c>
      <c r="D363" s="53" t="s">
        <v>3165</v>
      </c>
    </row>
    <row r="364" spans="1:4">
      <c r="A364" s="53" t="s">
        <v>1781</v>
      </c>
      <c r="B364" s="53" t="s">
        <v>1782</v>
      </c>
      <c r="C364" s="53" t="s">
        <v>1965</v>
      </c>
      <c r="D364" s="53" t="s">
        <v>1120</v>
      </c>
    </row>
    <row r="365" spans="1:4">
      <c r="A365" s="53" t="s">
        <v>1781</v>
      </c>
      <c r="B365" s="53" t="s">
        <v>1782</v>
      </c>
      <c r="C365" s="53" t="s">
        <v>1966</v>
      </c>
      <c r="D365" s="53" t="s">
        <v>978</v>
      </c>
    </row>
    <row r="366" spans="1:4">
      <c r="A366" s="53" t="s">
        <v>1781</v>
      </c>
      <c r="B366" s="53" t="s">
        <v>1782</v>
      </c>
      <c r="C366" s="53" t="s">
        <v>1967</v>
      </c>
      <c r="D366" s="53" t="s">
        <v>979</v>
      </c>
    </row>
    <row r="367" spans="1:4">
      <c r="A367" s="53" t="s">
        <v>1781</v>
      </c>
      <c r="B367" s="53" t="s">
        <v>1782</v>
      </c>
      <c r="C367" s="53" t="s">
        <v>1968</v>
      </c>
      <c r="D367" s="53" t="s">
        <v>980</v>
      </c>
    </row>
    <row r="368" spans="1:4">
      <c r="A368" s="53" t="s">
        <v>1781</v>
      </c>
      <c r="B368" s="53" t="s">
        <v>1782</v>
      </c>
      <c r="C368" s="53" t="s">
        <v>1969</v>
      </c>
      <c r="D368" s="53" t="s">
        <v>981</v>
      </c>
    </row>
    <row r="369" spans="1:4">
      <c r="A369" s="53" t="s">
        <v>1781</v>
      </c>
      <c r="B369" s="53" t="s">
        <v>1782</v>
      </c>
      <c r="C369" s="53" t="s">
        <v>1970</v>
      </c>
      <c r="D369" s="53" t="s">
        <v>982</v>
      </c>
    </row>
    <row r="370" spans="1:4">
      <c r="A370" s="53" t="s">
        <v>1781</v>
      </c>
      <c r="B370" s="53" t="s">
        <v>1782</v>
      </c>
      <c r="C370" s="53" t="s">
        <v>1971</v>
      </c>
      <c r="D370" s="53" t="s">
        <v>983</v>
      </c>
    </row>
    <row r="371" spans="1:4">
      <c r="A371" s="53" t="s">
        <v>1781</v>
      </c>
      <c r="B371" s="53" t="s">
        <v>1782</v>
      </c>
      <c r="C371" s="53" t="s">
        <v>1972</v>
      </c>
      <c r="D371" s="53" t="s">
        <v>984</v>
      </c>
    </row>
    <row r="372" spans="1:4">
      <c r="A372" s="53" t="s">
        <v>1781</v>
      </c>
      <c r="B372" s="53" t="s">
        <v>1782</v>
      </c>
      <c r="C372" s="53" t="s">
        <v>1973</v>
      </c>
      <c r="D372" s="53" t="s">
        <v>985</v>
      </c>
    </row>
    <row r="373" spans="1:4">
      <c r="A373" s="53" t="s">
        <v>1781</v>
      </c>
      <c r="B373" s="53" t="s">
        <v>1782</v>
      </c>
      <c r="C373" s="53" t="s">
        <v>1974</v>
      </c>
      <c r="D373" s="53" t="s">
        <v>3074</v>
      </c>
    </row>
    <row r="374" spans="1:4">
      <c r="A374" s="53" t="s">
        <v>1781</v>
      </c>
      <c r="B374" s="53" t="s">
        <v>1782</v>
      </c>
      <c r="C374" s="53" t="s">
        <v>1975</v>
      </c>
      <c r="D374" s="53" t="s">
        <v>1368</v>
      </c>
    </row>
    <row r="375" spans="1:4">
      <c r="A375" s="53" t="s">
        <v>1781</v>
      </c>
      <c r="B375" s="53" t="s">
        <v>1782</v>
      </c>
      <c r="C375" s="53" t="s">
        <v>1976</v>
      </c>
      <c r="D375" s="53" t="s">
        <v>1369</v>
      </c>
    </row>
    <row r="376" spans="1:4">
      <c r="A376" s="53" t="s">
        <v>1781</v>
      </c>
      <c r="B376" s="53" t="s">
        <v>1782</v>
      </c>
      <c r="C376" s="53" t="s">
        <v>1977</v>
      </c>
      <c r="D376" s="53" t="s">
        <v>1370</v>
      </c>
    </row>
    <row r="377" spans="1:4">
      <c r="A377" s="53" t="s">
        <v>1781</v>
      </c>
      <c r="B377" s="53" t="s">
        <v>1782</v>
      </c>
      <c r="C377" s="53" t="s">
        <v>1978</v>
      </c>
      <c r="D377" s="53" t="s">
        <v>1371</v>
      </c>
    </row>
    <row r="378" spans="1:4">
      <c r="A378" s="53" t="s">
        <v>1781</v>
      </c>
      <c r="B378" s="53" t="s">
        <v>1782</v>
      </c>
      <c r="C378" s="53" t="s">
        <v>1979</v>
      </c>
      <c r="D378" s="53" t="s">
        <v>443</v>
      </c>
    </row>
    <row r="379" spans="1:4">
      <c r="A379" s="53" t="s">
        <v>444</v>
      </c>
      <c r="B379" s="53" t="s">
        <v>445</v>
      </c>
      <c r="C379" s="53" t="s">
        <v>3354</v>
      </c>
      <c r="D379" s="53" t="s">
        <v>446</v>
      </c>
    </row>
    <row r="380" spans="1:4">
      <c r="A380" s="53" t="s">
        <v>444</v>
      </c>
      <c r="B380" s="53" t="s">
        <v>445</v>
      </c>
      <c r="C380" s="53" t="s">
        <v>1964</v>
      </c>
      <c r="D380" s="53" t="s">
        <v>447</v>
      </c>
    </row>
    <row r="381" spans="1:4">
      <c r="A381" s="53" t="s">
        <v>444</v>
      </c>
      <c r="B381" s="53" t="s">
        <v>445</v>
      </c>
      <c r="C381" s="53" t="s">
        <v>1965</v>
      </c>
      <c r="D381" s="53" t="s">
        <v>3011</v>
      </c>
    </row>
    <row r="382" spans="1:4">
      <c r="A382" s="53" t="s">
        <v>444</v>
      </c>
      <c r="B382" s="53" t="s">
        <v>445</v>
      </c>
      <c r="C382" s="53" t="s">
        <v>1966</v>
      </c>
      <c r="D382" s="53" t="s">
        <v>3874</v>
      </c>
    </row>
    <row r="383" spans="1:4">
      <c r="A383" s="53" t="s">
        <v>444</v>
      </c>
      <c r="B383" s="53" t="s">
        <v>445</v>
      </c>
      <c r="C383" s="53" t="s">
        <v>1967</v>
      </c>
      <c r="D383" s="53" t="s">
        <v>3875</v>
      </c>
    </row>
    <row r="384" spans="1:4">
      <c r="A384" s="53" t="s">
        <v>444</v>
      </c>
      <c r="B384" s="53" t="s">
        <v>445</v>
      </c>
      <c r="C384" s="53" t="s">
        <v>1968</v>
      </c>
      <c r="D384" s="53" t="s">
        <v>3876</v>
      </c>
    </row>
    <row r="385" spans="1:4">
      <c r="A385" s="53" t="s">
        <v>444</v>
      </c>
      <c r="B385" s="53" t="s">
        <v>445</v>
      </c>
      <c r="C385" s="53" t="s">
        <v>1969</v>
      </c>
      <c r="D385" s="53" t="s">
        <v>3877</v>
      </c>
    </row>
    <row r="386" spans="1:4">
      <c r="A386" s="53" t="s">
        <v>444</v>
      </c>
      <c r="B386" s="53" t="s">
        <v>445</v>
      </c>
      <c r="C386" s="53" t="s">
        <v>1970</v>
      </c>
      <c r="D386" s="53" t="s">
        <v>3878</v>
      </c>
    </row>
    <row r="387" spans="1:4">
      <c r="A387" s="53" t="s">
        <v>3879</v>
      </c>
      <c r="B387" s="53" t="s">
        <v>3880</v>
      </c>
      <c r="C387" s="53" t="s">
        <v>3354</v>
      </c>
      <c r="D387" s="53" t="s">
        <v>1201</v>
      </c>
    </row>
    <row r="388" spans="1:4">
      <c r="A388" s="53" t="s">
        <v>3879</v>
      </c>
      <c r="B388" s="53" t="s">
        <v>3880</v>
      </c>
      <c r="C388" s="53" t="s">
        <v>1964</v>
      </c>
      <c r="D388" s="53" t="s">
        <v>1202</v>
      </c>
    </row>
    <row r="389" spans="1:4">
      <c r="A389" s="53" t="s">
        <v>3879</v>
      </c>
      <c r="B389" s="53" t="s">
        <v>3880</v>
      </c>
      <c r="C389" s="53" t="s">
        <v>1965</v>
      </c>
      <c r="D389" s="53" t="s">
        <v>277</v>
      </c>
    </row>
    <row r="390" spans="1:4">
      <c r="A390" s="53" t="s">
        <v>3879</v>
      </c>
      <c r="B390" s="53" t="s">
        <v>3880</v>
      </c>
      <c r="C390" s="53" t="s">
        <v>1966</v>
      </c>
      <c r="D390" s="53" t="s">
        <v>293</v>
      </c>
    </row>
    <row r="391" spans="1:4">
      <c r="A391" s="53" t="s">
        <v>3879</v>
      </c>
      <c r="B391" s="53" t="s">
        <v>3880</v>
      </c>
      <c r="C391" s="53" t="s">
        <v>1967</v>
      </c>
      <c r="D391" s="53" t="s">
        <v>2014</v>
      </c>
    </row>
    <row r="392" spans="1:4">
      <c r="A392" s="53" t="s">
        <v>2015</v>
      </c>
      <c r="B392" s="53" t="s">
        <v>2016</v>
      </c>
      <c r="C392" s="53" t="s">
        <v>3354</v>
      </c>
      <c r="D392" s="53" t="s">
        <v>2017</v>
      </c>
    </row>
    <row r="393" spans="1:4">
      <c r="A393" s="53" t="s">
        <v>2015</v>
      </c>
      <c r="B393" s="53" t="s">
        <v>2016</v>
      </c>
      <c r="C393" s="53" t="s">
        <v>1964</v>
      </c>
      <c r="D393" s="53" t="s">
        <v>66</v>
      </c>
    </row>
    <row r="394" spans="1:4">
      <c r="A394" s="53" t="s">
        <v>2015</v>
      </c>
      <c r="B394" s="53" t="s">
        <v>2016</v>
      </c>
      <c r="C394" s="53" t="s">
        <v>1965</v>
      </c>
      <c r="D394" s="53" t="s">
        <v>2842</v>
      </c>
    </row>
    <row r="395" spans="1:4">
      <c r="A395" s="53" t="s">
        <v>2015</v>
      </c>
      <c r="B395" s="53" t="s">
        <v>2016</v>
      </c>
      <c r="C395" s="53" t="s">
        <v>1966</v>
      </c>
      <c r="D395" s="53" t="s">
        <v>1509</v>
      </c>
    </row>
    <row r="396" spans="1:4">
      <c r="A396" s="53" t="s">
        <v>2015</v>
      </c>
      <c r="B396" s="53" t="s">
        <v>2016</v>
      </c>
      <c r="C396" s="53" t="s">
        <v>1967</v>
      </c>
      <c r="D396" s="53" t="s">
        <v>1510</v>
      </c>
    </row>
    <row r="397" spans="1:4">
      <c r="A397" s="53" t="s">
        <v>2015</v>
      </c>
      <c r="B397" s="53" t="s">
        <v>2016</v>
      </c>
      <c r="C397" s="53" t="s">
        <v>1968</v>
      </c>
      <c r="D397" s="53" t="s">
        <v>1511</v>
      </c>
    </row>
    <row r="398" spans="1:4">
      <c r="A398" s="53" t="s">
        <v>2015</v>
      </c>
      <c r="B398" s="53" t="s">
        <v>2016</v>
      </c>
      <c r="C398" s="53" t="s">
        <v>1969</v>
      </c>
      <c r="D398" s="53" t="s">
        <v>1512</v>
      </c>
    </row>
    <row r="399" spans="1:4">
      <c r="A399" s="53" t="s">
        <v>2015</v>
      </c>
      <c r="B399" s="53" t="s">
        <v>2016</v>
      </c>
      <c r="C399" s="53" t="s">
        <v>1970</v>
      </c>
      <c r="D399" s="53" t="s">
        <v>1513</v>
      </c>
    </row>
    <row r="400" spans="1:4">
      <c r="A400" s="53" t="s">
        <v>2015</v>
      </c>
      <c r="B400" s="53" t="s">
        <v>2016</v>
      </c>
      <c r="C400" s="53" t="s">
        <v>1971</v>
      </c>
      <c r="D400" s="53" t="s">
        <v>1562</v>
      </c>
    </row>
    <row r="401" spans="1:4">
      <c r="A401" s="53" t="s">
        <v>2057</v>
      </c>
      <c r="B401" s="53" t="s">
        <v>2058</v>
      </c>
      <c r="C401" s="53" t="s">
        <v>3354</v>
      </c>
      <c r="D401" s="53" t="s">
        <v>1619</v>
      </c>
    </row>
    <row r="402" spans="1:4">
      <c r="A402" s="53" t="s">
        <v>2057</v>
      </c>
      <c r="B402" s="53" t="s">
        <v>2058</v>
      </c>
      <c r="C402" s="53" t="s">
        <v>1964</v>
      </c>
      <c r="D402" s="53" t="s">
        <v>1620</v>
      </c>
    </row>
    <row r="403" spans="1:4">
      <c r="A403" s="53" t="s">
        <v>2057</v>
      </c>
      <c r="B403" s="53" t="s">
        <v>2058</v>
      </c>
      <c r="C403" s="53" t="s">
        <v>1965</v>
      </c>
      <c r="D403" s="53" t="s">
        <v>1621</v>
      </c>
    </row>
    <row r="404" spans="1:4">
      <c r="A404" s="53" t="s">
        <v>2057</v>
      </c>
      <c r="B404" s="53" t="s">
        <v>2058</v>
      </c>
      <c r="C404" s="53" t="s">
        <v>1966</v>
      </c>
      <c r="D404" s="53" t="s">
        <v>1622</v>
      </c>
    </row>
    <row r="405" spans="1:4">
      <c r="A405" s="53" t="s">
        <v>2057</v>
      </c>
      <c r="B405" s="53" t="s">
        <v>2058</v>
      </c>
      <c r="C405" s="53" t="s">
        <v>1967</v>
      </c>
      <c r="D405" s="53" t="s">
        <v>1638</v>
      </c>
    </row>
    <row r="406" spans="1:4">
      <c r="A406" s="53" t="s">
        <v>2057</v>
      </c>
      <c r="B406" s="53" t="s">
        <v>2058</v>
      </c>
      <c r="C406" s="53" t="s">
        <v>1968</v>
      </c>
      <c r="D406" s="53" t="s">
        <v>3091</v>
      </c>
    </row>
    <row r="407" spans="1:4">
      <c r="A407" s="53" t="s">
        <v>2057</v>
      </c>
      <c r="B407" s="53" t="s">
        <v>2058</v>
      </c>
      <c r="C407" s="53" t="s">
        <v>1969</v>
      </c>
      <c r="D407" s="53" t="s">
        <v>3092</v>
      </c>
    </row>
    <row r="408" spans="1:4">
      <c r="A408" s="53" t="s">
        <v>2057</v>
      </c>
      <c r="B408" s="53" t="s">
        <v>2058</v>
      </c>
      <c r="C408" s="53" t="s">
        <v>1970</v>
      </c>
      <c r="D408" s="53" t="s">
        <v>3093</v>
      </c>
    </row>
    <row r="409" spans="1:4">
      <c r="A409" s="53" t="s">
        <v>2057</v>
      </c>
      <c r="B409" s="53" t="s">
        <v>2058</v>
      </c>
      <c r="C409" s="53" t="s">
        <v>1971</v>
      </c>
      <c r="D409" s="53" t="s">
        <v>3094</v>
      </c>
    </row>
    <row r="410" spans="1:4">
      <c r="A410" s="53" t="s">
        <v>2057</v>
      </c>
      <c r="B410" s="53" t="s">
        <v>2058</v>
      </c>
      <c r="C410" s="53" t="s">
        <v>1972</v>
      </c>
      <c r="D410" s="53" t="s">
        <v>1402</v>
      </c>
    </row>
    <row r="411" spans="1:4">
      <c r="A411" s="53" t="s">
        <v>2057</v>
      </c>
      <c r="B411" s="53" t="s">
        <v>2058</v>
      </c>
      <c r="C411" s="53" t="s">
        <v>1973</v>
      </c>
      <c r="D411" s="53" t="s">
        <v>1403</v>
      </c>
    </row>
    <row r="412" spans="1:4">
      <c r="A412" s="53" t="s">
        <v>2057</v>
      </c>
      <c r="B412" s="53" t="s">
        <v>2058</v>
      </c>
      <c r="C412" s="53" t="s">
        <v>1974</v>
      </c>
      <c r="D412" s="53" t="s">
        <v>4055</v>
      </c>
    </row>
    <row r="413" spans="1:4">
      <c r="A413" s="53" t="s">
        <v>2057</v>
      </c>
      <c r="B413" s="53" t="s">
        <v>2058</v>
      </c>
      <c r="C413" s="53" t="s">
        <v>1975</v>
      </c>
      <c r="D413" s="53" t="s">
        <v>272</v>
      </c>
    </row>
    <row r="414" spans="1:4">
      <c r="A414" s="53" t="s">
        <v>2057</v>
      </c>
      <c r="B414" s="53" t="s">
        <v>2058</v>
      </c>
      <c r="C414" s="53" t="s">
        <v>1976</v>
      </c>
      <c r="D414" s="53" t="s">
        <v>273</v>
      </c>
    </row>
    <row r="415" spans="1:4">
      <c r="A415" s="53" t="s">
        <v>2057</v>
      </c>
      <c r="B415" s="53" t="s">
        <v>2058</v>
      </c>
      <c r="C415" s="53" t="s">
        <v>1977</v>
      </c>
      <c r="D415" s="53" t="s">
        <v>274</v>
      </c>
    </row>
    <row r="416" spans="1:4">
      <c r="A416" s="53" t="s">
        <v>2057</v>
      </c>
      <c r="B416" s="53" t="s">
        <v>2058</v>
      </c>
      <c r="C416" s="53" t="s">
        <v>1978</v>
      </c>
      <c r="D416" s="53" t="s">
        <v>275</v>
      </c>
    </row>
    <row r="417" spans="1:4">
      <c r="A417" s="53" t="s">
        <v>2057</v>
      </c>
      <c r="B417" s="53" t="s">
        <v>2058</v>
      </c>
      <c r="C417" s="53" t="s">
        <v>1979</v>
      </c>
      <c r="D417" s="53" t="s">
        <v>276</v>
      </c>
    </row>
    <row r="418" spans="1:4">
      <c r="A418" s="53" t="s">
        <v>2057</v>
      </c>
      <c r="B418" s="53" t="s">
        <v>2058</v>
      </c>
      <c r="C418" s="53" t="s">
        <v>1980</v>
      </c>
      <c r="D418" s="53" t="s">
        <v>3161</v>
      </c>
    </row>
    <row r="419" spans="1:4">
      <c r="A419" s="53" t="s">
        <v>2057</v>
      </c>
      <c r="B419" s="53" t="s">
        <v>2058</v>
      </c>
      <c r="C419" s="53" t="s">
        <v>1981</v>
      </c>
      <c r="D419" s="53" t="s">
        <v>3162</v>
      </c>
    </row>
    <row r="420" spans="1:4">
      <c r="A420" s="53" t="s">
        <v>3163</v>
      </c>
      <c r="B420" s="53" t="s">
        <v>3221</v>
      </c>
      <c r="C420" s="53" t="s">
        <v>3354</v>
      </c>
      <c r="D420" s="53" t="s">
        <v>1047</v>
      </c>
    </row>
    <row r="421" spans="1:4">
      <c r="A421" s="53" t="s">
        <v>3163</v>
      </c>
      <c r="B421" s="53" t="s">
        <v>3221</v>
      </c>
      <c r="C421" s="53" t="s">
        <v>1964</v>
      </c>
      <c r="D421" s="53" t="s">
        <v>1048</v>
      </c>
    </row>
    <row r="422" spans="1:4">
      <c r="A422" s="53" t="s">
        <v>3163</v>
      </c>
      <c r="B422" s="53" t="s">
        <v>3221</v>
      </c>
      <c r="C422" s="53" t="s">
        <v>1965</v>
      </c>
      <c r="D422" s="53" t="s">
        <v>1049</v>
      </c>
    </row>
    <row r="423" spans="1:4">
      <c r="A423" s="53" t="s">
        <v>3163</v>
      </c>
      <c r="B423" s="53" t="s">
        <v>3221</v>
      </c>
      <c r="C423" s="53" t="s">
        <v>1966</v>
      </c>
      <c r="D423" s="53" t="s">
        <v>1050</v>
      </c>
    </row>
    <row r="424" spans="1:4">
      <c r="A424" s="53" t="s">
        <v>3163</v>
      </c>
      <c r="B424" s="53" t="s">
        <v>3221</v>
      </c>
      <c r="C424" s="53" t="s">
        <v>1967</v>
      </c>
      <c r="D424" s="53" t="s">
        <v>1051</v>
      </c>
    </row>
    <row r="425" spans="1:4">
      <c r="A425" s="53" t="s">
        <v>3163</v>
      </c>
      <c r="B425" s="53" t="s">
        <v>3221</v>
      </c>
      <c r="C425" s="53" t="s">
        <v>1968</v>
      </c>
      <c r="D425" s="53" t="s">
        <v>1052</v>
      </c>
    </row>
    <row r="426" spans="1:4">
      <c r="A426" s="53" t="s">
        <v>3163</v>
      </c>
      <c r="B426" s="53" t="s">
        <v>3221</v>
      </c>
      <c r="C426" s="53" t="s">
        <v>1969</v>
      </c>
      <c r="D426" s="53" t="s">
        <v>1053</v>
      </c>
    </row>
    <row r="427" spans="1:4">
      <c r="A427" s="53" t="s">
        <v>3163</v>
      </c>
      <c r="B427" s="53" t="s">
        <v>3221</v>
      </c>
      <c r="C427" s="53" t="s">
        <v>1970</v>
      </c>
      <c r="D427" s="53" t="s">
        <v>1054</v>
      </c>
    </row>
    <row r="428" spans="1:4">
      <c r="A428" s="53" t="s">
        <v>3163</v>
      </c>
      <c r="B428" s="53" t="s">
        <v>3221</v>
      </c>
      <c r="C428" s="53" t="s">
        <v>1971</v>
      </c>
      <c r="D428" s="53" t="s">
        <v>1055</v>
      </c>
    </row>
    <row r="429" spans="1:4">
      <c r="A429" s="53" t="s">
        <v>3163</v>
      </c>
      <c r="B429" s="53" t="s">
        <v>3221</v>
      </c>
      <c r="C429" s="53" t="s">
        <v>1972</v>
      </c>
      <c r="D429" s="53" t="s">
        <v>780</v>
      </c>
    </row>
    <row r="430" spans="1:4">
      <c r="A430" s="53" t="s">
        <v>3163</v>
      </c>
      <c r="B430" s="53" t="s">
        <v>3221</v>
      </c>
      <c r="C430" s="53" t="s">
        <v>1973</v>
      </c>
      <c r="D430" s="53" t="s">
        <v>1262</v>
      </c>
    </row>
    <row r="431" spans="1:4">
      <c r="A431" s="53" t="s">
        <v>3163</v>
      </c>
      <c r="B431" s="53" t="s">
        <v>3221</v>
      </c>
      <c r="C431" s="53" t="s">
        <v>1974</v>
      </c>
      <c r="D431" s="53" t="s">
        <v>1263</v>
      </c>
    </row>
    <row r="432" spans="1:4">
      <c r="A432" s="53" t="s">
        <v>3163</v>
      </c>
      <c r="B432" s="53" t="s">
        <v>3221</v>
      </c>
      <c r="C432" s="53" t="s">
        <v>1975</v>
      </c>
      <c r="D432" s="53" t="s">
        <v>1264</v>
      </c>
    </row>
    <row r="433" spans="1:4">
      <c r="A433" s="53" t="s">
        <v>3163</v>
      </c>
      <c r="B433" s="53" t="s">
        <v>3221</v>
      </c>
      <c r="C433" s="53" t="s">
        <v>1976</v>
      </c>
      <c r="D433" s="53" t="s">
        <v>1265</v>
      </c>
    </row>
    <row r="434" spans="1:4">
      <c r="A434" s="53" t="s">
        <v>3163</v>
      </c>
      <c r="B434" s="53" t="s">
        <v>3221</v>
      </c>
      <c r="C434" s="53" t="s">
        <v>1977</v>
      </c>
      <c r="D434" s="53" t="s">
        <v>1266</v>
      </c>
    </row>
    <row r="435" spans="1:4">
      <c r="A435" s="53" t="s">
        <v>3163</v>
      </c>
      <c r="B435" s="53" t="s">
        <v>3221</v>
      </c>
      <c r="C435" s="53" t="s">
        <v>1978</v>
      </c>
      <c r="D435" s="53" t="s">
        <v>3200</v>
      </c>
    </row>
    <row r="436" spans="1:4">
      <c r="A436" s="53" t="s">
        <v>3163</v>
      </c>
      <c r="B436" s="53" t="s">
        <v>3221</v>
      </c>
      <c r="C436" s="53" t="s">
        <v>1980</v>
      </c>
      <c r="D436" s="53" t="s">
        <v>3201</v>
      </c>
    </row>
    <row r="437" spans="1:4">
      <c r="A437" s="53" t="s">
        <v>3163</v>
      </c>
      <c r="B437" s="53" t="s">
        <v>3221</v>
      </c>
      <c r="C437" s="53" t="s">
        <v>1981</v>
      </c>
      <c r="D437" s="53" t="s">
        <v>3202</v>
      </c>
    </row>
    <row r="438" spans="1:4">
      <c r="A438" s="53" t="s">
        <v>3163</v>
      </c>
      <c r="B438" s="53" t="s">
        <v>3221</v>
      </c>
      <c r="C438" s="53" t="s">
        <v>1982</v>
      </c>
      <c r="D438" s="53" t="s">
        <v>3203</v>
      </c>
    </row>
    <row r="439" spans="1:4">
      <c r="A439" s="53" t="s">
        <v>3163</v>
      </c>
      <c r="B439" s="53" t="s">
        <v>3221</v>
      </c>
      <c r="C439" s="53" t="s">
        <v>4150</v>
      </c>
      <c r="D439" s="53" t="s">
        <v>698</v>
      </c>
    </row>
    <row r="440" spans="1:4">
      <c r="A440" s="53" t="s">
        <v>3163</v>
      </c>
      <c r="B440" s="53" t="s">
        <v>3221</v>
      </c>
      <c r="C440" s="53" t="s">
        <v>4151</v>
      </c>
      <c r="D440" s="53" t="s">
        <v>946</v>
      </c>
    </row>
    <row r="441" spans="1:4">
      <c r="A441" s="53" t="s">
        <v>3163</v>
      </c>
      <c r="B441" s="53" t="s">
        <v>3221</v>
      </c>
      <c r="C441" s="53" t="s">
        <v>4152</v>
      </c>
      <c r="D441" s="53" t="s">
        <v>947</v>
      </c>
    </row>
    <row r="442" spans="1:4">
      <c r="A442" s="53" t="s">
        <v>3163</v>
      </c>
      <c r="B442" s="53" t="s">
        <v>3221</v>
      </c>
      <c r="C442" s="53" t="s">
        <v>4153</v>
      </c>
      <c r="D442" s="53" t="s">
        <v>948</v>
      </c>
    </row>
    <row r="443" spans="1:4">
      <c r="A443" s="53" t="s">
        <v>3163</v>
      </c>
      <c r="B443" s="53" t="s">
        <v>3221</v>
      </c>
      <c r="C443" s="53" t="s">
        <v>4154</v>
      </c>
      <c r="D443" s="53" t="s">
        <v>949</v>
      </c>
    </row>
    <row r="444" spans="1:4">
      <c r="A444" s="53" t="s">
        <v>3163</v>
      </c>
      <c r="B444" s="53" t="s">
        <v>3221</v>
      </c>
      <c r="C444" s="53" t="s">
        <v>4155</v>
      </c>
      <c r="D444" s="53" t="s">
        <v>950</v>
      </c>
    </row>
    <row r="445" spans="1:4">
      <c r="A445" s="53" t="s">
        <v>951</v>
      </c>
      <c r="B445" s="53" t="s">
        <v>952</v>
      </c>
      <c r="C445" s="53" t="s">
        <v>3354</v>
      </c>
      <c r="D445" s="53" t="s">
        <v>103</v>
      </c>
    </row>
    <row r="446" spans="1:4">
      <c r="A446" s="53" t="s">
        <v>951</v>
      </c>
      <c r="B446" s="53" t="s">
        <v>952</v>
      </c>
      <c r="C446" s="53" t="s">
        <v>1964</v>
      </c>
      <c r="D446" s="53" t="s">
        <v>1698</v>
      </c>
    </row>
    <row r="447" spans="1:4">
      <c r="A447" s="53" t="s">
        <v>951</v>
      </c>
      <c r="B447" s="53" t="s">
        <v>952</v>
      </c>
      <c r="C447" s="53" t="s">
        <v>1965</v>
      </c>
      <c r="D447" s="53" t="s">
        <v>4239</v>
      </c>
    </row>
    <row r="448" spans="1:4">
      <c r="A448" s="53" t="s">
        <v>951</v>
      </c>
      <c r="B448" s="53" t="s">
        <v>952</v>
      </c>
      <c r="C448" s="53" t="s">
        <v>1966</v>
      </c>
      <c r="D448" s="53" t="s">
        <v>4247</v>
      </c>
    </row>
    <row r="449" spans="1:4">
      <c r="A449" s="53" t="s">
        <v>951</v>
      </c>
      <c r="B449" s="53" t="s">
        <v>952</v>
      </c>
      <c r="C449" s="53" t="s">
        <v>1967</v>
      </c>
      <c r="D449" s="53" t="s">
        <v>4248</v>
      </c>
    </row>
    <row r="450" spans="1:4" s="161" customFormat="1">
      <c r="A450" s="161" t="s">
        <v>951</v>
      </c>
      <c r="B450" s="161" t="s">
        <v>952</v>
      </c>
      <c r="C450" s="161" t="s">
        <v>1968</v>
      </c>
      <c r="D450" s="161" t="s">
        <v>1881</v>
      </c>
    </row>
    <row r="451" spans="1:4" s="161" customFormat="1">
      <c r="A451" s="161" t="s">
        <v>951</v>
      </c>
      <c r="B451" s="161" t="s">
        <v>952</v>
      </c>
      <c r="C451" s="161" t="s">
        <v>1969</v>
      </c>
      <c r="D451" s="161" t="s">
        <v>1882</v>
      </c>
    </row>
    <row r="452" spans="1:4">
      <c r="A452" s="53" t="s">
        <v>951</v>
      </c>
      <c r="B452" s="53" t="s">
        <v>952</v>
      </c>
      <c r="C452" s="53" t="s">
        <v>1970</v>
      </c>
      <c r="D452" s="53" t="s">
        <v>1883</v>
      </c>
    </row>
    <row r="453" spans="1:4">
      <c r="A453" s="53" t="s">
        <v>951</v>
      </c>
      <c r="B453" s="53" t="s">
        <v>952</v>
      </c>
      <c r="C453" s="53" t="s">
        <v>1971</v>
      </c>
      <c r="D453" s="53" t="s">
        <v>4413</v>
      </c>
    </row>
    <row r="454" spans="1:4">
      <c r="A454" s="53" t="s">
        <v>951</v>
      </c>
      <c r="B454" s="53" t="s">
        <v>952</v>
      </c>
      <c r="C454" s="53" t="s">
        <v>1972</v>
      </c>
      <c r="D454" s="53" t="s">
        <v>183</v>
      </c>
    </row>
    <row r="455" spans="1:4">
      <c r="A455" s="53" t="s">
        <v>951</v>
      </c>
      <c r="B455" s="53" t="s">
        <v>952</v>
      </c>
      <c r="C455" s="53" t="s">
        <v>1973</v>
      </c>
      <c r="D455" s="53" t="s">
        <v>2290</v>
      </c>
    </row>
    <row r="456" spans="1:4">
      <c r="A456" s="53" t="s">
        <v>951</v>
      </c>
      <c r="B456" s="53" t="s">
        <v>952</v>
      </c>
      <c r="C456" s="53" t="s">
        <v>1974</v>
      </c>
      <c r="D456" s="53" t="s">
        <v>2291</v>
      </c>
    </row>
    <row r="457" spans="1:4">
      <c r="A457" s="53" t="s">
        <v>951</v>
      </c>
      <c r="B457" s="53" t="s">
        <v>952</v>
      </c>
      <c r="C457" s="53" t="s">
        <v>1975</v>
      </c>
      <c r="D457" s="53" t="s">
        <v>4085</v>
      </c>
    </row>
    <row r="458" spans="1:4">
      <c r="A458" s="53" t="s">
        <v>951</v>
      </c>
      <c r="B458" s="53" t="s">
        <v>952</v>
      </c>
      <c r="C458" s="53" t="s">
        <v>1976</v>
      </c>
      <c r="D458" s="53" t="s">
        <v>2349</v>
      </c>
    </row>
    <row r="459" spans="1:4">
      <c r="A459" s="53" t="s">
        <v>951</v>
      </c>
      <c r="B459" s="53" t="s">
        <v>952</v>
      </c>
      <c r="C459" s="53" t="s">
        <v>1977</v>
      </c>
      <c r="D459" s="53" t="s">
        <v>2350</v>
      </c>
    </row>
    <row r="460" spans="1:4">
      <c r="A460" s="53" t="s">
        <v>951</v>
      </c>
      <c r="B460" s="53" t="s">
        <v>952</v>
      </c>
      <c r="C460" s="53" t="s">
        <v>1978</v>
      </c>
      <c r="D460" s="53" t="s">
        <v>2351</v>
      </c>
    </row>
    <row r="461" spans="1:4">
      <c r="A461" s="53" t="s">
        <v>951</v>
      </c>
      <c r="B461" s="53" t="s">
        <v>952</v>
      </c>
      <c r="C461" s="53" t="s">
        <v>1979</v>
      </c>
      <c r="D461" s="53" t="s">
        <v>2352</v>
      </c>
    </row>
    <row r="462" spans="1:4">
      <c r="A462" s="53" t="s">
        <v>951</v>
      </c>
      <c r="B462" s="53" t="s">
        <v>952</v>
      </c>
      <c r="C462" s="53" t="s">
        <v>1980</v>
      </c>
      <c r="D462" s="53" t="s">
        <v>719</v>
      </c>
    </row>
    <row r="463" spans="1:4">
      <c r="A463" s="53" t="s">
        <v>951</v>
      </c>
      <c r="B463" s="53" t="s">
        <v>952</v>
      </c>
      <c r="C463" s="53" t="s">
        <v>1981</v>
      </c>
      <c r="D463" s="53" t="s">
        <v>1739</v>
      </c>
    </row>
    <row r="464" spans="1:4">
      <c r="A464" s="53" t="s">
        <v>951</v>
      </c>
      <c r="B464" s="53" t="s">
        <v>952</v>
      </c>
      <c r="C464" s="53" t="s">
        <v>1982</v>
      </c>
      <c r="D464" s="53" t="s">
        <v>1740</v>
      </c>
    </row>
    <row r="465" spans="1:4">
      <c r="A465" s="53" t="s">
        <v>1741</v>
      </c>
      <c r="B465" s="53" t="s">
        <v>1742</v>
      </c>
      <c r="C465" s="53" t="s">
        <v>3354</v>
      </c>
      <c r="D465" s="53" t="s">
        <v>2249</v>
      </c>
    </row>
    <row r="466" spans="1:4">
      <c r="A466" s="53" t="s">
        <v>1741</v>
      </c>
      <c r="B466" s="53" t="s">
        <v>1742</v>
      </c>
      <c r="C466" s="53" t="s">
        <v>1964</v>
      </c>
      <c r="D466" s="53" t="s">
        <v>2250</v>
      </c>
    </row>
    <row r="467" spans="1:4">
      <c r="A467" s="53" t="s">
        <v>1741</v>
      </c>
      <c r="B467" s="53" t="s">
        <v>1742</v>
      </c>
      <c r="C467" s="53" t="s">
        <v>1965</v>
      </c>
      <c r="D467" s="53" t="s">
        <v>2251</v>
      </c>
    </row>
    <row r="468" spans="1:4">
      <c r="A468" s="53" t="s">
        <v>1741</v>
      </c>
      <c r="B468" s="53" t="s">
        <v>1742</v>
      </c>
      <c r="C468" s="53" t="s">
        <v>1966</v>
      </c>
      <c r="D468" s="53" t="s">
        <v>2252</v>
      </c>
    </row>
    <row r="469" spans="1:4">
      <c r="A469" s="53" t="s">
        <v>1741</v>
      </c>
      <c r="B469" s="53" t="s">
        <v>1742</v>
      </c>
      <c r="C469" s="53" t="s">
        <v>1967</v>
      </c>
      <c r="D469" s="53" t="s">
        <v>2253</v>
      </c>
    </row>
    <row r="470" spans="1:4">
      <c r="A470" s="53" t="s">
        <v>1741</v>
      </c>
      <c r="B470" s="53" t="s">
        <v>1742</v>
      </c>
      <c r="C470" s="53" t="s">
        <v>1968</v>
      </c>
      <c r="D470" s="53" t="s">
        <v>2146</v>
      </c>
    </row>
    <row r="471" spans="1:4">
      <c r="A471" s="53" t="s">
        <v>1741</v>
      </c>
      <c r="B471" s="53" t="s">
        <v>1742</v>
      </c>
      <c r="C471" s="53" t="s">
        <v>1969</v>
      </c>
      <c r="D471" s="53" t="s">
        <v>2147</v>
      </c>
    </row>
    <row r="472" spans="1:4">
      <c r="A472" s="53" t="s">
        <v>1741</v>
      </c>
      <c r="B472" s="53" t="s">
        <v>1742</v>
      </c>
      <c r="C472" s="53" t="s">
        <v>1970</v>
      </c>
      <c r="D472" s="53" t="s">
        <v>2148</v>
      </c>
    </row>
    <row r="473" spans="1:4">
      <c r="A473" s="53" t="s">
        <v>1741</v>
      </c>
      <c r="B473" s="53" t="s">
        <v>1742</v>
      </c>
      <c r="C473" s="53" t="s">
        <v>1971</v>
      </c>
      <c r="D473" s="53" t="s">
        <v>1246</v>
      </c>
    </row>
    <row r="474" spans="1:4">
      <c r="A474" s="53" t="s">
        <v>1741</v>
      </c>
      <c r="B474" s="53" t="s">
        <v>1742</v>
      </c>
      <c r="C474" s="53" t="s">
        <v>1972</v>
      </c>
      <c r="D474" s="53" t="s">
        <v>1247</v>
      </c>
    </row>
    <row r="475" spans="1:4">
      <c r="A475" s="53" t="s">
        <v>1741</v>
      </c>
      <c r="B475" s="53" t="s">
        <v>1742</v>
      </c>
      <c r="C475" s="53" t="s">
        <v>1973</v>
      </c>
      <c r="D475" s="53" t="s">
        <v>4161</v>
      </c>
    </row>
    <row r="476" spans="1:4">
      <c r="A476" s="53" t="s">
        <v>1741</v>
      </c>
      <c r="B476" s="53" t="s">
        <v>1742</v>
      </c>
      <c r="C476" s="53" t="s">
        <v>1974</v>
      </c>
      <c r="D476" s="53" t="s">
        <v>4162</v>
      </c>
    </row>
    <row r="477" spans="1:4">
      <c r="A477" s="53" t="s">
        <v>1741</v>
      </c>
      <c r="B477" s="53" t="s">
        <v>1742</v>
      </c>
      <c r="C477" s="53" t="s">
        <v>1975</v>
      </c>
      <c r="D477" s="53" t="s">
        <v>4163</v>
      </c>
    </row>
    <row r="478" spans="1:4">
      <c r="A478" s="53" t="s">
        <v>1741</v>
      </c>
      <c r="B478" s="53" t="s">
        <v>1742</v>
      </c>
      <c r="C478" s="53" t="s">
        <v>1976</v>
      </c>
      <c r="D478" s="53" t="s">
        <v>4164</v>
      </c>
    </row>
    <row r="479" spans="1:4">
      <c r="A479" s="53" t="s">
        <v>1741</v>
      </c>
      <c r="B479" s="53" t="s">
        <v>1742</v>
      </c>
      <c r="C479" s="53" t="s">
        <v>1977</v>
      </c>
      <c r="D479" s="53" t="s">
        <v>4165</v>
      </c>
    </row>
    <row r="480" spans="1:4">
      <c r="A480" s="53" t="s">
        <v>1741</v>
      </c>
      <c r="B480" s="53" t="s">
        <v>1742</v>
      </c>
      <c r="C480" s="53" t="s">
        <v>1978</v>
      </c>
      <c r="D480" s="53" t="s">
        <v>3659</v>
      </c>
    </row>
    <row r="481" spans="1:4">
      <c r="A481" s="53" t="s">
        <v>1741</v>
      </c>
      <c r="B481" s="53" t="s">
        <v>1742</v>
      </c>
      <c r="C481" s="53" t="s">
        <v>1979</v>
      </c>
      <c r="D481" s="53" t="s">
        <v>3660</v>
      </c>
    </row>
    <row r="482" spans="1:4">
      <c r="A482" s="53" t="s">
        <v>1741</v>
      </c>
      <c r="B482" s="53" t="s">
        <v>1742</v>
      </c>
      <c r="C482" s="53" t="s">
        <v>1980</v>
      </c>
      <c r="D482" s="53" t="s">
        <v>3661</v>
      </c>
    </row>
    <row r="483" spans="1:4">
      <c r="A483" s="53" t="s">
        <v>1741</v>
      </c>
      <c r="B483" s="53" t="s">
        <v>1742</v>
      </c>
      <c r="C483" s="53" t="s">
        <v>1981</v>
      </c>
      <c r="D483" s="53" t="s">
        <v>3662</v>
      </c>
    </row>
    <row r="484" spans="1:4">
      <c r="A484" s="53" t="s">
        <v>1741</v>
      </c>
      <c r="B484" s="53" t="s">
        <v>1742</v>
      </c>
      <c r="C484" s="53" t="s">
        <v>1982</v>
      </c>
      <c r="D484" s="53" t="s">
        <v>3663</v>
      </c>
    </row>
    <row r="485" spans="1:4">
      <c r="A485" s="53" t="s">
        <v>1741</v>
      </c>
      <c r="B485" s="53" t="s">
        <v>1742</v>
      </c>
      <c r="C485" s="53" t="s">
        <v>4150</v>
      </c>
      <c r="D485" s="53" t="s">
        <v>2160</v>
      </c>
    </row>
    <row r="486" spans="1:4">
      <c r="A486" s="53" t="s">
        <v>1741</v>
      </c>
      <c r="B486" s="53" t="s">
        <v>1742</v>
      </c>
      <c r="C486" s="53" t="s">
        <v>4151</v>
      </c>
      <c r="D486" s="53" t="s">
        <v>3924</v>
      </c>
    </row>
    <row r="487" spans="1:4">
      <c r="A487" s="53" t="s">
        <v>1741</v>
      </c>
      <c r="B487" s="53" t="s">
        <v>1742</v>
      </c>
      <c r="C487" s="53" t="s">
        <v>4152</v>
      </c>
      <c r="D487" s="53" t="s">
        <v>3925</v>
      </c>
    </row>
    <row r="488" spans="1:4">
      <c r="A488" s="53" t="s">
        <v>1741</v>
      </c>
      <c r="B488" s="53" t="s">
        <v>1742</v>
      </c>
      <c r="C488" s="53" t="s">
        <v>4153</v>
      </c>
      <c r="D488" s="53" t="s">
        <v>3926</v>
      </c>
    </row>
    <row r="489" spans="1:4">
      <c r="A489" s="53" t="s">
        <v>1741</v>
      </c>
      <c r="B489" s="53" t="s">
        <v>1742</v>
      </c>
      <c r="C489" s="53" t="s">
        <v>4154</v>
      </c>
      <c r="D489" s="53" t="s">
        <v>3927</v>
      </c>
    </row>
    <row r="490" spans="1:4">
      <c r="A490" s="53" t="s">
        <v>1741</v>
      </c>
      <c r="B490" s="53" t="s">
        <v>1742</v>
      </c>
      <c r="C490" s="53" t="s">
        <v>4155</v>
      </c>
      <c r="D490" s="53" t="s">
        <v>950</v>
      </c>
    </row>
    <row r="491" spans="1:4">
      <c r="A491" s="53" t="s">
        <v>3928</v>
      </c>
      <c r="B491" s="53" t="s">
        <v>2538</v>
      </c>
      <c r="C491" s="53" t="s">
        <v>3354</v>
      </c>
      <c r="D491" s="53" t="s">
        <v>2539</v>
      </c>
    </row>
    <row r="492" spans="1:4">
      <c r="A492" s="53" t="s">
        <v>3928</v>
      </c>
      <c r="B492" s="53" t="s">
        <v>2538</v>
      </c>
      <c r="C492" s="53" t="s">
        <v>1964</v>
      </c>
      <c r="D492" s="53" t="s">
        <v>2540</v>
      </c>
    </row>
    <row r="493" spans="1:4">
      <c r="A493" s="53" t="s">
        <v>3928</v>
      </c>
      <c r="B493" s="53" t="s">
        <v>2538</v>
      </c>
      <c r="C493" s="53" t="s">
        <v>1965</v>
      </c>
      <c r="D493" s="53" t="s">
        <v>3807</v>
      </c>
    </row>
    <row r="494" spans="1:4">
      <c r="A494" s="53" t="s">
        <v>3928</v>
      </c>
      <c r="B494" s="53" t="s">
        <v>2538</v>
      </c>
      <c r="C494" s="53" t="s">
        <v>1966</v>
      </c>
      <c r="D494" s="53" t="s">
        <v>3808</v>
      </c>
    </row>
    <row r="495" spans="1:4">
      <c r="A495" s="53" t="s">
        <v>3809</v>
      </c>
      <c r="B495" s="53" t="s">
        <v>3810</v>
      </c>
      <c r="C495" s="53" t="s">
        <v>3354</v>
      </c>
      <c r="D495" s="53" t="s">
        <v>3811</v>
      </c>
    </row>
    <row r="496" spans="1:4">
      <c r="A496" s="53" t="s">
        <v>3809</v>
      </c>
      <c r="B496" s="53" t="s">
        <v>3810</v>
      </c>
      <c r="C496" s="53" t="s">
        <v>1964</v>
      </c>
      <c r="D496" s="53" t="s">
        <v>3585</v>
      </c>
    </row>
    <row r="497" spans="1:4">
      <c r="A497" s="53" t="s">
        <v>3809</v>
      </c>
      <c r="B497" s="53" t="s">
        <v>3810</v>
      </c>
      <c r="C497" s="53" t="s">
        <v>1965</v>
      </c>
      <c r="D497" s="53" t="s">
        <v>3586</v>
      </c>
    </row>
    <row r="498" spans="1:4">
      <c r="A498" s="53" t="s">
        <v>3809</v>
      </c>
      <c r="B498" s="53" t="s">
        <v>3810</v>
      </c>
      <c r="C498" s="53" t="s">
        <v>1966</v>
      </c>
      <c r="D498" s="53" t="s">
        <v>379</v>
      </c>
    </row>
    <row r="499" spans="1:4">
      <c r="A499" s="53" t="s">
        <v>3809</v>
      </c>
      <c r="B499" s="53" t="s">
        <v>3810</v>
      </c>
      <c r="C499" s="53" t="s">
        <v>1967</v>
      </c>
      <c r="D499" s="53" t="s">
        <v>380</v>
      </c>
    </row>
    <row r="500" spans="1:4">
      <c r="A500" s="53" t="s">
        <v>3809</v>
      </c>
      <c r="B500" s="53" t="s">
        <v>3810</v>
      </c>
      <c r="C500" s="53" t="s">
        <v>1968</v>
      </c>
      <c r="D500" s="53" t="s">
        <v>381</v>
      </c>
    </row>
    <row r="501" spans="1:4">
      <c r="A501" s="53" t="s">
        <v>3809</v>
      </c>
      <c r="B501" s="53" t="s">
        <v>3810</v>
      </c>
      <c r="C501" s="53" t="s">
        <v>1969</v>
      </c>
      <c r="D501" s="53" t="s">
        <v>1943</v>
      </c>
    </row>
    <row r="502" spans="1:4">
      <c r="A502" s="53" t="s">
        <v>3809</v>
      </c>
      <c r="B502" s="53" t="s">
        <v>3810</v>
      </c>
      <c r="C502" s="53" t="s">
        <v>1970</v>
      </c>
      <c r="D502" s="53" t="s">
        <v>1944</v>
      </c>
    </row>
    <row r="503" spans="1:4">
      <c r="A503" s="53" t="s">
        <v>3809</v>
      </c>
      <c r="B503" s="53" t="s">
        <v>3810</v>
      </c>
      <c r="C503" s="53" t="s">
        <v>1971</v>
      </c>
      <c r="D503" s="53" t="s">
        <v>1945</v>
      </c>
    </row>
    <row r="504" spans="1:4">
      <c r="A504" s="53" t="s">
        <v>3809</v>
      </c>
      <c r="B504" s="53" t="s">
        <v>3810</v>
      </c>
      <c r="C504" s="53" t="s">
        <v>1972</v>
      </c>
      <c r="D504" s="53" t="s">
        <v>4021</v>
      </c>
    </row>
    <row r="505" spans="1:4">
      <c r="A505" s="53" t="s">
        <v>3809</v>
      </c>
      <c r="B505" s="53" t="s">
        <v>3810</v>
      </c>
      <c r="C505" s="53" t="s">
        <v>1973</v>
      </c>
      <c r="D505" s="53" t="s">
        <v>4022</v>
      </c>
    </row>
    <row r="506" spans="1:4">
      <c r="A506" s="53" t="s">
        <v>3809</v>
      </c>
      <c r="B506" s="53" t="s">
        <v>3810</v>
      </c>
      <c r="C506" s="53" t="s">
        <v>1974</v>
      </c>
      <c r="D506" s="53" t="s">
        <v>4045</v>
      </c>
    </row>
    <row r="507" spans="1:4">
      <c r="A507" s="53" t="s">
        <v>4046</v>
      </c>
      <c r="B507" s="53" t="s">
        <v>458</v>
      </c>
      <c r="C507" s="53" t="s">
        <v>3354</v>
      </c>
      <c r="D507" s="53" t="s">
        <v>1552</v>
      </c>
    </row>
    <row r="508" spans="1:4">
      <c r="A508" s="53" t="s">
        <v>4046</v>
      </c>
      <c r="B508" s="53" t="s">
        <v>458</v>
      </c>
      <c r="C508" s="53" t="s">
        <v>1964</v>
      </c>
      <c r="D508" s="53" t="s">
        <v>1553</v>
      </c>
    </row>
    <row r="509" spans="1:4">
      <c r="A509" s="53" t="s">
        <v>4046</v>
      </c>
      <c r="B509" s="53" t="s">
        <v>458</v>
      </c>
      <c r="C509" s="53" t="s">
        <v>1965</v>
      </c>
      <c r="D509" s="53" t="s">
        <v>1554</v>
      </c>
    </row>
    <row r="510" spans="1:4">
      <c r="A510" s="53" t="s">
        <v>4046</v>
      </c>
      <c r="B510" s="53" t="s">
        <v>458</v>
      </c>
      <c r="C510" s="53" t="s">
        <v>1966</v>
      </c>
      <c r="D510" s="53" t="s">
        <v>1555</v>
      </c>
    </row>
    <row r="511" spans="1:4">
      <c r="A511" s="53" t="s">
        <v>4046</v>
      </c>
      <c r="B511" s="53" t="s">
        <v>458</v>
      </c>
      <c r="C511" s="53" t="s">
        <v>1967</v>
      </c>
      <c r="D511" s="53" t="s">
        <v>1556</v>
      </c>
    </row>
    <row r="512" spans="1:4">
      <c r="A512" s="53" t="s">
        <v>4046</v>
      </c>
      <c r="B512" s="53" t="s">
        <v>458</v>
      </c>
      <c r="C512" s="53" t="s">
        <v>1968</v>
      </c>
      <c r="D512" s="53" t="s">
        <v>1557</v>
      </c>
    </row>
    <row r="513" spans="1:4">
      <c r="A513" s="53" t="s">
        <v>4046</v>
      </c>
      <c r="B513" s="53" t="s">
        <v>458</v>
      </c>
      <c r="C513" s="53" t="s">
        <v>1969</v>
      </c>
      <c r="D513" s="53" t="s">
        <v>1558</v>
      </c>
    </row>
    <row r="514" spans="1:4">
      <c r="A514" s="53" t="s">
        <v>4046</v>
      </c>
      <c r="B514" s="53" t="s">
        <v>458</v>
      </c>
      <c r="C514" s="53" t="s">
        <v>1970</v>
      </c>
      <c r="D514" s="53" t="s">
        <v>3539</v>
      </c>
    </row>
    <row r="515" spans="1:4">
      <c r="A515" s="53" t="s">
        <v>4046</v>
      </c>
      <c r="B515" s="53" t="s">
        <v>458</v>
      </c>
      <c r="C515" s="53" t="s">
        <v>1971</v>
      </c>
      <c r="D515" s="53" t="s">
        <v>3540</v>
      </c>
    </row>
    <row r="516" spans="1:4">
      <c r="A516" s="53" t="s">
        <v>4046</v>
      </c>
      <c r="B516" s="53" t="s">
        <v>458</v>
      </c>
      <c r="C516" s="53" t="s">
        <v>1972</v>
      </c>
      <c r="D516" s="53" t="s">
        <v>4371</v>
      </c>
    </row>
    <row r="517" spans="1:4">
      <c r="A517" s="53" t="s">
        <v>4046</v>
      </c>
      <c r="B517" s="53" t="s">
        <v>458</v>
      </c>
      <c r="C517" s="53" t="s">
        <v>1973</v>
      </c>
      <c r="D517" s="53" t="s">
        <v>4372</v>
      </c>
    </row>
    <row r="518" spans="1:4">
      <c r="A518" s="53" t="s">
        <v>4046</v>
      </c>
      <c r="B518" s="53" t="s">
        <v>458</v>
      </c>
      <c r="C518" s="53" t="s">
        <v>1974</v>
      </c>
      <c r="D518" s="53" t="s">
        <v>4373</v>
      </c>
    </row>
    <row r="519" spans="1:4">
      <c r="A519" s="53" t="s">
        <v>4046</v>
      </c>
      <c r="B519" s="53" t="s">
        <v>458</v>
      </c>
      <c r="C519" s="53" t="s">
        <v>1975</v>
      </c>
      <c r="D519" s="53" t="s">
        <v>4374</v>
      </c>
    </row>
    <row r="520" spans="1:4">
      <c r="A520" s="53" t="s">
        <v>4046</v>
      </c>
      <c r="B520" s="53" t="s">
        <v>458</v>
      </c>
      <c r="C520" s="53" t="s">
        <v>1976</v>
      </c>
      <c r="D520" s="53" t="s">
        <v>4375</v>
      </c>
    </row>
    <row r="521" spans="1:4">
      <c r="A521" s="53" t="s">
        <v>4376</v>
      </c>
      <c r="B521" s="53" t="s">
        <v>4377</v>
      </c>
      <c r="C521" s="53" t="s">
        <v>3354</v>
      </c>
      <c r="D521" s="53" t="s">
        <v>4378</v>
      </c>
    </row>
    <row r="522" spans="1:4">
      <c r="A522" s="53" t="s">
        <v>4376</v>
      </c>
      <c r="B522" s="53" t="s">
        <v>4377</v>
      </c>
      <c r="C522" s="53" t="s">
        <v>1964</v>
      </c>
      <c r="D522" s="53" t="s">
        <v>2281</v>
      </c>
    </row>
    <row r="523" spans="1:4">
      <c r="A523" s="53" t="s">
        <v>4376</v>
      </c>
      <c r="B523" s="53" t="s">
        <v>4377</v>
      </c>
      <c r="C523" s="53" t="s">
        <v>1965</v>
      </c>
      <c r="D523" s="53" t="s">
        <v>2282</v>
      </c>
    </row>
    <row r="524" spans="1:4">
      <c r="A524" s="53" t="s">
        <v>4376</v>
      </c>
      <c r="B524" s="53" t="s">
        <v>4377</v>
      </c>
      <c r="C524" s="53" t="s">
        <v>1966</v>
      </c>
      <c r="D524" s="53" t="s">
        <v>1844</v>
      </c>
    </row>
    <row r="525" spans="1:4">
      <c r="A525" s="53" t="s">
        <v>4376</v>
      </c>
      <c r="B525" s="53" t="s">
        <v>4377</v>
      </c>
      <c r="C525" s="53" t="s">
        <v>1967</v>
      </c>
      <c r="D525" s="53" t="s">
        <v>1845</v>
      </c>
    </row>
    <row r="526" spans="1:4">
      <c r="A526" s="53" t="s">
        <v>4376</v>
      </c>
      <c r="B526" s="53" t="s">
        <v>4377</v>
      </c>
      <c r="C526" s="53" t="s">
        <v>1968</v>
      </c>
      <c r="D526" s="53" t="s">
        <v>1846</v>
      </c>
    </row>
    <row r="527" spans="1:4">
      <c r="A527" s="53" t="s">
        <v>4376</v>
      </c>
      <c r="B527" s="53" t="s">
        <v>4377</v>
      </c>
      <c r="C527" s="53" t="s">
        <v>1969</v>
      </c>
      <c r="D527" s="53" t="s">
        <v>1847</v>
      </c>
    </row>
    <row r="528" spans="1:4">
      <c r="A528" s="53" t="s">
        <v>4376</v>
      </c>
      <c r="B528" s="53" t="s">
        <v>4377</v>
      </c>
      <c r="C528" s="53" t="s">
        <v>1970</v>
      </c>
      <c r="D528" s="53" t="s">
        <v>1848</v>
      </c>
    </row>
    <row r="529" spans="1:4">
      <c r="A529" s="53" t="s">
        <v>4376</v>
      </c>
      <c r="B529" s="53" t="s">
        <v>4377</v>
      </c>
      <c r="C529" s="53" t="s">
        <v>1971</v>
      </c>
      <c r="D529" s="53" t="s">
        <v>1849</v>
      </c>
    </row>
    <row r="530" spans="1:4">
      <c r="A530" s="53" t="s">
        <v>4376</v>
      </c>
      <c r="B530" s="53" t="s">
        <v>4377</v>
      </c>
      <c r="C530" s="53" t="s">
        <v>1972</v>
      </c>
      <c r="D530" s="53" t="s">
        <v>1850</v>
      </c>
    </row>
    <row r="531" spans="1:4">
      <c r="A531" s="53" t="s">
        <v>4376</v>
      </c>
      <c r="B531" s="53" t="s">
        <v>4377</v>
      </c>
      <c r="C531" s="53" t="s">
        <v>1973</v>
      </c>
      <c r="D531" s="53" t="s">
        <v>1851</v>
      </c>
    </row>
    <row r="532" spans="1:4">
      <c r="A532" s="53" t="s">
        <v>4376</v>
      </c>
      <c r="B532" s="53" t="s">
        <v>4377</v>
      </c>
      <c r="C532" s="53" t="s">
        <v>1974</v>
      </c>
      <c r="D532" s="53" t="s">
        <v>1852</v>
      </c>
    </row>
    <row r="533" spans="1:4">
      <c r="A533" s="53" t="s">
        <v>4376</v>
      </c>
      <c r="B533" s="53" t="s">
        <v>4377</v>
      </c>
      <c r="C533" s="53" t="s">
        <v>1975</v>
      </c>
      <c r="D533" s="53" t="s">
        <v>1853</v>
      </c>
    </row>
    <row r="534" spans="1:4">
      <c r="A534" s="53" t="s">
        <v>4376</v>
      </c>
      <c r="B534" s="53" t="s">
        <v>4377</v>
      </c>
      <c r="C534" s="53" t="s">
        <v>1976</v>
      </c>
      <c r="D534" s="53" t="s">
        <v>1518</v>
      </c>
    </row>
    <row r="535" spans="1:4">
      <c r="A535" s="53" t="s">
        <v>4376</v>
      </c>
      <c r="B535" s="53" t="s">
        <v>4377</v>
      </c>
      <c r="C535" s="53" t="s">
        <v>1977</v>
      </c>
      <c r="D535" s="53" t="s">
        <v>1519</v>
      </c>
    </row>
    <row r="536" spans="1:4">
      <c r="A536" s="53" t="s">
        <v>4376</v>
      </c>
      <c r="B536" s="53" t="s">
        <v>4377</v>
      </c>
      <c r="C536" s="53" t="s">
        <v>1978</v>
      </c>
      <c r="D536" s="53" t="s">
        <v>4325</v>
      </c>
    </row>
    <row r="537" spans="1:4">
      <c r="A537" s="53" t="s">
        <v>4376</v>
      </c>
      <c r="B537" s="53" t="s">
        <v>4377</v>
      </c>
      <c r="C537" s="53" t="s">
        <v>1979</v>
      </c>
      <c r="D537" s="53" t="s">
        <v>4232</v>
      </c>
    </row>
    <row r="538" spans="1:4">
      <c r="A538" s="53" t="s">
        <v>4376</v>
      </c>
      <c r="B538" s="53" t="s">
        <v>4377</v>
      </c>
      <c r="C538" s="53" t="s">
        <v>1980</v>
      </c>
      <c r="D538" s="53" t="s">
        <v>1017</v>
      </c>
    </row>
    <row r="539" spans="1:4">
      <c r="A539" s="53" t="s">
        <v>4376</v>
      </c>
      <c r="B539" s="53" t="s">
        <v>4377</v>
      </c>
      <c r="C539" s="53" t="s">
        <v>1981</v>
      </c>
      <c r="D539" s="53" t="s">
        <v>990</v>
      </c>
    </row>
    <row r="540" spans="1:4">
      <c r="A540" s="53" t="s">
        <v>4376</v>
      </c>
      <c r="B540" s="53" t="s">
        <v>4377</v>
      </c>
      <c r="C540" s="53" t="s">
        <v>1982</v>
      </c>
      <c r="D540" s="53" t="s">
        <v>991</v>
      </c>
    </row>
    <row r="541" spans="1:4">
      <c r="A541" s="53" t="s">
        <v>4376</v>
      </c>
      <c r="B541" s="53" t="s">
        <v>4377</v>
      </c>
      <c r="C541" s="53" t="s">
        <v>4150</v>
      </c>
      <c r="D541" s="53" t="s">
        <v>2062</v>
      </c>
    </row>
    <row r="542" spans="1:4">
      <c r="A542" s="53" t="s">
        <v>4376</v>
      </c>
      <c r="B542" s="53" t="s">
        <v>4377</v>
      </c>
      <c r="C542" s="53" t="s">
        <v>4151</v>
      </c>
      <c r="D542" s="53" t="s">
        <v>1070</v>
      </c>
    </row>
    <row r="543" spans="1:4">
      <c r="A543" s="53" t="s">
        <v>4376</v>
      </c>
      <c r="B543" s="53" t="s">
        <v>4377</v>
      </c>
      <c r="C543" s="53" t="s">
        <v>4152</v>
      </c>
      <c r="D543" s="53" t="s">
        <v>1071</v>
      </c>
    </row>
    <row r="544" spans="1:4">
      <c r="A544" s="53" t="s">
        <v>4376</v>
      </c>
      <c r="B544" s="53" t="s">
        <v>4377</v>
      </c>
      <c r="C544" s="53" t="s">
        <v>4153</v>
      </c>
      <c r="D544" s="53" t="s">
        <v>2220</v>
      </c>
    </row>
    <row r="545" spans="1:4">
      <c r="A545" s="53" t="s">
        <v>4376</v>
      </c>
      <c r="B545" s="53" t="s">
        <v>4377</v>
      </c>
      <c r="C545" s="53" t="s">
        <v>4154</v>
      </c>
      <c r="D545" s="53" t="s">
        <v>2221</v>
      </c>
    </row>
    <row r="546" spans="1:4">
      <c r="A546" s="53" t="s">
        <v>4376</v>
      </c>
      <c r="B546" s="53" t="s">
        <v>4377</v>
      </c>
      <c r="C546" s="53" t="s">
        <v>4155</v>
      </c>
      <c r="D546" s="53" t="s">
        <v>3915</v>
      </c>
    </row>
    <row r="547" spans="1:4">
      <c r="A547" s="53" t="s">
        <v>4376</v>
      </c>
      <c r="B547" s="53" t="s">
        <v>4377</v>
      </c>
      <c r="C547" s="53" t="s">
        <v>4156</v>
      </c>
      <c r="D547" s="53" t="s">
        <v>3916</v>
      </c>
    </row>
    <row r="548" spans="1:4">
      <c r="A548" s="53" t="s">
        <v>4376</v>
      </c>
      <c r="B548" s="53" t="s">
        <v>4377</v>
      </c>
      <c r="C548" s="53" t="s">
        <v>4157</v>
      </c>
      <c r="D548" s="53" t="s">
        <v>3917</v>
      </c>
    </row>
    <row r="549" spans="1:4">
      <c r="A549" s="53" t="s">
        <v>4376</v>
      </c>
      <c r="B549" s="53" t="s">
        <v>4377</v>
      </c>
      <c r="C549" s="53" t="s">
        <v>4158</v>
      </c>
      <c r="D549" s="53" t="s">
        <v>3918</v>
      </c>
    </row>
    <row r="550" spans="1:4">
      <c r="A550" s="53" t="s">
        <v>4376</v>
      </c>
      <c r="B550" s="53" t="s">
        <v>4377</v>
      </c>
      <c r="C550" s="53" t="s">
        <v>4159</v>
      </c>
      <c r="D550" s="53" t="s">
        <v>3919</v>
      </c>
    </row>
    <row r="551" spans="1:4">
      <c r="A551" s="53" t="s">
        <v>4376</v>
      </c>
      <c r="B551" s="53" t="s">
        <v>4377</v>
      </c>
      <c r="C551" s="53" t="s">
        <v>2424</v>
      </c>
      <c r="D551" s="53" t="s">
        <v>3920</v>
      </c>
    </row>
    <row r="552" spans="1:4">
      <c r="A552" s="53" t="s">
        <v>4376</v>
      </c>
      <c r="B552" s="53" t="s">
        <v>4377</v>
      </c>
      <c r="C552" s="53" t="s">
        <v>2425</v>
      </c>
      <c r="D552" s="53" t="s">
        <v>3921</v>
      </c>
    </row>
    <row r="553" spans="1:4">
      <c r="A553" s="53" t="s">
        <v>4376</v>
      </c>
      <c r="B553" s="53" t="s">
        <v>4377</v>
      </c>
      <c r="C553" s="53" t="s">
        <v>2426</v>
      </c>
      <c r="D553" s="53" t="s">
        <v>3922</v>
      </c>
    </row>
    <row r="554" spans="1:4">
      <c r="A554" s="53" t="s">
        <v>3923</v>
      </c>
      <c r="B554" s="53" t="s">
        <v>3488</v>
      </c>
      <c r="C554" s="53" t="s">
        <v>3354</v>
      </c>
      <c r="D554" s="53" t="s">
        <v>3489</v>
      </c>
    </row>
    <row r="555" spans="1:4">
      <c r="A555" s="53" t="s">
        <v>3923</v>
      </c>
      <c r="B555" s="53" t="s">
        <v>3488</v>
      </c>
      <c r="C555" s="53" t="s">
        <v>1964</v>
      </c>
      <c r="D555" s="53" t="s">
        <v>3219</v>
      </c>
    </row>
    <row r="556" spans="1:4">
      <c r="A556" s="53" t="s">
        <v>3923</v>
      </c>
      <c r="B556" s="53" t="s">
        <v>3488</v>
      </c>
      <c r="C556" s="53" t="s">
        <v>1965</v>
      </c>
      <c r="D556" s="53" t="s">
        <v>3220</v>
      </c>
    </row>
    <row r="557" spans="1:4">
      <c r="A557" s="53" t="s">
        <v>3923</v>
      </c>
      <c r="B557" s="53" t="s">
        <v>3488</v>
      </c>
      <c r="C557" s="53" t="s">
        <v>1966</v>
      </c>
      <c r="D557" s="53" t="s">
        <v>2259</v>
      </c>
    </row>
    <row r="558" spans="1:4">
      <c r="A558" s="53" t="s">
        <v>3923</v>
      </c>
      <c r="B558" s="53" t="s">
        <v>3488</v>
      </c>
      <c r="C558" s="53" t="s">
        <v>1967</v>
      </c>
      <c r="D558" s="53" t="s">
        <v>1437</v>
      </c>
    </row>
    <row r="559" spans="1:4">
      <c r="A559" s="53" t="s">
        <v>3923</v>
      </c>
      <c r="B559" s="53" t="s">
        <v>3488</v>
      </c>
      <c r="C559" s="53" t="s">
        <v>1968</v>
      </c>
      <c r="D559" s="53" t="s">
        <v>3205</v>
      </c>
    </row>
    <row r="560" spans="1:4">
      <c r="A560" s="53" t="s">
        <v>3923</v>
      </c>
      <c r="B560" s="53" t="s">
        <v>3488</v>
      </c>
      <c r="C560" s="53" t="s">
        <v>1969</v>
      </c>
      <c r="D560" s="53" t="s">
        <v>3206</v>
      </c>
    </row>
    <row r="561" spans="1:4">
      <c r="A561" s="53" t="s">
        <v>3923</v>
      </c>
      <c r="B561" s="53" t="s">
        <v>3488</v>
      </c>
      <c r="C561" s="53" t="s">
        <v>1970</v>
      </c>
      <c r="D561" s="53" t="s">
        <v>3207</v>
      </c>
    </row>
    <row r="562" spans="1:4">
      <c r="A562" s="53" t="s">
        <v>3923</v>
      </c>
      <c r="B562" s="53" t="s">
        <v>3488</v>
      </c>
      <c r="C562" s="53" t="s">
        <v>1971</v>
      </c>
      <c r="D562" s="53" t="s">
        <v>3208</v>
      </c>
    </row>
    <row r="563" spans="1:4">
      <c r="A563" s="53" t="s">
        <v>3923</v>
      </c>
      <c r="B563" s="53" t="s">
        <v>3488</v>
      </c>
      <c r="C563" s="53" t="s">
        <v>1972</v>
      </c>
      <c r="D563" s="53" t="s">
        <v>1359</v>
      </c>
    </row>
    <row r="564" spans="1:4">
      <c r="A564" s="53" t="s">
        <v>3923</v>
      </c>
      <c r="B564" s="53" t="s">
        <v>3488</v>
      </c>
      <c r="C564" s="53" t="s">
        <v>1973</v>
      </c>
      <c r="D564" s="53" t="s">
        <v>3931</v>
      </c>
    </row>
    <row r="565" spans="1:4">
      <c r="A565" s="53" t="s">
        <v>3923</v>
      </c>
      <c r="B565" s="53" t="s">
        <v>3488</v>
      </c>
      <c r="C565" s="53" t="s">
        <v>1974</v>
      </c>
      <c r="D565" s="53" t="s">
        <v>3932</v>
      </c>
    </row>
    <row r="566" spans="1:4">
      <c r="A566" s="53" t="s">
        <v>3923</v>
      </c>
      <c r="B566" s="53" t="s">
        <v>3488</v>
      </c>
      <c r="C566" s="53" t="s">
        <v>1975</v>
      </c>
      <c r="D566" s="53" t="s">
        <v>3933</v>
      </c>
    </row>
    <row r="567" spans="1:4">
      <c r="A567" s="53" t="s">
        <v>3923</v>
      </c>
      <c r="B567" s="53" t="s">
        <v>3488</v>
      </c>
      <c r="C567" s="53" t="s">
        <v>1976</v>
      </c>
      <c r="D567" s="53" t="s">
        <v>3934</v>
      </c>
    </row>
    <row r="568" spans="1:4">
      <c r="A568" s="53" t="s">
        <v>3923</v>
      </c>
      <c r="B568" s="53" t="s">
        <v>3488</v>
      </c>
      <c r="C568" s="53" t="s">
        <v>1977</v>
      </c>
      <c r="D568" s="53" t="s">
        <v>3380</v>
      </c>
    </row>
    <row r="569" spans="1:4">
      <c r="A569" s="53" t="s">
        <v>3923</v>
      </c>
      <c r="B569" s="53" t="s">
        <v>3488</v>
      </c>
      <c r="C569" s="53" t="s">
        <v>1978</v>
      </c>
      <c r="D569" s="53" t="s">
        <v>3381</v>
      </c>
    </row>
    <row r="570" spans="1:4">
      <c r="A570" s="53" t="s">
        <v>3923</v>
      </c>
      <c r="B570" s="53" t="s">
        <v>3488</v>
      </c>
      <c r="C570" s="53" t="s">
        <v>1979</v>
      </c>
      <c r="D570" s="53" t="s">
        <v>3382</v>
      </c>
    </row>
    <row r="571" spans="1:4">
      <c r="A571" s="53" t="s">
        <v>3923</v>
      </c>
      <c r="B571" s="53" t="s">
        <v>3488</v>
      </c>
      <c r="C571" s="53" t="s">
        <v>1980</v>
      </c>
      <c r="D571" s="53" t="s">
        <v>3886</v>
      </c>
    </row>
    <row r="572" spans="1:4">
      <c r="A572" s="53" t="s">
        <v>3923</v>
      </c>
      <c r="B572" s="53" t="s">
        <v>3488</v>
      </c>
      <c r="C572" s="53" t="s">
        <v>1981</v>
      </c>
      <c r="D572" s="53" t="s">
        <v>3268</v>
      </c>
    </row>
    <row r="573" spans="1:4">
      <c r="A573" s="53" t="s">
        <v>3923</v>
      </c>
      <c r="B573" s="53" t="s">
        <v>3488</v>
      </c>
      <c r="C573" s="53" t="s">
        <v>1982</v>
      </c>
      <c r="D573" s="53" t="s">
        <v>3269</v>
      </c>
    </row>
    <row r="574" spans="1:4">
      <c r="A574" s="53" t="s">
        <v>3923</v>
      </c>
      <c r="B574" s="53" t="s">
        <v>3488</v>
      </c>
      <c r="C574" s="53" t="s">
        <v>4150</v>
      </c>
      <c r="D574" s="53" t="s">
        <v>4381</v>
      </c>
    </row>
    <row r="575" spans="1:4">
      <c r="A575" s="53" t="s">
        <v>3923</v>
      </c>
      <c r="B575" s="53" t="s">
        <v>3488</v>
      </c>
      <c r="C575" s="53" t="s">
        <v>4151</v>
      </c>
      <c r="D575" s="53" t="s">
        <v>4382</v>
      </c>
    </row>
    <row r="576" spans="1:4">
      <c r="A576" s="53" t="s">
        <v>3923</v>
      </c>
      <c r="B576" s="53" t="s">
        <v>3488</v>
      </c>
      <c r="C576" s="53" t="s">
        <v>4152</v>
      </c>
      <c r="D576" s="53" t="s">
        <v>4383</v>
      </c>
    </row>
    <row r="577" spans="1:4">
      <c r="A577" s="53" t="s">
        <v>3923</v>
      </c>
      <c r="B577" s="53" t="s">
        <v>3488</v>
      </c>
      <c r="C577" s="53" t="s">
        <v>4153</v>
      </c>
      <c r="D577" s="53" t="s">
        <v>4384</v>
      </c>
    </row>
    <row r="578" spans="1:4">
      <c r="A578" s="53" t="s">
        <v>3923</v>
      </c>
      <c r="B578" s="53" t="s">
        <v>3488</v>
      </c>
      <c r="C578" s="53" t="s">
        <v>4154</v>
      </c>
      <c r="D578" s="53" t="s">
        <v>4385</v>
      </c>
    </row>
    <row r="579" spans="1:4">
      <c r="A579" s="53" t="s">
        <v>493</v>
      </c>
      <c r="B579" s="53" t="s">
        <v>494</v>
      </c>
      <c r="C579" s="53" t="s">
        <v>3354</v>
      </c>
      <c r="D579" s="53" t="s">
        <v>495</v>
      </c>
    </row>
    <row r="580" spans="1:4">
      <c r="A580" s="53" t="s">
        <v>493</v>
      </c>
      <c r="B580" s="53" t="s">
        <v>494</v>
      </c>
      <c r="C580" s="53" t="s">
        <v>1964</v>
      </c>
      <c r="D580" s="53" t="s">
        <v>496</v>
      </c>
    </row>
    <row r="581" spans="1:4">
      <c r="A581" s="53" t="s">
        <v>493</v>
      </c>
      <c r="B581" s="53" t="s">
        <v>494</v>
      </c>
      <c r="C581" s="53" t="s">
        <v>1965</v>
      </c>
      <c r="D581" s="53" t="s">
        <v>1260</v>
      </c>
    </row>
    <row r="582" spans="1:4">
      <c r="A582" s="53" t="s">
        <v>493</v>
      </c>
      <c r="B582" s="53" t="s">
        <v>494</v>
      </c>
      <c r="C582" s="53" t="s">
        <v>1966</v>
      </c>
      <c r="D582" s="53" t="s">
        <v>3209</v>
      </c>
    </row>
    <row r="583" spans="1:4">
      <c r="A583" s="53" t="s">
        <v>493</v>
      </c>
      <c r="B583" s="53" t="s">
        <v>494</v>
      </c>
      <c r="C583" s="53" t="s">
        <v>1967</v>
      </c>
      <c r="D583" s="53" t="s">
        <v>2736</v>
      </c>
    </row>
    <row r="584" spans="1:4">
      <c r="A584" s="53" t="s">
        <v>493</v>
      </c>
      <c r="B584" s="53" t="s">
        <v>494</v>
      </c>
      <c r="C584" s="53" t="s">
        <v>1968</v>
      </c>
      <c r="D584" s="53" t="s">
        <v>2737</v>
      </c>
    </row>
    <row r="585" spans="1:4">
      <c r="A585" s="53" t="s">
        <v>493</v>
      </c>
      <c r="B585" s="53" t="s">
        <v>494</v>
      </c>
      <c r="C585" s="53" t="s">
        <v>1969</v>
      </c>
      <c r="D585" s="53" t="s">
        <v>2738</v>
      </c>
    </row>
    <row r="586" spans="1:4">
      <c r="A586" s="53" t="s">
        <v>493</v>
      </c>
      <c r="B586" s="53" t="s">
        <v>494</v>
      </c>
      <c r="C586" s="53" t="s">
        <v>1970</v>
      </c>
      <c r="D586" s="53" t="s">
        <v>2739</v>
      </c>
    </row>
    <row r="587" spans="1:4">
      <c r="A587" s="53" t="s">
        <v>493</v>
      </c>
      <c r="B587" s="53" t="s">
        <v>494</v>
      </c>
      <c r="C587" s="53" t="s">
        <v>1971</v>
      </c>
      <c r="D587" s="53" t="s">
        <v>2740</v>
      </c>
    </row>
    <row r="588" spans="1:4">
      <c r="A588" s="53" t="s">
        <v>493</v>
      </c>
      <c r="B588" s="53" t="s">
        <v>494</v>
      </c>
      <c r="C588" s="53" t="s">
        <v>1972</v>
      </c>
      <c r="D588" s="53" t="s">
        <v>4293</v>
      </c>
    </row>
    <row r="589" spans="1:4">
      <c r="A589" s="53" t="s">
        <v>493</v>
      </c>
      <c r="B589" s="53" t="s">
        <v>494</v>
      </c>
      <c r="C589" s="53" t="s">
        <v>1973</v>
      </c>
      <c r="D589" s="53" t="s">
        <v>2262</v>
      </c>
    </row>
    <row r="590" spans="1:4">
      <c r="A590" s="53" t="s">
        <v>2263</v>
      </c>
      <c r="B590" s="53" t="s">
        <v>3059</v>
      </c>
      <c r="C590" s="53" t="s">
        <v>3354</v>
      </c>
      <c r="D590" s="53" t="s">
        <v>2418</v>
      </c>
    </row>
    <row r="591" spans="1:4">
      <c r="A591" s="53" t="s">
        <v>2263</v>
      </c>
      <c r="B591" s="53" t="s">
        <v>3059</v>
      </c>
      <c r="C591" s="53" t="s">
        <v>1964</v>
      </c>
      <c r="D591" s="53" t="s">
        <v>1305</v>
      </c>
    </row>
    <row r="592" spans="1:4">
      <c r="A592" s="53" t="s">
        <v>2263</v>
      </c>
      <c r="B592" s="53" t="s">
        <v>3059</v>
      </c>
      <c r="C592" s="53" t="s">
        <v>1965</v>
      </c>
      <c r="D592" s="53" t="s">
        <v>1306</v>
      </c>
    </row>
    <row r="593" spans="1:4">
      <c r="A593" s="53" t="s">
        <v>2263</v>
      </c>
      <c r="B593" s="53" t="s">
        <v>3059</v>
      </c>
      <c r="C593" s="53" t="s">
        <v>1966</v>
      </c>
      <c r="D593" s="53" t="s">
        <v>1555</v>
      </c>
    </row>
    <row r="594" spans="1:4">
      <c r="A594" s="53" t="s">
        <v>2263</v>
      </c>
      <c r="B594" s="53" t="s">
        <v>3059</v>
      </c>
      <c r="C594" s="53" t="s">
        <v>1967</v>
      </c>
      <c r="D594" s="53" t="s">
        <v>1307</v>
      </c>
    </row>
    <row r="595" spans="1:4">
      <c r="A595" s="53" t="s">
        <v>2263</v>
      </c>
      <c r="B595" s="53" t="s">
        <v>3059</v>
      </c>
      <c r="C595" s="53" t="s">
        <v>1968</v>
      </c>
      <c r="D595" s="53" t="s">
        <v>1308</v>
      </c>
    </row>
    <row r="596" spans="1:4">
      <c r="A596" s="53" t="s">
        <v>2263</v>
      </c>
      <c r="B596" s="53" t="s">
        <v>3059</v>
      </c>
      <c r="C596" s="53" t="s">
        <v>1969</v>
      </c>
      <c r="D596" s="53" t="s">
        <v>1309</v>
      </c>
    </row>
    <row r="597" spans="1:4">
      <c r="A597" s="53" t="s">
        <v>2263</v>
      </c>
      <c r="B597" s="53" t="s">
        <v>3059</v>
      </c>
      <c r="C597" s="53" t="s">
        <v>1970</v>
      </c>
      <c r="D597" s="53" t="s">
        <v>1310</v>
      </c>
    </row>
    <row r="598" spans="1:4">
      <c r="A598" s="53" t="s">
        <v>2263</v>
      </c>
      <c r="B598" s="53" t="s">
        <v>3059</v>
      </c>
      <c r="C598" s="53" t="s">
        <v>1971</v>
      </c>
      <c r="D598" s="53" t="s">
        <v>1311</v>
      </c>
    </row>
    <row r="599" spans="1:4">
      <c r="A599" s="53" t="s">
        <v>2263</v>
      </c>
      <c r="B599" s="53" t="s">
        <v>3059</v>
      </c>
      <c r="C599" s="53" t="s">
        <v>1972</v>
      </c>
      <c r="D599" s="53" t="s">
        <v>1312</v>
      </c>
    </row>
    <row r="600" spans="1:4">
      <c r="A600" s="53" t="s">
        <v>2263</v>
      </c>
      <c r="B600" s="53" t="s">
        <v>3059</v>
      </c>
      <c r="C600" s="53" t="s">
        <v>1973</v>
      </c>
      <c r="D600" s="53" t="s">
        <v>1313</v>
      </c>
    </row>
    <row r="601" spans="1:4">
      <c r="A601" s="53" t="s">
        <v>2263</v>
      </c>
      <c r="B601" s="53" t="s">
        <v>3059</v>
      </c>
      <c r="C601" s="53" t="s">
        <v>1974</v>
      </c>
      <c r="D601" s="53" t="s">
        <v>1314</v>
      </c>
    </row>
    <row r="602" spans="1:4">
      <c r="A602" s="53" t="s">
        <v>2263</v>
      </c>
      <c r="B602" s="53" t="s">
        <v>3059</v>
      </c>
      <c r="C602" s="53" t="s">
        <v>1975</v>
      </c>
      <c r="D602" s="53" t="s">
        <v>4374</v>
      </c>
    </row>
    <row r="603" spans="1:4">
      <c r="A603" s="53" t="s">
        <v>1315</v>
      </c>
      <c r="B603" s="53" t="s">
        <v>1316</v>
      </c>
      <c r="C603" s="53" t="s">
        <v>3354</v>
      </c>
      <c r="D603" s="53" t="s">
        <v>2707</v>
      </c>
    </row>
    <row r="604" spans="1:4">
      <c r="A604" s="53" t="s">
        <v>1315</v>
      </c>
      <c r="B604" s="53" t="s">
        <v>1316</v>
      </c>
      <c r="C604" s="53" t="s">
        <v>1964</v>
      </c>
      <c r="D604" s="53" t="s">
        <v>2708</v>
      </c>
    </row>
    <row r="605" spans="1:4">
      <c r="A605" s="53" t="s">
        <v>1315</v>
      </c>
      <c r="B605" s="53" t="s">
        <v>1316</v>
      </c>
      <c r="C605" s="53" t="s">
        <v>1965</v>
      </c>
      <c r="D605" s="53" t="s">
        <v>2709</v>
      </c>
    </row>
    <row r="606" spans="1:4">
      <c r="A606" s="53" t="s">
        <v>1315</v>
      </c>
      <c r="B606" s="53" t="s">
        <v>1316</v>
      </c>
      <c r="C606" s="53" t="s">
        <v>1966</v>
      </c>
      <c r="D606" s="53" t="s">
        <v>3290</v>
      </c>
    </row>
    <row r="607" spans="1:4">
      <c r="A607" s="53" t="s">
        <v>1315</v>
      </c>
      <c r="B607" s="53" t="s">
        <v>1316</v>
      </c>
      <c r="C607" s="53" t="s">
        <v>1967</v>
      </c>
      <c r="D607" s="53" t="s">
        <v>3291</v>
      </c>
    </row>
    <row r="608" spans="1:4">
      <c r="A608" s="53" t="s">
        <v>1315</v>
      </c>
      <c r="B608" s="53" t="s">
        <v>1316</v>
      </c>
      <c r="C608" s="53" t="s">
        <v>1968</v>
      </c>
      <c r="D608" s="53" t="s">
        <v>3292</v>
      </c>
    </row>
    <row r="609" spans="1:4">
      <c r="A609" s="53" t="s">
        <v>1315</v>
      </c>
      <c r="B609" s="53" t="s">
        <v>1316</v>
      </c>
      <c r="C609" s="53" t="s">
        <v>1969</v>
      </c>
      <c r="D609" s="53" t="s">
        <v>2556</v>
      </c>
    </row>
    <row r="610" spans="1:4">
      <c r="A610" s="53" t="s">
        <v>1315</v>
      </c>
      <c r="B610" s="53" t="s">
        <v>1316</v>
      </c>
      <c r="C610" s="53" t="s">
        <v>1970</v>
      </c>
      <c r="D610" s="53" t="s">
        <v>1358</v>
      </c>
    </row>
    <row r="611" spans="1:4">
      <c r="A611" s="53" t="s">
        <v>1315</v>
      </c>
      <c r="B611" s="53" t="s">
        <v>1316</v>
      </c>
      <c r="C611" s="53" t="s">
        <v>1971</v>
      </c>
      <c r="D611" s="53" t="s">
        <v>3742</v>
      </c>
    </row>
    <row r="612" spans="1:4">
      <c r="A612" s="53" t="s">
        <v>1315</v>
      </c>
      <c r="B612" s="53" t="s">
        <v>1316</v>
      </c>
      <c r="C612" s="53" t="s">
        <v>1972</v>
      </c>
      <c r="D612" s="53" t="s">
        <v>3743</v>
      </c>
    </row>
    <row r="613" spans="1:4">
      <c r="A613" s="53" t="s">
        <v>1315</v>
      </c>
      <c r="B613" s="53" t="s">
        <v>1316</v>
      </c>
      <c r="C613" s="53" t="s">
        <v>1973</v>
      </c>
      <c r="D613" s="53" t="s">
        <v>3744</v>
      </c>
    </row>
    <row r="614" spans="1:4">
      <c r="A614" s="53" t="s">
        <v>1315</v>
      </c>
      <c r="B614" s="53" t="s">
        <v>1316</v>
      </c>
      <c r="C614" s="53" t="s">
        <v>1974</v>
      </c>
      <c r="D614" s="53" t="s">
        <v>3745</v>
      </c>
    </row>
    <row r="615" spans="1:4">
      <c r="A615" s="53" t="s">
        <v>1315</v>
      </c>
      <c r="B615" s="53" t="s">
        <v>1316</v>
      </c>
      <c r="C615" s="53" t="s">
        <v>1975</v>
      </c>
      <c r="D615" s="53" t="s">
        <v>4374</v>
      </c>
    </row>
    <row r="616" spans="1:4">
      <c r="A616" s="53" t="s">
        <v>1315</v>
      </c>
      <c r="B616" s="53" t="s">
        <v>1316</v>
      </c>
      <c r="C616" s="53" t="s">
        <v>1976</v>
      </c>
      <c r="D616" s="53" t="s">
        <v>3746</v>
      </c>
    </row>
    <row r="617" spans="1:4">
      <c r="A617" s="53" t="s">
        <v>3747</v>
      </c>
      <c r="B617" s="53" t="s">
        <v>442</v>
      </c>
      <c r="C617" s="53" t="s">
        <v>3354</v>
      </c>
      <c r="D617" s="53" t="s">
        <v>2096</v>
      </c>
    </row>
    <row r="618" spans="1:4">
      <c r="A618" s="53" t="s">
        <v>3747</v>
      </c>
      <c r="B618" s="53" t="s">
        <v>442</v>
      </c>
      <c r="C618" s="53" t="s">
        <v>1964</v>
      </c>
      <c r="D618" s="53" t="s">
        <v>2097</v>
      </c>
    </row>
    <row r="619" spans="1:4">
      <c r="A619" s="53" t="s">
        <v>3747</v>
      </c>
      <c r="B619" s="53" t="s">
        <v>442</v>
      </c>
      <c r="C619" s="53" t="s">
        <v>1965</v>
      </c>
      <c r="D619" s="53" t="s">
        <v>2163</v>
      </c>
    </row>
    <row r="620" spans="1:4">
      <c r="A620" s="53" t="s">
        <v>3747</v>
      </c>
      <c r="B620" s="53" t="s">
        <v>442</v>
      </c>
      <c r="C620" s="53" t="s">
        <v>1966</v>
      </c>
      <c r="D620" s="53" t="s">
        <v>2164</v>
      </c>
    </row>
    <row r="621" spans="1:4">
      <c r="A621" s="53" t="s">
        <v>3747</v>
      </c>
      <c r="B621" s="53" t="s">
        <v>442</v>
      </c>
      <c r="C621" s="53" t="s">
        <v>1967</v>
      </c>
      <c r="D621" s="53" t="s">
        <v>2088</v>
      </c>
    </row>
    <row r="622" spans="1:4">
      <c r="A622" s="53" t="s">
        <v>3747</v>
      </c>
      <c r="B622" s="53" t="s">
        <v>442</v>
      </c>
      <c r="C622" s="53" t="s">
        <v>1968</v>
      </c>
      <c r="D622" s="53" t="s">
        <v>3671</v>
      </c>
    </row>
    <row r="623" spans="1:4">
      <c r="A623" s="53" t="s">
        <v>3747</v>
      </c>
      <c r="B623" s="53" t="s">
        <v>442</v>
      </c>
      <c r="C623" s="53" t="s">
        <v>1969</v>
      </c>
      <c r="D623" s="53" t="s">
        <v>1920</v>
      </c>
    </row>
    <row r="624" spans="1:4">
      <c r="A624" s="53" t="s">
        <v>3747</v>
      </c>
      <c r="B624" s="53" t="s">
        <v>442</v>
      </c>
      <c r="C624" s="53" t="s">
        <v>1970</v>
      </c>
      <c r="D624" s="53" t="s">
        <v>2908</v>
      </c>
    </row>
    <row r="625" spans="1:4">
      <c r="A625" s="53" t="s">
        <v>3747</v>
      </c>
      <c r="B625" s="53" t="s">
        <v>442</v>
      </c>
      <c r="C625" s="53" t="s">
        <v>1971</v>
      </c>
      <c r="D625" s="53" t="s">
        <v>2909</v>
      </c>
    </row>
    <row r="626" spans="1:4">
      <c r="A626" s="53" t="s">
        <v>2910</v>
      </c>
      <c r="B626" s="53" t="s">
        <v>308</v>
      </c>
      <c r="C626" s="53" t="s">
        <v>3354</v>
      </c>
      <c r="D626" s="53" t="s">
        <v>309</v>
      </c>
    </row>
    <row r="627" spans="1:4">
      <c r="A627" s="53" t="s">
        <v>2910</v>
      </c>
      <c r="B627" s="53" t="s">
        <v>308</v>
      </c>
      <c r="C627" s="53" t="s">
        <v>1964</v>
      </c>
      <c r="D627" s="53" t="s">
        <v>4230</v>
      </c>
    </row>
    <row r="628" spans="1:4">
      <c r="A628" s="53" t="s">
        <v>2910</v>
      </c>
      <c r="B628" s="53" t="s">
        <v>308</v>
      </c>
      <c r="C628" s="53" t="s">
        <v>1965</v>
      </c>
      <c r="D628" s="53" t="s">
        <v>3806</v>
      </c>
    </row>
    <row r="629" spans="1:4">
      <c r="A629" s="53" t="s">
        <v>2910</v>
      </c>
      <c r="B629" s="53" t="s">
        <v>308</v>
      </c>
      <c r="C629" s="53" t="s">
        <v>1966</v>
      </c>
      <c r="D629" s="53" t="s">
        <v>2247</v>
      </c>
    </row>
    <row r="630" spans="1:4">
      <c r="A630" s="53" t="s">
        <v>2910</v>
      </c>
      <c r="B630" s="53" t="s">
        <v>308</v>
      </c>
      <c r="C630" s="53" t="s">
        <v>1967</v>
      </c>
      <c r="D630" s="53" t="s">
        <v>2248</v>
      </c>
    </row>
    <row r="631" spans="1:4">
      <c r="A631" s="53" t="s">
        <v>2910</v>
      </c>
      <c r="B631" s="53" t="s">
        <v>308</v>
      </c>
      <c r="C631" s="53" t="s">
        <v>1968</v>
      </c>
      <c r="D631" s="53" t="s">
        <v>1381</v>
      </c>
    </row>
    <row r="632" spans="1:4">
      <c r="A632" s="53" t="s">
        <v>2910</v>
      </c>
      <c r="B632" s="53" t="s">
        <v>308</v>
      </c>
      <c r="C632" s="53" t="s">
        <v>1969</v>
      </c>
      <c r="D632" s="53" t="s">
        <v>1382</v>
      </c>
    </row>
    <row r="633" spans="1:4">
      <c r="A633" s="53" t="s">
        <v>2910</v>
      </c>
      <c r="B633" s="53" t="s">
        <v>308</v>
      </c>
      <c r="C633" s="53" t="s">
        <v>1970</v>
      </c>
      <c r="D633" s="53" t="s">
        <v>1383</v>
      </c>
    </row>
    <row r="634" spans="1:4">
      <c r="A634" s="53" t="s">
        <v>2910</v>
      </c>
      <c r="B634" s="53" t="s">
        <v>308</v>
      </c>
      <c r="C634" s="53" t="s">
        <v>1971</v>
      </c>
      <c r="D634" s="53" t="s">
        <v>1384</v>
      </c>
    </row>
    <row r="635" spans="1:4">
      <c r="A635" s="53" t="s">
        <v>2910</v>
      </c>
      <c r="B635" s="53" t="s">
        <v>308</v>
      </c>
      <c r="C635" s="53" t="s">
        <v>1972</v>
      </c>
      <c r="D635" s="53" t="s">
        <v>2205</v>
      </c>
    </row>
    <row r="636" spans="1:4">
      <c r="A636" s="53" t="s">
        <v>2910</v>
      </c>
      <c r="B636" s="53" t="s">
        <v>308</v>
      </c>
      <c r="C636" s="53" t="s">
        <v>1973</v>
      </c>
      <c r="D636" s="53" t="s">
        <v>3096</v>
      </c>
    </row>
    <row r="637" spans="1:4">
      <c r="A637" s="53" t="s">
        <v>2910</v>
      </c>
      <c r="B637" s="53" t="s">
        <v>308</v>
      </c>
      <c r="C637" s="53" t="s">
        <v>1974</v>
      </c>
      <c r="D637" s="53" t="s">
        <v>4216</v>
      </c>
    </row>
    <row r="638" spans="1:4">
      <c r="A638" s="53" t="s">
        <v>2910</v>
      </c>
      <c r="B638" s="53" t="s">
        <v>308</v>
      </c>
      <c r="C638" s="53" t="s">
        <v>1975</v>
      </c>
      <c r="D638" s="53" t="s">
        <v>4217</v>
      </c>
    </row>
    <row r="639" spans="1:4">
      <c r="A639" s="53" t="s">
        <v>2910</v>
      </c>
      <c r="B639" s="53" t="s">
        <v>308</v>
      </c>
      <c r="C639" s="53" t="s">
        <v>1976</v>
      </c>
      <c r="D639" s="53" t="s">
        <v>4218</v>
      </c>
    </row>
    <row r="640" spans="1:4">
      <c r="A640" s="53" t="s">
        <v>2910</v>
      </c>
      <c r="B640" s="53" t="s">
        <v>308</v>
      </c>
      <c r="C640" s="53" t="s">
        <v>1977</v>
      </c>
      <c r="D640" s="53" t="s">
        <v>4219</v>
      </c>
    </row>
    <row r="641" spans="1:4">
      <c r="A641" s="53" t="s">
        <v>2910</v>
      </c>
      <c r="B641" s="53" t="s">
        <v>308</v>
      </c>
      <c r="C641" s="53" t="s">
        <v>1978</v>
      </c>
      <c r="D641" s="53" t="s">
        <v>528</v>
      </c>
    </row>
    <row r="642" spans="1:4">
      <c r="A642" s="53" t="s">
        <v>2910</v>
      </c>
      <c r="B642" s="53" t="s">
        <v>308</v>
      </c>
      <c r="C642" s="53" t="s">
        <v>1979</v>
      </c>
      <c r="D642" s="53" t="s">
        <v>4047</v>
      </c>
    </row>
    <row r="643" spans="1:4">
      <c r="A643" s="53" t="s">
        <v>2910</v>
      </c>
      <c r="B643" s="53" t="s">
        <v>308</v>
      </c>
      <c r="C643" s="53" t="s">
        <v>1980</v>
      </c>
      <c r="D643" s="53" t="s">
        <v>177</v>
      </c>
    </row>
    <row r="644" spans="1:4">
      <c r="A644" s="53" t="s">
        <v>2910</v>
      </c>
      <c r="B644" s="53" t="s">
        <v>308</v>
      </c>
      <c r="C644" s="53" t="s">
        <v>1981</v>
      </c>
      <c r="D644" s="53" t="s">
        <v>178</v>
      </c>
    </row>
    <row r="645" spans="1:4">
      <c r="A645" s="53" t="s">
        <v>2910</v>
      </c>
      <c r="B645" s="53" t="s">
        <v>308</v>
      </c>
      <c r="C645" s="53" t="s">
        <v>1982</v>
      </c>
      <c r="D645" s="53" t="s">
        <v>179</v>
      </c>
    </row>
    <row r="646" spans="1:4">
      <c r="A646" s="53" t="s">
        <v>2910</v>
      </c>
      <c r="B646" s="53" t="s">
        <v>308</v>
      </c>
      <c r="C646" s="53" t="s">
        <v>4150</v>
      </c>
      <c r="D646" s="53" t="s">
        <v>180</v>
      </c>
    </row>
    <row r="647" spans="1:4">
      <c r="A647" s="53" t="s">
        <v>2910</v>
      </c>
      <c r="B647" s="53" t="s">
        <v>308</v>
      </c>
      <c r="C647" s="53" t="s">
        <v>4151</v>
      </c>
      <c r="D647" s="53" t="s">
        <v>181</v>
      </c>
    </row>
    <row r="648" spans="1:4">
      <c r="A648" s="53" t="s">
        <v>2910</v>
      </c>
      <c r="B648" s="53" t="s">
        <v>308</v>
      </c>
      <c r="C648" s="53" t="s">
        <v>4152</v>
      </c>
      <c r="D648" s="53" t="s">
        <v>182</v>
      </c>
    </row>
    <row r="649" spans="1:4">
      <c r="A649" s="53" t="s">
        <v>2910</v>
      </c>
      <c r="B649" s="53" t="s">
        <v>308</v>
      </c>
      <c r="C649" s="53" t="s">
        <v>4153</v>
      </c>
      <c r="D649" s="53" t="s">
        <v>4347</v>
      </c>
    </row>
    <row r="650" spans="1:4">
      <c r="A650" s="53" t="s">
        <v>2910</v>
      </c>
      <c r="B650" s="53" t="s">
        <v>308</v>
      </c>
      <c r="C650" s="53" t="s">
        <v>4154</v>
      </c>
      <c r="D650" s="53" t="s">
        <v>4348</v>
      </c>
    </row>
    <row r="651" spans="1:4">
      <c r="A651" s="53" t="s">
        <v>2910</v>
      </c>
      <c r="B651" s="53" t="s">
        <v>308</v>
      </c>
      <c r="C651" s="53" t="s">
        <v>4155</v>
      </c>
      <c r="D651" s="53" t="s">
        <v>1277</v>
      </c>
    </row>
    <row r="652" spans="1:4">
      <c r="A652" s="53" t="s">
        <v>2910</v>
      </c>
      <c r="B652" s="53" t="s">
        <v>308</v>
      </c>
      <c r="C652" s="53" t="s">
        <v>4156</v>
      </c>
      <c r="D652" s="53" t="s">
        <v>1984</v>
      </c>
    </row>
    <row r="653" spans="1:4">
      <c r="A653" s="53" t="s">
        <v>2910</v>
      </c>
      <c r="B653" s="53" t="s">
        <v>308</v>
      </c>
      <c r="C653" s="53" t="s">
        <v>4157</v>
      </c>
      <c r="D653" s="53" t="s">
        <v>1985</v>
      </c>
    </row>
    <row r="654" spans="1:4">
      <c r="A654" s="53" t="s">
        <v>2910</v>
      </c>
      <c r="B654" s="53" t="s">
        <v>308</v>
      </c>
      <c r="C654" s="53" t="s">
        <v>4158</v>
      </c>
      <c r="D654" s="53" t="s">
        <v>1986</v>
      </c>
    </row>
    <row r="655" spans="1:4">
      <c r="A655" s="53" t="s">
        <v>1987</v>
      </c>
      <c r="B655" s="53" t="s">
        <v>3064</v>
      </c>
      <c r="C655" s="53" t="s">
        <v>3354</v>
      </c>
      <c r="D655" s="53" t="s">
        <v>3065</v>
      </c>
    </row>
    <row r="656" spans="1:4">
      <c r="A656" s="53" t="s">
        <v>1987</v>
      </c>
      <c r="B656" s="53" t="s">
        <v>3064</v>
      </c>
      <c r="C656" s="53" t="s">
        <v>1964</v>
      </c>
      <c r="D656" s="53" t="s">
        <v>3066</v>
      </c>
    </row>
    <row r="657" spans="1:4">
      <c r="A657" s="53" t="s">
        <v>1987</v>
      </c>
      <c r="B657" s="53" t="s">
        <v>3064</v>
      </c>
      <c r="C657" s="53" t="s">
        <v>1965</v>
      </c>
      <c r="D657" s="53" t="s">
        <v>3067</v>
      </c>
    </row>
    <row r="658" spans="1:4">
      <c r="A658" s="53" t="s">
        <v>1987</v>
      </c>
      <c r="B658" s="53" t="s">
        <v>3064</v>
      </c>
      <c r="C658" s="53" t="s">
        <v>1966</v>
      </c>
      <c r="D658" s="53" t="s">
        <v>3068</v>
      </c>
    </row>
    <row r="659" spans="1:4">
      <c r="A659" s="53" t="s">
        <v>1987</v>
      </c>
      <c r="B659" s="53" t="s">
        <v>3064</v>
      </c>
      <c r="C659" s="53" t="s">
        <v>1967</v>
      </c>
      <c r="D659" s="53" t="s">
        <v>3069</v>
      </c>
    </row>
    <row r="660" spans="1:4">
      <c r="A660" s="53" t="s">
        <v>1987</v>
      </c>
      <c r="B660" s="53" t="s">
        <v>3064</v>
      </c>
      <c r="C660" s="53" t="s">
        <v>1968</v>
      </c>
      <c r="D660" s="53" t="s">
        <v>1389</v>
      </c>
    </row>
    <row r="661" spans="1:4">
      <c r="A661" s="53" t="s">
        <v>1390</v>
      </c>
      <c r="B661" s="53" t="s">
        <v>1420</v>
      </c>
      <c r="C661" s="53" t="s">
        <v>3354</v>
      </c>
      <c r="D661" s="53" t="s">
        <v>1421</v>
      </c>
    </row>
    <row r="662" spans="1:4">
      <c r="A662" s="53" t="s">
        <v>1390</v>
      </c>
      <c r="B662" s="53" t="s">
        <v>1420</v>
      </c>
      <c r="C662" s="53" t="s">
        <v>1964</v>
      </c>
      <c r="D662" s="53" t="s">
        <v>1438</v>
      </c>
    </row>
    <row r="663" spans="1:4">
      <c r="A663" s="53" t="s">
        <v>1390</v>
      </c>
      <c r="B663" s="53" t="s">
        <v>1420</v>
      </c>
      <c r="C663" s="53" t="s">
        <v>1965</v>
      </c>
      <c r="D663" s="53" t="s">
        <v>1439</v>
      </c>
    </row>
    <row r="664" spans="1:4">
      <c r="A664" s="53" t="s">
        <v>1390</v>
      </c>
      <c r="B664" s="53" t="s">
        <v>1420</v>
      </c>
      <c r="C664" s="53" t="s">
        <v>1966</v>
      </c>
      <c r="D664" s="53" t="s">
        <v>1440</v>
      </c>
    </row>
    <row r="665" spans="1:4">
      <c r="A665" s="53" t="s">
        <v>1390</v>
      </c>
      <c r="B665" s="53" t="s">
        <v>1420</v>
      </c>
      <c r="C665" s="53" t="s">
        <v>1967</v>
      </c>
      <c r="D665" s="53" t="s">
        <v>3210</v>
      </c>
    </row>
    <row r="666" spans="1:4">
      <c r="A666" s="53" t="s">
        <v>1390</v>
      </c>
      <c r="B666" s="53" t="s">
        <v>1420</v>
      </c>
      <c r="C666" s="53" t="s">
        <v>1968</v>
      </c>
      <c r="D666" s="53" t="s">
        <v>3211</v>
      </c>
    </row>
    <row r="667" spans="1:4">
      <c r="A667" s="53" t="s">
        <v>1390</v>
      </c>
      <c r="B667" s="53" t="s">
        <v>1420</v>
      </c>
      <c r="C667" s="53" t="s">
        <v>1969</v>
      </c>
      <c r="D667" s="53" t="s">
        <v>3212</v>
      </c>
    </row>
    <row r="668" spans="1:4">
      <c r="A668" s="53" t="s">
        <v>1390</v>
      </c>
      <c r="B668" s="53" t="s">
        <v>1420</v>
      </c>
      <c r="C668" s="53" t="s">
        <v>1970</v>
      </c>
      <c r="D668" s="53" t="s">
        <v>3213</v>
      </c>
    </row>
    <row r="669" spans="1:4">
      <c r="A669" s="53" t="s">
        <v>1390</v>
      </c>
      <c r="B669" s="53" t="s">
        <v>1420</v>
      </c>
      <c r="C669" s="53" t="s">
        <v>1971</v>
      </c>
      <c r="D669" s="53" t="s">
        <v>3214</v>
      </c>
    </row>
    <row r="670" spans="1:4">
      <c r="A670" s="53" t="s">
        <v>1390</v>
      </c>
      <c r="B670" s="53" t="s">
        <v>1420</v>
      </c>
      <c r="C670" s="53" t="s">
        <v>1972</v>
      </c>
      <c r="D670" s="53" t="s">
        <v>3215</v>
      </c>
    </row>
    <row r="671" spans="1:4">
      <c r="A671" s="53" t="s">
        <v>1390</v>
      </c>
      <c r="B671" s="53" t="s">
        <v>1420</v>
      </c>
      <c r="C671" s="53" t="s">
        <v>1973</v>
      </c>
      <c r="D671" s="53" t="s">
        <v>3216</v>
      </c>
    </row>
    <row r="672" spans="1:4">
      <c r="A672" s="53" t="s">
        <v>1390</v>
      </c>
      <c r="B672" s="53" t="s">
        <v>1420</v>
      </c>
      <c r="C672" s="53" t="s">
        <v>1974</v>
      </c>
      <c r="D672" s="53" t="s">
        <v>3217</v>
      </c>
    </row>
    <row r="673" spans="1:4">
      <c r="A673" s="53" t="s">
        <v>1390</v>
      </c>
      <c r="B673" s="53" t="s">
        <v>1420</v>
      </c>
      <c r="C673" s="53" t="s">
        <v>1975</v>
      </c>
      <c r="D673" s="53" t="s">
        <v>3218</v>
      </c>
    </row>
    <row r="674" spans="1:4">
      <c r="A674" s="53" t="s">
        <v>1390</v>
      </c>
      <c r="B674" s="53" t="s">
        <v>1420</v>
      </c>
      <c r="C674" s="53" t="s">
        <v>1976</v>
      </c>
      <c r="D674" s="53" t="s">
        <v>420</v>
      </c>
    </row>
    <row r="675" spans="1:4">
      <c r="A675" s="53" t="s">
        <v>1390</v>
      </c>
      <c r="B675" s="53" t="s">
        <v>1420</v>
      </c>
      <c r="C675" s="53" t="s">
        <v>1977</v>
      </c>
      <c r="D675" s="53" t="s">
        <v>421</v>
      </c>
    </row>
    <row r="676" spans="1:4">
      <c r="A676" s="53" t="s">
        <v>422</v>
      </c>
      <c r="B676" s="53" t="s">
        <v>423</v>
      </c>
      <c r="C676" s="53" t="s">
        <v>3354</v>
      </c>
      <c r="D676" s="53" t="s">
        <v>2155</v>
      </c>
    </row>
    <row r="677" spans="1:4">
      <c r="A677" s="53" t="s">
        <v>422</v>
      </c>
      <c r="B677" s="53" t="s">
        <v>423</v>
      </c>
      <c r="C677" s="53" t="s">
        <v>1964</v>
      </c>
      <c r="D677" s="53" t="s">
        <v>2156</v>
      </c>
    </row>
    <row r="678" spans="1:4">
      <c r="A678" s="53" t="s">
        <v>422</v>
      </c>
      <c r="B678" s="53" t="s">
        <v>423</v>
      </c>
      <c r="C678" s="53" t="s">
        <v>1965</v>
      </c>
      <c r="D678" s="53" t="s">
        <v>2157</v>
      </c>
    </row>
    <row r="679" spans="1:4">
      <c r="A679" s="53" t="s">
        <v>422</v>
      </c>
      <c r="B679" s="53" t="s">
        <v>423</v>
      </c>
      <c r="C679" s="53" t="s">
        <v>1966</v>
      </c>
      <c r="D679" s="53" t="s">
        <v>2158</v>
      </c>
    </row>
    <row r="680" spans="1:4">
      <c r="A680" s="53" t="s">
        <v>422</v>
      </c>
      <c r="B680" s="53" t="s">
        <v>423</v>
      </c>
      <c r="C680" s="53" t="s">
        <v>1967</v>
      </c>
      <c r="D680" s="53" t="s">
        <v>2159</v>
      </c>
    </row>
    <row r="681" spans="1:4">
      <c r="A681" s="53" t="s">
        <v>422</v>
      </c>
      <c r="B681" s="53" t="s">
        <v>423</v>
      </c>
      <c r="C681" s="53" t="s">
        <v>1968</v>
      </c>
      <c r="D681" s="53" t="s">
        <v>598</v>
      </c>
    </row>
    <row r="682" spans="1:4">
      <c r="A682" s="53" t="s">
        <v>422</v>
      </c>
      <c r="B682" s="53" t="s">
        <v>423</v>
      </c>
      <c r="C682" s="53" t="s">
        <v>1969</v>
      </c>
      <c r="D682" s="53" t="s">
        <v>599</v>
      </c>
    </row>
    <row r="683" spans="1:4">
      <c r="A683" s="53" t="s">
        <v>422</v>
      </c>
      <c r="B683" s="53" t="s">
        <v>423</v>
      </c>
      <c r="C683" s="53" t="s">
        <v>1970</v>
      </c>
      <c r="D683" s="53" t="s">
        <v>600</v>
      </c>
    </row>
    <row r="684" spans="1:4">
      <c r="A684" s="53" t="s">
        <v>422</v>
      </c>
      <c r="B684" s="53" t="s">
        <v>423</v>
      </c>
      <c r="C684" s="53" t="s">
        <v>1971</v>
      </c>
      <c r="D684" s="53" t="s">
        <v>597</v>
      </c>
    </row>
    <row r="685" spans="1:4">
      <c r="A685" s="53" t="s">
        <v>422</v>
      </c>
      <c r="B685" s="53" t="s">
        <v>423</v>
      </c>
      <c r="C685" s="53" t="s">
        <v>1972</v>
      </c>
      <c r="D685" s="53" t="s">
        <v>3967</v>
      </c>
    </row>
    <row r="686" spans="1:4">
      <c r="A686" s="53" t="s">
        <v>422</v>
      </c>
      <c r="B686" s="53" t="s">
        <v>423</v>
      </c>
      <c r="C686" s="53" t="s">
        <v>1973</v>
      </c>
      <c r="D686" s="53" t="s">
        <v>3968</v>
      </c>
    </row>
    <row r="687" spans="1:4">
      <c r="A687" s="53" t="s">
        <v>422</v>
      </c>
      <c r="B687" s="53" t="s">
        <v>423</v>
      </c>
      <c r="C687" s="53" t="s">
        <v>1974</v>
      </c>
      <c r="D687" s="53" t="s">
        <v>3054</v>
      </c>
    </row>
    <row r="688" spans="1:4">
      <c r="A688" s="53" t="s">
        <v>422</v>
      </c>
      <c r="B688" s="53" t="s">
        <v>423</v>
      </c>
      <c r="C688" s="53" t="s">
        <v>1975</v>
      </c>
      <c r="D688" s="53" t="s">
        <v>3055</v>
      </c>
    </row>
    <row r="689" spans="1:4">
      <c r="A689" s="53" t="s">
        <v>422</v>
      </c>
      <c r="B689" s="53" t="s">
        <v>423</v>
      </c>
      <c r="C689" s="53" t="s">
        <v>1976</v>
      </c>
      <c r="D689" s="53" t="s">
        <v>3699</v>
      </c>
    </row>
    <row r="690" spans="1:4">
      <c r="A690" s="53" t="s">
        <v>422</v>
      </c>
      <c r="B690" s="53" t="s">
        <v>423</v>
      </c>
      <c r="C690" s="53" t="s">
        <v>1977</v>
      </c>
      <c r="D690" s="53" t="s">
        <v>3700</v>
      </c>
    </row>
    <row r="691" spans="1:4">
      <c r="A691" s="53" t="s">
        <v>422</v>
      </c>
      <c r="B691" s="53" t="s">
        <v>423</v>
      </c>
      <c r="C691" s="53" t="s">
        <v>1978</v>
      </c>
      <c r="D691" s="53" t="s">
        <v>3701</v>
      </c>
    </row>
    <row r="692" spans="1:4">
      <c r="A692" s="53" t="s">
        <v>422</v>
      </c>
      <c r="B692" s="53" t="s">
        <v>423</v>
      </c>
      <c r="C692" s="53" t="s">
        <v>1979</v>
      </c>
      <c r="D692" s="53" t="s">
        <v>3702</v>
      </c>
    </row>
    <row r="693" spans="1:4">
      <c r="A693" s="53" t="s">
        <v>422</v>
      </c>
      <c r="B693" s="53" t="s">
        <v>423</v>
      </c>
      <c r="C693" s="53" t="s">
        <v>1980</v>
      </c>
      <c r="D693" s="53" t="s">
        <v>3974</v>
      </c>
    </row>
    <row r="694" spans="1:4">
      <c r="A694" s="53" t="s">
        <v>422</v>
      </c>
      <c r="B694" s="53" t="s">
        <v>423</v>
      </c>
      <c r="C694" s="53" t="s">
        <v>1981</v>
      </c>
      <c r="D694" s="53" t="s">
        <v>1122</v>
      </c>
    </row>
    <row r="695" spans="1:4">
      <c r="A695" s="53" t="s">
        <v>422</v>
      </c>
      <c r="B695" s="53" t="s">
        <v>423</v>
      </c>
      <c r="C695" s="53" t="s">
        <v>1982</v>
      </c>
      <c r="D695" s="53" t="s">
        <v>571</v>
      </c>
    </row>
    <row r="696" spans="1:4">
      <c r="A696" s="53" t="s">
        <v>422</v>
      </c>
      <c r="B696" s="53" t="s">
        <v>423</v>
      </c>
      <c r="C696" s="53" t="s">
        <v>4150</v>
      </c>
      <c r="D696" s="53" t="s">
        <v>572</v>
      </c>
    </row>
    <row r="697" spans="1:4">
      <c r="A697" s="53" t="s">
        <v>422</v>
      </c>
      <c r="B697" s="53" t="s">
        <v>423</v>
      </c>
      <c r="C697" s="53" t="s">
        <v>4151</v>
      </c>
      <c r="D697" s="53" t="s">
        <v>573</v>
      </c>
    </row>
    <row r="698" spans="1:4">
      <c r="A698" s="53" t="s">
        <v>422</v>
      </c>
      <c r="B698" s="53" t="s">
        <v>423</v>
      </c>
      <c r="C698" s="53" t="s">
        <v>4152</v>
      </c>
      <c r="D698" s="53" t="s">
        <v>574</v>
      </c>
    </row>
    <row r="699" spans="1:4">
      <c r="A699" s="53" t="s">
        <v>575</v>
      </c>
      <c r="B699" s="53" t="s">
        <v>1249</v>
      </c>
      <c r="C699" s="53" t="s">
        <v>3354</v>
      </c>
      <c r="D699" s="53" t="s">
        <v>1250</v>
      </c>
    </row>
    <row r="700" spans="1:4">
      <c r="A700" s="53" t="s">
        <v>575</v>
      </c>
      <c r="B700" s="53" t="s">
        <v>1249</v>
      </c>
      <c r="C700" s="53" t="s">
        <v>1964</v>
      </c>
      <c r="D700" s="53" t="s">
        <v>1251</v>
      </c>
    </row>
    <row r="701" spans="1:4">
      <c r="A701" s="53" t="s">
        <v>575</v>
      </c>
      <c r="B701" s="53" t="s">
        <v>1249</v>
      </c>
      <c r="C701" s="53" t="s">
        <v>1965</v>
      </c>
      <c r="D701" s="53" t="s">
        <v>1252</v>
      </c>
    </row>
    <row r="702" spans="1:4">
      <c r="A702" s="53" t="s">
        <v>575</v>
      </c>
      <c r="B702" s="53" t="s">
        <v>1249</v>
      </c>
      <c r="C702" s="53" t="s">
        <v>1966</v>
      </c>
      <c r="D702" s="53" t="s">
        <v>1253</v>
      </c>
    </row>
    <row r="703" spans="1:4">
      <c r="A703" s="53" t="s">
        <v>575</v>
      </c>
      <c r="B703" s="53" t="s">
        <v>1249</v>
      </c>
      <c r="C703" s="53" t="s">
        <v>1967</v>
      </c>
      <c r="D703" s="53" t="s">
        <v>1254</v>
      </c>
    </row>
    <row r="704" spans="1:4">
      <c r="A704" s="53" t="s">
        <v>575</v>
      </c>
      <c r="B704" s="53" t="s">
        <v>1249</v>
      </c>
      <c r="C704" s="53" t="s">
        <v>1968</v>
      </c>
      <c r="D704" s="53" t="s">
        <v>1255</v>
      </c>
    </row>
    <row r="705" spans="1:4">
      <c r="A705" s="53" t="s">
        <v>575</v>
      </c>
      <c r="B705" s="53" t="s">
        <v>1249</v>
      </c>
      <c r="C705" s="53" t="s">
        <v>1969</v>
      </c>
      <c r="D705" s="53" t="s">
        <v>1256</v>
      </c>
    </row>
    <row r="706" spans="1:4">
      <c r="A706" s="53" t="s">
        <v>575</v>
      </c>
      <c r="B706" s="53" t="s">
        <v>1249</v>
      </c>
      <c r="C706" s="53" t="s">
        <v>1970</v>
      </c>
      <c r="D706" s="53" t="s">
        <v>1257</v>
      </c>
    </row>
    <row r="707" spans="1:4">
      <c r="A707" s="53" t="s">
        <v>575</v>
      </c>
      <c r="B707" s="53" t="s">
        <v>1249</v>
      </c>
      <c r="C707" s="53" t="s">
        <v>1971</v>
      </c>
      <c r="D707" s="53" t="s">
        <v>3099</v>
      </c>
    </row>
    <row r="708" spans="1:4">
      <c r="A708" s="53" t="s">
        <v>575</v>
      </c>
      <c r="B708" s="53" t="s">
        <v>1249</v>
      </c>
      <c r="C708" s="53" t="s">
        <v>1972</v>
      </c>
      <c r="D708" s="53" t="s">
        <v>3100</v>
      </c>
    </row>
    <row r="709" spans="1:4">
      <c r="A709" s="53" t="s">
        <v>575</v>
      </c>
      <c r="B709" s="53" t="s">
        <v>1249</v>
      </c>
      <c r="C709" s="53" t="s">
        <v>1973</v>
      </c>
      <c r="D709" s="53" t="s">
        <v>3101</v>
      </c>
    </row>
    <row r="710" spans="1:4">
      <c r="A710" s="53" t="s">
        <v>575</v>
      </c>
      <c r="B710" s="53" t="s">
        <v>1249</v>
      </c>
      <c r="C710" s="53" t="s">
        <v>1974</v>
      </c>
      <c r="D710" s="53" t="s">
        <v>3102</v>
      </c>
    </row>
    <row r="711" spans="1:4">
      <c r="A711" s="53" t="s">
        <v>575</v>
      </c>
      <c r="B711" s="53" t="s">
        <v>1249</v>
      </c>
      <c r="C711" s="53" t="s">
        <v>1975</v>
      </c>
      <c r="D711" s="53" t="s">
        <v>3103</v>
      </c>
    </row>
    <row r="712" spans="1:4">
      <c r="A712" s="53" t="s">
        <v>575</v>
      </c>
      <c r="B712" s="53" t="s">
        <v>1249</v>
      </c>
      <c r="C712" s="53" t="s">
        <v>1976</v>
      </c>
      <c r="D712" s="53" t="s">
        <v>3104</v>
      </c>
    </row>
    <row r="713" spans="1:4">
      <c r="A713" s="53" t="s">
        <v>575</v>
      </c>
      <c r="B713" s="53" t="s">
        <v>1249</v>
      </c>
      <c r="C713" s="53" t="s">
        <v>1977</v>
      </c>
      <c r="D713" s="53" t="s">
        <v>3105</v>
      </c>
    </row>
    <row r="714" spans="1:4">
      <c r="A714" s="53" t="s">
        <v>575</v>
      </c>
      <c r="B714" s="53" t="s">
        <v>1249</v>
      </c>
      <c r="C714" s="53" t="s">
        <v>1978</v>
      </c>
      <c r="D714" s="53" t="s">
        <v>3260</v>
      </c>
    </row>
    <row r="715" spans="1:4">
      <c r="A715" s="53" t="s">
        <v>575</v>
      </c>
      <c r="B715" s="53" t="s">
        <v>1249</v>
      </c>
      <c r="C715" s="53" t="s">
        <v>1979</v>
      </c>
      <c r="D715" s="53" t="s">
        <v>3261</v>
      </c>
    </row>
    <row r="716" spans="1:4">
      <c r="A716" s="53" t="s">
        <v>575</v>
      </c>
      <c r="B716" s="53" t="s">
        <v>1249</v>
      </c>
      <c r="C716" s="53" t="s">
        <v>1980</v>
      </c>
      <c r="D716" s="53" t="s">
        <v>3262</v>
      </c>
    </row>
    <row r="717" spans="1:4">
      <c r="A717" s="53" t="s">
        <v>575</v>
      </c>
      <c r="B717" s="53" t="s">
        <v>1249</v>
      </c>
      <c r="C717" s="53" t="s">
        <v>1981</v>
      </c>
      <c r="D717" s="53" t="s">
        <v>3263</v>
      </c>
    </row>
    <row r="718" spans="1:4">
      <c r="A718" s="53" t="s">
        <v>575</v>
      </c>
      <c r="B718" s="53" t="s">
        <v>1249</v>
      </c>
      <c r="C718" s="53" t="s">
        <v>1982</v>
      </c>
      <c r="D718" s="53" t="s">
        <v>3264</v>
      </c>
    </row>
    <row r="719" spans="1:4">
      <c r="A719" s="53" t="s">
        <v>3265</v>
      </c>
      <c r="B719" s="53" t="s">
        <v>3266</v>
      </c>
      <c r="C719" s="53" t="s">
        <v>3354</v>
      </c>
      <c r="D719" s="53" t="s">
        <v>3267</v>
      </c>
    </row>
    <row r="720" spans="1:4">
      <c r="A720" s="53" t="s">
        <v>3265</v>
      </c>
      <c r="B720" s="53" t="s">
        <v>3266</v>
      </c>
      <c r="C720" s="53" t="s">
        <v>1964</v>
      </c>
      <c r="D720" s="53" t="s">
        <v>100</v>
      </c>
    </row>
    <row r="721" spans="1:4">
      <c r="A721" s="53" t="s">
        <v>101</v>
      </c>
      <c r="B721" s="53" t="s">
        <v>102</v>
      </c>
      <c r="C721" s="53" t="s">
        <v>3354</v>
      </c>
      <c r="D721" s="53" t="s">
        <v>1272</v>
      </c>
    </row>
    <row r="722" spans="1:4">
      <c r="A722" s="53" t="s">
        <v>101</v>
      </c>
      <c r="B722" s="53" t="s">
        <v>102</v>
      </c>
      <c r="C722" s="53" t="s">
        <v>1964</v>
      </c>
      <c r="D722" s="53" t="s">
        <v>1273</v>
      </c>
    </row>
    <row r="723" spans="1:4">
      <c r="A723" s="53" t="s">
        <v>1274</v>
      </c>
      <c r="B723" s="53" t="s">
        <v>1275</v>
      </c>
      <c r="C723" s="53" t="s">
        <v>3354</v>
      </c>
      <c r="D723" s="53" t="s">
        <v>1276</v>
      </c>
    </row>
    <row r="724" spans="1:4">
      <c r="A724" s="53" t="s">
        <v>1274</v>
      </c>
      <c r="B724" s="53" t="s">
        <v>1275</v>
      </c>
      <c r="C724" s="53" t="s">
        <v>1964</v>
      </c>
      <c r="D724" s="53" t="s">
        <v>2265</v>
      </c>
    </row>
    <row r="725" spans="1:4">
      <c r="A725" s="53" t="s">
        <v>1274</v>
      </c>
      <c r="B725" s="53" t="s">
        <v>1275</v>
      </c>
      <c r="C725" s="53" t="s">
        <v>1965</v>
      </c>
      <c r="D725" s="53" t="s">
        <v>2266</v>
      </c>
    </row>
    <row r="726" spans="1:4">
      <c r="A726" s="53" t="s">
        <v>1274</v>
      </c>
      <c r="B726" s="53" t="s">
        <v>1275</v>
      </c>
      <c r="C726" s="53" t="s">
        <v>1966</v>
      </c>
      <c r="D726" s="53" t="s">
        <v>2267</v>
      </c>
    </row>
    <row r="727" spans="1:4">
      <c r="A727" s="53" t="s">
        <v>1274</v>
      </c>
      <c r="B727" s="53" t="s">
        <v>1275</v>
      </c>
      <c r="C727" s="53" t="s">
        <v>1967</v>
      </c>
      <c r="D727" s="53" t="s">
        <v>2268</v>
      </c>
    </row>
    <row r="728" spans="1:4">
      <c r="A728" s="53" t="s">
        <v>1274</v>
      </c>
      <c r="B728" s="53" t="s">
        <v>1275</v>
      </c>
      <c r="C728" s="53" t="s">
        <v>1968</v>
      </c>
      <c r="D728" s="53" t="s">
        <v>4402</v>
      </c>
    </row>
    <row r="729" spans="1:4">
      <c r="A729" s="53" t="s">
        <v>1274</v>
      </c>
      <c r="B729" s="53" t="s">
        <v>1275</v>
      </c>
      <c r="C729" s="53" t="s">
        <v>1969</v>
      </c>
      <c r="D729" s="53" t="s">
        <v>4403</v>
      </c>
    </row>
    <row r="730" spans="1:4">
      <c r="A730" s="53" t="s">
        <v>1274</v>
      </c>
      <c r="B730" s="53" t="s">
        <v>1275</v>
      </c>
      <c r="C730" s="53" t="s">
        <v>1970</v>
      </c>
      <c r="D730" s="53" t="s">
        <v>4404</v>
      </c>
    </row>
    <row r="731" spans="1:4">
      <c r="A731" s="53" t="s">
        <v>1274</v>
      </c>
      <c r="B731" s="53" t="s">
        <v>1275</v>
      </c>
      <c r="C731" s="53" t="s">
        <v>1971</v>
      </c>
      <c r="D731" s="53" t="s">
        <v>4405</v>
      </c>
    </row>
    <row r="732" spans="1:4">
      <c r="A732" s="53" t="s">
        <v>1274</v>
      </c>
      <c r="B732" s="53" t="s">
        <v>1275</v>
      </c>
      <c r="C732" s="53" t="s">
        <v>1972</v>
      </c>
      <c r="D732" s="53" t="s">
        <v>104</v>
      </c>
    </row>
    <row r="733" spans="1:4">
      <c r="A733" s="53" t="s">
        <v>1274</v>
      </c>
      <c r="B733" s="53" t="s">
        <v>1275</v>
      </c>
      <c r="C733" s="53" t="s">
        <v>1973</v>
      </c>
      <c r="D733" s="53" t="s">
        <v>2182</v>
      </c>
    </row>
    <row r="734" spans="1:4">
      <c r="A734" s="53" t="s">
        <v>1274</v>
      </c>
      <c r="B734" s="53" t="s">
        <v>1275</v>
      </c>
      <c r="C734" s="53" t="s">
        <v>1974</v>
      </c>
      <c r="D734" s="53" t="s">
        <v>2183</v>
      </c>
    </row>
    <row r="735" spans="1:4">
      <c r="A735" s="53" t="s">
        <v>1274</v>
      </c>
      <c r="B735" s="53" t="s">
        <v>1275</v>
      </c>
      <c r="C735" s="53" t="s">
        <v>1975</v>
      </c>
      <c r="D735" s="53" t="s">
        <v>2184</v>
      </c>
    </row>
    <row r="736" spans="1:4">
      <c r="A736" s="53" t="s">
        <v>1274</v>
      </c>
      <c r="B736" s="53" t="s">
        <v>1275</v>
      </c>
      <c r="C736" s="53" t="s">
        <v>1976</v>
      </c>
      <c r="D736" s="53" t="s">
        <v>2185</v>
      </c>
    </row>
    <row r="737" spans="1:4">
      <c r="A737" s="53" t="s">
        <v>1274</v>
      </c>
      <c r="B737" s="53" t="s">
        <v>1275</v>
      </c>
      <c r="C737" s="53" t="s">
        <v>1977</v>
      </c>
      <c r="D737" s="53" t="s">
        <v>2953</v>
      </c>
    </row>
    <row r="738" spans="1:4">
      <c r="A738" s="53" t="s">
        <v>1274</v>
      </c>
      <c r="B738" s="53" t="s">
        <v>1275</v>
      </c>
      <c r="C738" s="53" t="s">
        <v>1978</v>
      </c>
      <c r="D738" s="53" t="s">
        <v>2954</v>
      </c>
    </row>
    <row r="739" spans="1:4">
      <c r="A739" s="53" t="s">
        <v>1274</v>
      </c>
      <c r="B739" s="53" t="s">
        <v>1275</v>
      </c>
      <c r="C739" s="53" t="s">
        <v>1979</v>
      </c>
      <c r="D739" s="53" t="s">
        <v>3547</v>
      </c>
    </row>
    <row r="740" spans="1:4">
      <c r="A740" s="53" t="s">
        <v>1274</v>
      </c>
      <c r="B740" s="53" t="s">
        <v>1275</v>
      </c>
      <c r="C740" s="53" t="s">
        <v>1980</v>
      </c>
      <c r="D740" s="53" t="s">
        <v>3548</v>
      </c>
    </row>
    <row r="741" spans="1:4">
      <c r="A741" s="53" t="s">
        <v>1274</v>
      </c>
      <c r="B741" s="53" t="s">
        <v>1275</v>
      </c>
      <c r="C741" s="53" t="s">
        <v>1981</v>
      </c>
      <c r="D741" s="53" t="s">
        <v>3549</v>
      </c>
    </row>
    <row r="742" spans="1:4">
      <c r="A742" s="53" t="s">
        <v>1274</v>
      </c>
      <c r="B742" s="53" t="s">
        <v>1275</v>
      </c>
      <c r="C742" s="53" t="s">
        <v>1982</v>
      </c>
      <c r="D742" s="53" t="s">
        <v>3550</v>
      </c>
    </row>
    <row r="743" spans="1:4">
      <c r="A743" s="53" t="s">
        <v>1274</v>
      </c>
      <c r="B743" s="53" t="s">
        <v>1275</v>
      </c>
      <c r="C743" s="53" t="s">
        <v>4150</v>
      </c>
      <c r="D743" s="53" t="s">
        <v>3551</v>
      </c>
    </row>
    <row r="744" spans="1:4">
      <c r="A744" s="53" t="s">
        <v>3552</v>
      </c>
      <c r="B744" s="53" t="s">
        <v>3553</v>
      </c>
      <c r="C744" s="53" t="s">
        <v>3354</v>
      </c>
      <c r="D744" s="53" t="s">
        <v>3554</v>
      </c>
    </row>
    <row r="745" spans="1:4">
      <c r="A745" s="53" t="s">
        <v>3552</v>
      </c>
      <c r="B745" s="53" t="s">
        <v>3553</v>
      </c>
      <c r="C745" s="53" t="s">
        <v>1964</v>
      </c>
      <c r="D745" s="53" t="s">
        <v>1376</v>
      </c>
    </row>
    <row r="746" spans="1:4">
      <c r="A746" s="53" t="s">
        <v>3552</v>
      </c>
      <c r="B746" s="53" t="s">
        <v>3553</v>
      </c>
      <c r="C746" s="53" t="s">
        <v>1965</v>
      </c>
      <c r="D746" s="53" t="s">
        <v>152</v>
      </c>
    </row>
    <row r="747" spans="1:4">
      <c r="A747" s="53" t="s">
        <v>3552</v>
      </c>
      <c r="B747" s="53" t="s">
        <v>3553</v>
      </c>
      <c r="C747" s="53" t="s">
        <v>1966</v>
      </c>
      <c r="D747" s="53" t="s">
        <v>153</v>
      </c>
    </row>
    <row r="748" spans="1:4">
      <c r="A748" s="53" t="s">
        <v>154</v>
      </c>
      <c r="B748" s="53" t="s">
        <v>2264</v>
      </c>
      <c r="C748" s="53" t="s">
        <v>3354</v>
      </c>
      <c r="D748" s="53" t="s">
        <v>3136</v>
      </c>
    </row>
    <row r="749" spans="1:4">
      <c r="A749" s="53" t="s">
        <v>154</v>
      </c>
      <c r="B749" s="53" t="s">
        <v>2264</v>
      </c>
      <c r="C749" s="53" t="s">
        <v>1964</v>
      </c>
      <c r="D749" s="53" t="s">
        <v>3137</v>
      </c>
    </row>
    <row r="750" spans="1:4">
      <c r="A750" s="53" t="s">
        <v>154</v>
      </c>
      <c r="B750" s="53" t="s">
        <v>2264</v>
      </c>
      <c r="C750" s="53" t="s">
        <v>1965</v>
      </c>
      <c r="D750" s="53" t="s">
        <v>2914</v>
      </c>
    </row>
    <row r="751" spans="1:4">
      <c r="A751" s="53" t="s">
        <v>154</v>
      </c>
      <c r="B751" s="53" t="s">
        <v>2264</v>
      </c>
      <c r="C751" s="53" t="s">
        <v>1966</v>
      </c>
      <c r="D751" s="53" t="s">
        <v>2915</v>
      </c>
    </row>
    <row r="752" spans="1:4">
      <c r="A752" s="53" t="s">
        <v>154</v>
      </c>
      <c r="B752" s="53" t="s">
        <v>2264</v>
      </c>
      <c r="C752" s="53" t="s">
        <v>1967</v>
      </c>
      <c r="D752" s="53" t="s">
        <v>2419</v>
      </c>
    </row>
    <row r="753" spans="1:4">
      <c r="A753" s="53" t="s">
        <v>154</v>
      </c>
      <c r="B753" s="53" t="s">
        <v>2264</v>
      </c>
      <c r="C753" s="53" t="s">
        <v>1968</v>
      </c>
      <c r="D753" s="53" t="s">
        <v>2420</v>
      </c>
    </row>
    <row r="754" spans="1:4">
      <c r="A754" s="53" t="s">
        <v>154</v>
      </c>
      <c r="B754" s="53" t="s">
        <v>2264</v>
      </c>
      <c r="C754" s="53" t="s">
        <v>1969</v>
      </c>
      <c r="D754" s="53" t="s">
        <v>752</v>
      </c>
    </row>
    <row r="755" spans="1:4">
      <c r="A755" s="53" t="s">
        <v>154</v>
      </c>
      <c r="B755" s="53" t="s">
        <v>2264</v>
      </c>
      <c r="C755" s="53" t="s">
        <v>1970</v>
      </c>
      <c r="D755" s="53" t="s">
        <v>753</v>
      </c>
    </row>
    <row r="756" spans="1:4">
      <c r="A756" s="53" t="s">
        <v>154</v>
      </c>
      <c r="B756" s="53" t="s">
        <v>2264</v>
      </c>
      <c r="C756" s="53" t="s">
        <v>1971</v>
      </c>
      <c r="D756" s="53" t="s">
        <v>1821</v>
      </c>
    </row>
    <row r="757" spans="1:4">
      <c r="A757" s="53" t="s">
        <v>154</v>
      </c>
      <c r="B757" s="53" t="s">
        <v>2264</v>
      </c>
      <c r="C757" s="53" t="s">
        <v>1972</v>
      </c>
      <c r="D757" s="53" t="s">
        <v>1822</v>
      </c>
    </row>
    <row r="758" spans="1:4">
      <c r="A758" s="53" t="s">
        <v>1823</v>
      </c>
      <c r="B758" s="53" t="s">
        <v>1791</v>
      </c>
      <c r="C758" s="53" t="s">
        <v>3354</v>
      </c>
      <c r="D758" s="53" t="s">
        <v>1792</v>
      </c>
    </row>
    <row r="759" spans="1:4">
      <c r="A759" s="53" t="s">
        <v>1823</v>
      </c>
      <c r="B759" s="53" t="s">
        <v>1791</v>
      </c>
      <c r="C759" s="53" t="s">
        <v>1964</v>
      </c>
      <c r="D759" s="53" t="s">
        <v>1793</v>
      </c>
    </row>
    <row r="760" spans="1:4">
      <c r="A760" s="53" t="s">
        <v>1794</v>
      </c>
      <c r="B760" s="53" t="s">
        <v>1795</v>
      </c>
      <c r="C760" s="53" t="s">
        <v>3354</v>
      </c>
      <c r="D760" s="53" t="s">
        <v>1796</v>
      </c>
    </row>
    <row r="761" spans="1:4">
      <c r="A761" s="53" t="s">
        <v>1794</v>
      </c>
      <c r="B761" s="53" t="s">
        <v>1795</v>
      </c>
      <c r="C761" s="53" t="s">
        <v>1964</v>
      </c>
      <c r="D761" s="53" t="s">
        <v>3517</v>
      </c>
    </row>
    <row r="762" spans="1:4">
      <c r="A762" s="53" t="s">
        <v>1794</v>
      </c>
      <c r="B762" s="53" t="s">
        <v>1795</v>
      </c>
      <c r="C762" s="53" t="s">
        <v>1965</v>
      </c>
      <c r="D762" s="53" t="s">
        <v>4018</v>
      </c>
    </row>
    <row r="763" spans="1:4">
      <c r="A763" s="53" t="s">
        <v>1794</v>
      </c>
      <c r="B763" s="53" t="s">
        <v>1795</v>
      </c>
      <c r="C763" s="53" t="s">
        <v>1966</v>
      </c>
      <c r="D763" s="53" t="s">
        <v>4019</v>
      </c>
    </row>
    <row r="764" spans="1:4">
      <c r="A764" s="53" t="s">
        <v>1794</v>
      </c>
      <c r="B764" s="53" t="s">
        <v>1795</v>
      </c>
      <c r="C764" s="53" t="s">
        <v>1967</v>
      </c>
      <c r="D764" s="53" t="s">
        <v>1664</v>
      </c>
    </row>
    <row r="765" spans="1:4">
      <c r="A765" s="53" t="s">
        <v>1794</v>
      </c>
      <c r="B765" s="53" t="s">
        <v>1795</v>
      </c>
      <c r="C765" s="53" t="s">
        <v>1968</v>
      </c>
      <c r="D765" s="53" t="s">
        <v>1665</v>
      </c>
    </row>
    <row r="766" spans="1:4">
      <c r="A766" s="53" t="s">
        <v>1794</v>
      </c>
      <c r="B766" s="53" t="s">
        <v>1795</v>
      </c>
      <c r="C766" s="53" t="s">
        <v>1969</v>
      </c>
      <c r="D766" s="53" t="s">
        <v>1666</v>
      </c>
    </row>
    <row r="767" spans="1:4">
      <c r="A767" s="53" t="s">
        <v>1794</v>
      </c>
      <c r="B767" s="53" t="s">
        <v>1795</v>
      </c>
      <c r="C767" s="53" t="s">
        <v>1970</v>
      </c>
      <c r="D767" s="53" t="s">
        <v>1529</v>
      </c>
    </row>
    <row r="768" spans="1:4">
      <c r="A768" s="53" t="s">
        <v>1794</v>
      </c>
      <c r="B768" s="53" t="s">
        <v>1795</v>
      </c>
      <c r="C768" s="53" t="s">
        <v>1971</v>
      </c>
      <c r="D768" s="53" t="s">
        <v>696</v>
      </c>
    </row>
    <row r="769" spans="1:4">
      <c r="A769" s="53" t="s">
        <v>1794</v>
      </c>
      <c r="B769" s="53" t="s">
        <v>1795</v>
      </c>
      <c r="C769" s="53" t="s">
        <v>1972</v>
      </c>
      <c r="D769" s="53" t="s">
        <v>697</v>
      </c>
    </row>
    <row r="770" spans="1:4">
      <c r="A770" s="53" t="s">
        <v>1794</v>
      </c>
      <c r="B770" s="53" t="s">
        <v>1795</v>
      </c>
      <c r="C770" s="53" t="s">
        <v>1973</v>
      </c>
      <c r="D770" s="53" t="s">
        <v>4065</v>
      </c>
    </row>
    <row r="771" spans="1:4">
      <c r="A771" s="53" t="s">
        <v>1794</v>
      </c>
      <c r="B771" s="53" t="s">
        <v>1795</v>
      </c>
      <c r="C771" s="53" t="s">
        <v>1974</v>
      </c>
      <c r="D771" s="53" t="s">
        <v>4066</v>
      </c>
    </row>
    <row r="772" spans="1:4">
      <c r="A772" s="53" t="s">
        <v>1794</v>
      </c>
      <c r="B772" s="53" t="s">
        <v>1795</v>
      </c>
      <c r="C772" s="53" t="s">
        <v>1975</v>
      </c>
      <c r="D772" s="53" t="s">
        <v>4067</v>
      </c>
    </row>
    <row r="773" spans="1:4">
      <c r="A773" s="53" t="s">
        <v>1794</v>
      </c>
      <c r="B773" s="53" t="s">
        <v>1795</v>
      </c>
      <c r="C773" s="53" t="s">
        <v>1976</v>
      </c>
      <c r="D773" s="53" t="s">
        <v>4068</v>
      </c>
    </row>
    <row r="774" spans="1:4">
      <c r="A774" s="53" t="s">
        <v>4069</v>
      </c>
      <c r="B774" s="53" t="s">
        <v>132</v>
      </c>
      <c r="C774" s="53" t="s">
        <v>3354</v>
      </c>
      <c r="D774" s="53" t="s">
        <v>4366</v>
      </c>
    </row>
    <row r="775" spans="1:4">
      <c r="A775" s="53" t="s">
        <v>4069</v>
      </c>
      <c r="B775" s="53" t="s">
        <v>132</v>
      </c>
      <c r="C775" s="53" t="s">
        <v>1964</v>
      </c>
      <c r="D775" s="53" t="s">
        <v>4367</v>
      </c>
    </row>
    <row r="776" spans="1:4">
      <c r="A776" s="53" t="s">
        <v>4069</v>
      </c>
      <c r="B776" s="53" t="s">
        <v>132</v>
      </c>
      <c r="C776" s="53" t="s">
        <v>1965</v>
      </c>
      <c r="D776" s="53" t="s">
        <v>4368</v>
      </c>
    </row>
    <row r="777" spans="1:4">
      <c r="A777" s="53" t="s">
        <v>4069</v>
      </c>
      <c r="B777" s="53" t="s">
        <v>132</v>
      </c>
      <c r="C777" s="53" t="s">
        <v>1966</v>
      </c>
      <c r="D777" s="53" t="s">
        <v>4369</v>
      </c>
    </row>
    <row r="778" spans="1:4">
      <c r="A778" s="53" t="s">
        <v>4069</v>
      </c>
      <c r="B778" s="53" t="s">
        <v>132</v>
      </c>
      <c r="C778" s="53" t="s">
        <v>1967</v>
      </c>
      <c r="D778" s="53" t="s">
        <v>2490</v>
      </c>
    </row>
    <row r="779" spans="1:4">
      <c r="A779" s="53" t="s">
        <v>4069</v>
      </c>
      <c r="B779" s="53" t="s">
        <v>132</v>
      </c>
      <c r="C779" s="53" t="s">
        <v>1968</v>
      </c>
      <c r="D779" s="53" t="s">
        <v>2491</v>
      </c>
    </row>
    <row r="780" spans="1:4">
      <c r="A780" s="53" t="s">
        <v>4069</v>
      </c>
      <c r="B780" s="53" t="s">
        <v>132</v>
      </c>
      <c r="C780" s="53" t="s">
        <v>1969</v>
      </c>
      <c r="D780" s="53" t="s">
        <v>2492</v>
      </c>
    </row>
    <row r="781" spans="1:4">
      <c r="A781" s="53" t="s">
        <v>4069</v>
      </c>
      <c r="B781" s="53" t="s">
        <v>132</v>
      </c>
      <c r="C781" s="53" t="s">
        <v>1970</v>
      </c>
      <c r="D781" s="53" t="s">
        <v>2493</v>
      </c>
    </row>
    <row r="782" spans="1:4">
      <c r="A782" s="53" t="s">
        <v>4069</v>
      </c>
      <c r="B782" s="53" t="s">
        <v>132</v>
      </c>
      <c r="C782" s="53" t="s">
        <v>1971</v>
      </c>
      <c r="D782" s="53" t="s">
        <v>2494</v>
      </c>
    </row>
    <row r="783" spans="1:4">
      <c r="A783" s="53" t="s">
        <v>4069</v>
      </c>
      <c r="B783" s="53" t="s">
        <v>132</v>
      </c>
      <c r="C783" s="53" t="s">
        <v>1972</v>
      </c>
      <c r="D783" s="53" t="s">
        <v>2495</v>
      </c>
    </row>
    <row r="784" spans="1:4">
      <c r="A784" s="53" t="s">
        <v>4069</v>
      </c>
      <c r="B784" s="53" t="s">
        <v>132</v>
      </c>
      <c r="C784" s="53" t="s">
        <v>1973</v>
      </c>
      <c r="D784" s="53" t="s">
        <v>133</v>
      </c>
    </row>
    <row r="785" spans="1:4">
      <c r="A785" s="53" t="s">
        <v>4069</v>
      </c>
      <c r="B785" s="53" t="s">
        <v>132</v>
      </c>
      <c r="C785" s="53" t="s">
        <v>1974</v>
      </c>
      <c r="D785" s="53" t="s">
        <v>134</v>
      </c>
    </row>
    <row r="786" spans="1:4">
      <c r="A786" s="53" t="s">
        <v>4069</v>
      </c>
      <c r="B786" s="53" t="s">
        <v>132</v>
      </c>
      <c r="C786" s="53" t="s">
        <v>1975</v>
      </c>
      <c r="D786" s="53" t="s">
        <v>135</v>
      </c>
    </row>
    <row r="787" spans="1:4">
      <c r="A787" s="53" t="s">
        <v>4069</v>
      </c>
      <c r="B787" s="53" t="s">
        <v>132</v>
      </c>
      <c r="C787" s="53" t="s">
        <v>1976</v>
      </c>
      <c r="D787" s="53" t="s">
        <v>136</v>
      </c>
    </row>
    <row r="788" spans="1:4">
      <c r="A788" s="53" t="s">
        <v>4069</v>
      </c>
      <c r="B788" s="53" t="s">
        <v>132</v>
      </c>
      <c r="C788" s="53" t="s">
        <v>1977</v>
      </c>
      <c r="D788" s="53" t="s">
        <v>1165</v>
      </c>
    </row>
    <row r="789" spans="1:4">
      <c r="A789" s="53" t="s">
        <v>4069</v>
      </c>
      <c r="B789" s="53" t="s">
        <v>132</v>
      </c>
      <c r="C789" s="53" t="s">
        <v>1978</v>
      </c>
      <c r="D789" s="53" t="s">
        <v>1774</v>
      </c>
    </row>
    <row r="790" spans="1:4">
      <c r="A790" s="53" t="s">
        <v>4069</v>
      </c>
      <c r="B790" s="53" t="s">
        <v>132</v>
      </c>
      <c r="C790" s="53" t="s">
        <v>1979</v>
      </c>
      <c r="D790" s="53" t="s">
        <v>1775</v>
      </c>
    </row>
    <row r="791" spans="1:4">
      <c r="A791" s="53" t="s">
        <v>4069</v>
      </c>
      <c r="B791" s="53" t="s">
        <v>132</v>
      </c>
      <c r="C791" s="53" t="s">
        <v>1980</v>
      </c>
      <c r="D791" s="53" t="s">
        <v>1776</v>
      </c>
    </row>
    <row r="792" spans="1:4">
      <c r="A792" s="53" t="s">
        <v>4069</v>
      </c>
      <c r="B792" s="53" t="s">
        <v>132</v>
      </c>
      <c r="C792" s="53" t="s">
        <v>1981</v>
      </c>
      <c r="D792" s="53" t="s">
        <v>1777</v>
      </c>
    </row>
    <row r="793" spans="1:4">
      <c r="A793" s="53" t="s">
        <v>4069</v>
      </c>
      <c r="B793" s="53" t="s">
        <v>132</v>
      </c>
      <c r="C793" s="53" t="s">
        <v>1982</v>
      </c>
      <c r="D793" s="53" t="s">
        <v>1778</v>
      </c>
    </row>
    <row r="794" spans="1:4">
      <c r="A794" s="53" t="s">
        <v>4069</v>
      </c>
      <c r="B794" s="53" t="s">
        <v>132</v>
      </c>
      <c r="C794" s="53" t="s">
        <v>4150</v>
      </c>
      <c r="D794" s="53" t="s">
        <v>1779</v>
      </c>
    </row>
    <row r="795" spans="1:4">
      <c r="A795" s="53" t="s">
        <v>4069</v>
      </c>
      <c r="B795" s="53" t="s">
        <v>132</v>
      </c>
      <c r="C795" s="53" t="s">
        <v>4151</v>
      </c>
      <c r="D795" s="53" t="s">
        <v>3508</v>
      </c>
    </row>
    <row r="796" spans="1:4">
      <c r="A796" s="53" t="s">
        <v>4069</v>
      </c>
      <c r="B796" s="53" t="s">
        <v>132</v>
      </c>
      <c r="C796" s="53" t="s">
        <v>4152</v>
      </c>
      <c r="D796" s="53" t="s">
        <v>3509</v>
      </c>
    </row>
    <row r="797" spans="1:4">
      <c r="A797" s="53" t="s">
        <v>4069</v>
      </c>
      <c r="B797" s="53" t="s">
        <v>132</v>
      </c>
      <c r="C797" s="53" t="s">
        <v>4153</v>
      </c>
      <c r="D797" s="53" t="s">
        <v>3510</v>
      </c>
    </row>
    <row r="798" spans="1:4">
      <c r="A798" s="53" t="s">
        <v>3511</v>
      </c>
      <c r="B798" s="53" t="s">
        <v>3512</v>
      </c>
      <c r="C798" s="53" t="s">
        <v>3354</v>
      </c>
      <c r="D798" s="53" t="s">
        <v>3748</v>
      </c>
    </row>
    <row r="799" spans="1:4">
      <c r="A799" s="53" t="s">
        <v>3511</v>
      </c>
      <c r="B799" s="53" t="s">
        <v>3512</v>
      </c>
      <c r="C799" s="53" t="s">
        <v>1964</v>
      </c>
      <c r="D799" s="53" t="s">
        <v>3749</v>
      </c>
    </row>
    <row r="800" spans="1:4">
      <c r="A800" s="53" t="s">
        <v>3511</v>
      </c>
      <c r="B800" s="53" t="s">
        <v>3512</v>
      </c>
      <c r="C800" s="53" t="s">
        <v>1965</v>
      </c>
      <c r="D800" s="53" t="s">
        <v>3750</v>
      </c>
    </row>
    <row r="801" spans="1:4">
      <c r="A801" s="53" t="s">
        <v>3511</v>
      </c>
      <c r="B801" s="53" t="s">
        <v>3512</v>
      </c>
      <c r="C801" s="53" t="s">
        <v>1966</v>
      </c>
      <c r="D801" s="53" t="s">
        <v>3751</v>
      </c>
    </row>
    <row r="802" spans="1:4">
      <c r="A802" s="53" t="s">
        <v>3511</v>
      </c>
      <c r="B802" s="53" t="s">
        <v>3512</v>
      </c>
      <c r="C802" s="53" t="s">
        <v>1967</v>
      </c>
      <c r="D802" s="53" t="s">
        <v>3847</v>
      </c>
    </row>
    <row r="803" spans="1:4">
      <c r="A803" s="53" t="s">
        <v>3511</v>
      </c>
      <c r="B803" s="53" t="s">
        <v>3512</v>
      </c>
      <c r="C803" s="53" t="s">
        <v>1968</v>
      </c>
      <c r="D803" s="53" t="s">
        <v>4388</v>
      </c>
    </row>
    <row r="804" spans="1:4">
      <c r="A804" s="53" t="s">
        <v>3511</v>
      </c>
      <c r="B804" s="53" t="s">
        <v>3512</v>
      </c>
      <c r="C804" s="53" t="s">
        <v>1969</v>
      </c>
      <c r="D804" s="53" t="s">
        <v>4389</v>
      </c>
    </row>
    <row r="805" spans="1:4">
      <c r="A805" s="53" t="s">
        <v>3511</v>
      </c>
      <c r="B805" s="53" t="s">
        <v>3512</v>
      </c>
      <c r="C805" s="53" t="s">
        <v>1970</v>
      </c>
      <c r="D805" s="53" t="s">
        <v>3293</v>
      </c>
    </row>
    <row r="806" spans="1:4">
      <c r="A806" s="53" t="s">
        <v>3511</v>
      </c>
      <c r="B806" s="53" t="s">
        <v>3512</v>
      </c>
      <c r="C806" s="53" t="s">
        <v>1971</v>
      </c>
      <c r="D806" s="53" t="s">
        <v>1828</v>
      </c>
    </row>
    <row r="807" spans="1:4">
      <c r="A807" s="53" t="s">
        <v>3511</v>
      </c>
      <c r="B807" s="53" t="s">
        <v>3512</v>
      </c>
      <c r="C807" s="53" t="s">
        <v>1972</v>
      </c>
      <c r="D807" s="53" t="s">
        <v>1829</v>
      </c>
    </row>
    <row r="808" spans="1:4">
      <c r="A808" s="53" t="s">
        <v>3511</v>
      </c>
      <c r="B808" s="53" t="s">
        <v>3512</v>
      </c>
      <c r="C808" s="53" t="s">
        <v>1973</v>
      </c>
      <c r="D808" s="53" t="s">
        <v>1830</v>
      </c>
    </row>
    <row r="809" spans="1:4">
      <c r="A809" s="53" t="s">
        <v>3511</v>
      </c>
      <c r="B809" s="53" t="s">
        <v>3512</v>
      </c>
      <c r="C809" s="53" t="s">
        <v>1974</v>
      </c>
      <c r="D809" s="53" t="s">
        <v>1831</v>
      </c>
    </row>
    <row r="810" spans="1:4">
      <c r="A810" s="53" t="s">
        <v>3511</v>
      </c>
      <c r="B810" s="53" t="s">
        <v>3512</v>
      </c>
      <c r="C810" s="53" t="s">
        <v>1975</v>
      </c>
      <c r="D810" s="53" t="s">
        <v>1832</v>
      </c>
    </row>
    <row r="811" spans="1:4">
      <c r="A811" s="53" t="s">
        <v>3511</v>
      </c>
      <c r="B811" s="53" t="s">
        <v>3512</v>
      </c>
      <c r="C811" s="53" t="s">
        <v>1976</v>
      </c>
      <c r="D811" s="53" t="s">
        <v>1833</v>
      </c>
    </row>
    <row r="812" spans="1:4">
      <c r="A812" s="53" t="s">
        <v>3511</v>
      </c>
      <c r="B812" s="53" t="s">
        <v>3512</v>
      </c>
      <c r="C812" s="53" t="s">
        <v>1977</v>
      </c>
      <c r="D812" s="53" t="s">
        <v>1834</v>
      </c>
    </row>
    <row r="813" spans="1:4">
      <c r="A813" s="53" t="s">
        <v>3511</v>
      </c>
      <c r="B813" s="53" t="s">
        <v>3512</v>
      </c>
      <c r="C813" s="53" t="s">
        <v>1978</v>
      </c>
      <c r="D813" s="53" t="s">
        <v>1835</v>
      </c>
    </row>
    <row r="814" spans="1:4">
      <c r="A814" s="53" t="s">
        <v>3511</v>
      </c>
      <c r="B814" s="53" t="s">
        <v>3512</v>
      </c>
      <c r="C814" s="53" t="s">
        <v>1979</v>
      </c>
      <c r="D814" s="53" t="s">
        <v>1836</v>
      </c>
    </row>
    <row r="815" spans="1:4">
      <c r="A815" s="53" t="s">
        <v>3511</v>
      </c>
      <c r="B815" s="53" t="s">
        <v>3512</v>
      </c>
      <c r="C815" s="53" t="s">
        <v>1980</v>
      </c>
      <c r="D815" s="53" t="s">
        <v>1837</v>
      </c>
    </row>
    <row r="816" spans="1:4">
      <c r="A816" s="53" t="s">
        <v>3511</v>
      </c>
      <c r="B816" s="53" t="s">
        <v>3512</v>
      </c>
      <c r="C816" s="53" t="s">
        <v>1981</v>
      </c>
      <c r="D816" s="53" t="s">
        <v>1069</v>
      </c>
    </row>
    <row r="817" spans="1:4">
      <c r="A817" s="53" t="s">
        <v>3511</v>
      </c>
      <c r="B817" s="53" t="s">
        <v>3512</v>
      </c>
      <c r="C817" s="53" t="s">
        <v>1982</v>
      </c>
      <c r="D817" s="53" t="s">
        <v>2599</v>
      </c>
    </row>
    <row r="818" spans="1:4">
      <c r="A818" s="53" t="s">
        <v>3511</v>
      </c>
      <c r="B818" s="53" t="s">
        <v>3512</v>
      </c>
      <c r="C818" s="53" t="s">
        <v>4150</v>
      </c>
      <c r="D818" s="53" t="s">
        <v>2472</v>
      </c>
    </row>
    <row r="819" spans="1:4">
      <c r="A819" s="53" t="s">
        <v>3511</v>
      </c>
      <c r="B819" s="53" t="s">
        <v>3512</v>
      </c>
      <c r="C819" s="53" t="s">
        <v>4151</v>
      </c>
      <c r="D819" s="53" t="s">
        <v>2473</v>
      </c>
    </row>
    <row r="820" spans="1:4">
      <c r="A820" s="53" t="s">
        <v>3511</v>
      </c>
      <c r="B820" s="53" t="s">
        <v>3512</v>
      </c>
      <c r="C820" s="53" t="s">
        <v>4152</v>
      </c>
      <c r="D820" s="53" t="s">
        <v>737</v>
      </c>
    </row>
    <row r="821" spans="1:4">
      <c r="A821" s="53" t="s">
        <v>3511</v>
      </c>
      <c r="B821" s="53" t="s">
        <v>3512</v>
      </c>
      <c r="C821" s="53" t="s">
        <v>4153</v>
      </c>
      <c r="D821" s="53" t="s">
        <v>738</v>
      </c>
    </row>
    <row r="822" spans="1:4">
      <c r="A822" s="53" t="s">
        <v>3511</v>
      </c>
      <c r="B822" s="53" t="s">
        <v>3512</v>
      </c>
      <c r="C822" s="53" t="s">
        <v>4154</v>
      </c>
      <c r="D822" s="53" t="s">
        <v>562</v>
      </c>
    </row>
    <row r="823" spans="1:4">
      <c r="A823" s="53" t="s">
        <v>3511</v>
      </c>
      <c r="B823" s="53" t="s">
        <v>3512</v>
      </c>
      <c r="C823" s="53" t="s">
        <v>4155</v>
      </c>
      <c r="D823" s="53" t="s">
        <v>563</v>
      </c>
    </row>
    <row r="824" spans="1:4">
      <c r="A824" s="53" t="s">
        <v>3511</v>
      </c>
      <c r="B824" s="53" t="s">
        <v>3512</v>
      </c>
      <c r="C824" s="53" t="s">
        <v>4156</v>
      </c>
      <c r="D824" s="53" t="s">
        <v>564</v>
      </c>
    </row>
    <row r="825" spans="1:4">
      <c r="A825" s="53" t="s">
        <v>3511</v>
      </c>
      <c r="B825" s="53" t="s">
        <v>3512</v>
      </c>
      <c r="C825" s="53" t="s">
        <v>4157</v>
      </c>
      <c r="D825" s="53" t="s">
        <v>565</v>
      </c>
    </row>
    <row r="826" spans="1:4">
      <c r="A826" s="53" t="s">
        <v>3511</v>
      </c>
      <c r="B826" s="53" t="s">
        <v>3512</v>
      </c>
      <c r="C826" s="53" t="s">
        <v>4158</v>
      </c>
      <c r="D826" s="53" t="s">
        <v>566</v>
      </c>
    </row>
    <row r="827" spans="1:4">
      <c r="A827" s="53" t="s">
        <v>3511</v>
      </c>
      <c r="B827" s="53" t="s">
        <v>3512</v>
      </c>
      <c r="C827" s="53" t="s">
        <v>4159</v>
      </c>
      <c r="D827" s="53" t="s">
        <v>567</v>
      </c>
    </row>
    <row r="828" spans="1:4">
      <c r="A828" s="53" t="s">
        <v>3511</v>
      </c>
      <c r="B828" s="53" t="s">
        <v>3512</v>
      </c>
      <c r="C828" s="53" t="s">
        <v>2424</v>
      </c>
      <c r="D828" s="53" t="s">
        <v>742</v>
      </c>
    </row>
    <row r="829" spans="1:4">
      <c r="A829" s="53" t="s">
        <v>3511</v>
      </c>
      <c r="B829" s="53" t="s">
        <v>3512</v>
      </c>
      <c r="C829" s="53" t="s">
        <v>2425</v>
      </c>
      <c r="D829" s="53" t="s">
        <v>743</v>
      </c>
    </row>
    <row r="830" spans="1:4">
      <c r="A830" s="53" t="s">
        <v>3511</v>
      </c>
      <c r="B830" s="53" t="s">
        <v>3512</v>
      </c>
      <c r="C830" s="53" t="s">
        <v>2426</v>
      </c>
      <c r="D830" s="53" t="s">
        <v>744</v>
      </c>
    </row>
    <row r="831" spans="1:4">
      <c r="A831" s="53" t="s">
        <v>3511</v>
      </c>
      <c r="B831" s="53" t="s">
        <v>3512</v>
      </c>
      <c r="C831" s="53" t="s">
        <v>2427</v>
      </c>
      <c r="D831" s="53" t="s">
        <v>745</v>
      </c>
    </row>
    <row r="832" spans="1:4">
      <c r="A832" s="53" t="s">
        <v>3511</v>
      </c>
      <c r="B832" s="53" t="s">
        <v>3512</v>
      </c>
      <c r="C832" s="53" t="s">
        <v>2428</v>
      </c>
      <c r="D832" s="53" t="s">
        <v>3708</v>
      </c>
    </row>
    <row r="833" spans="1:4">
      <c r="A833" s="53" t="s">
        <v>3511</v>
      </c>
      <c r="B833" s="53" t="s">
        <v>3512</v>
      </c>
      <c r="C833" s="53" t="s">
        <v>2429</v>
      </c>
      <c r="D833" s="53" t="s">
        <v>3536</v>
      </c>
    </row>
    <row r="834" spans="1:4">
      <c r="A834" s="53" t="s">
        <v>3511</v>
      </c>
      <c r="B834" s="53" t="s">
        <v>3512</v>
      </c>
      <c r="C834" s="53" t="s">
        <v>2430</v>
      </c>
      <c r="D834" s="53" t="s">
        <v>3537</v>
      </c>
    </row>
    <row r="835" spans="1:4">
      <c r="A835" s="53" t="s">
        <v>3511</v>
      </c>
      <c r="B835" s="53" t="s">
        <v>3512</v>
      </c>
      <c r="C835" s="53" t="s">
        <v>2431</v>
      </c>
      <c r="D835" s="53" t="s">
        <v>746</v>
      </c>
    </row>
    <row r="836" spans="1:4">
      <c r="A836" s="53" t="s">
        <v>3511</v>
      </c>
      <c r="B836" s="53" t="s">
        <v>3512</v>
      </c>
      <c r="C836" s="53" t="s">
        <v>2432</v>
      </c>
      <c r="D836" s="53" t="s">
        <v>2286</v>
      </c>
    </row>
    <row r="837" spans="1:4">
      <c r="A837" s="53" t="s">
        <v>3511</v>
      </c>
      <c r="B837" s="53" t="s">
        <v>3512</v>
      </c>
      <c r="C837" s="53" t="s">
        <v>1961</v>
      </c>
      <c r="D837" s="53" t="s">
        <v>3582</v>
      </c>
    </row>
    <row r="838" spans="1:4">
      <c r="A838" s="53" t="s">
        <v>3511</v>
      </c>
      <c r="B838" s="53" t="s">
        <v>3512</v>
      </c>
      <c r="C838" s="53" t="s">
        <v>1962</v>
      </c>
      <c r="D838" s="53" t="s">
        <v>3583</v>
      </c>
    </row>
    <row r="839" spans="1:4">
      <c r="A839" s="53" t="s">
        <v>3511</v>
      </c>
      <c r="B839" s="53" t="s">
        <v>3512</v>
      </c>
      <c r="C839" s="53" t="s">
        <v>1482</v>
      </c>
      <c r="D839" s="53" t="s">
        <v>3584</v>
      </c>
    </row>
    <row r="840" spans="1:4">
      <c r="A840" s="53" t="s">
        <v>3511</v>
      </c>
      <c r="B840" s="53" t="s">
        <v>3512</v>
      </c>
      <c r="C840" s="53" t="s">
        <v>1483</v>
      </c>
      <c r="D840" s="53" t="s">
        <v>3499</v>
      </c>
    </row>
    <row r="841" spans="1:4">
      <c r="A841" s="53" t="s">
        <v>3511</v>
      </c>
      <c r="B841" s="53" t="s">
        <v>3512</v>
      </c>
      <c r="C841" s="53" t="s">
        <v>278</v>
      </c>
      <c r="D841" s="53" t="s">
        <v>3500</v>
      </c>
    </row>
    <row r="842" spans="1:4">
      <c r="A842" s="53" t="s">
        <v>3511</v>
      </c>
      <c r="B842" s="53" t="s">
        <v>3512</v>
      </c>
      <c r="C842" s="53" t="s">
        <v>3501</v>
      </c>
      <c r="D842" s="53" t="s">
        <v>3502</v>
      </c>
    </row>
    <row r="843" spans="1:4">
      <c r="A843" s="53" t="s">
        <v>3511</v>
      </c>
      <c r="B843" s="53" t="s">
        <v>3512</v>
      </c>
      <c r="C843" s="53" t="s">
        <v>3503</v>
      </c>
      <c r="D843" s="53" t="s">
        <v>3504</v>
      </c>
    </row>
    <row r="844" spans="1:4">
      <c r="A844" s="53" t="s">
        <v>3511</v>
      </c>
      <c r="B844" s="53" t="s">
        <v>3512</v>
      </c>
      <c r="C844" s="53" t="s">
        <v>3505</v>
      </c>
      <c r="D844" s="53" t="s">
        <v>3506</v>
      </c>
    </row>
    <row r="845" spans="1:4">
      <c r="A845" s="53" t="s">
        <v>3511</v>
      </c>
      <c r="B845" s="53" t="s">
        <v>3512</v>
      </c>
      <c r="C845" s="53" t="s">
        <v>3507</v>
      </c>
      <c r="D845" s="53" t="s">
        <v>1143</v>
      </c>
    </row>
    <row r="846" spans="1:4">
      <c r="A846" s="53" t="s">
        <v>3511</v>
      </c>
      <c r="B846" s="53" t="s">
        <v>3512</v>
      </c>
      <c r="C846" s="53" t="s">
        <v>1144</v>
      </c>
      <c r="D846" s="53" t="s">
        <v>1145</v>
      </c>
    </row>
    <row r="847" spans="1:4">
      <c r="A847" s="53" t="s">
        <v>3511</v>
      </c>
      <c r="B847" s="53" t="s">
        <v>3512</v>
      </c>
      <c r="C847" s="53" t="s">
        <v>1146</v>
      </c>
      <c r="D847" s="53" t="s">
        <v>1147</v>
      </c>
    </row>
    <row r="848" spans="1:4">
      <c r="A848" s="53" t="s">
        <v>3511</v>
      </c>
      <c r="B848" s="53" t="s">
        <v>3512</v>
      </c>
      <c r="C848" s="53" t="s">
        <v>1148</v>
      </c>
      <c r="D848" s="53" t="s">
        <v>1149</v>
      </c>
    </row>
    <row r="849" spans="1:4">
      <c r="A849" s="53" t="s">
        <v>3511</v>
      </c>
      <c r="B849" s="53" t="s">
        <v>3512</v>
      </c>
      <c r="C849" s="53" t="s">
        <v>1150</v>
      </c>
      <c r="D849" s="53" t="s">
        <v>1151</v>
      </c>
    </row>
    <row r="850" spans="1:4">
      <c r="A850" s="53" t="s">
        <v>3511</v>
      </c>
      <c r="B850" s="53" t="s">
        <v>3512</v>
      </c>
      <c r="C850" s="53" t="s">
        <v>1152</v>
      </c>
      <c r="D850" s="53" t="s">
        <v>201</v>
      </c>
    </row>
    <row r="851" spans="1:4">
      <c r="A851" s="53" t="s">
        <v>3511</v>
      </c>
      <c r="B851" s="53" t="s">
        <v>3512</v>
      </c>
      <c r="C851" s="53" t="s">
        <v>202</v>
      </c>
      <c r="D851" s="53" t="s">
        <v>203</v>
      </c>
    </row>
    <row r="852" spans="1:4">
      <c r="A852" s="53" t="s">
        <v>3511</v>
      </c>
      <c r="B852" s="53" t="s">
        <v>3512</v>
      </c>
      <c r="C852" s="53" t="s">
        <v>204</v>
      </c>
      <c r="D852" s="53" t="s">
        <v>205</v>
      </c>
    </row>
    <row r="853" spans="1:4">
      <c r="A853" s="53" t="s">
        <v>3511</v>
      </c>
      <c r="B853" s="53" t="s">
        <v>3512</v>
      </c>
      <c r="C853" s="53" t="s">
        <v>206</v>
      </c>
      <c r="D853" s="53" t="s">
        <v>207</v>
      </c>
    </row>
    <row r="854" spans="1:4">
      <c r="A854" s="53" t="s">
        <v>3511</v>
      </c>
      <c r="B854" s="53" t="s">
        <v>3512</v>
      </c>
      <c r="C854" s="53" t="s">
        <v>208</v>
      </c>
      <c r="D854" s="53" t="s">
        <v>209</v>
      </c>
    </row>
    <row r="855" spans="1:4">
      <c r="A855" s="53" t="s">
        <v>3511</v>
      </c>
      <c r="B855" s="53" t="s">
        <v>3512</v>
      </c>
      <c r="C855" s="53" t="s">
        <v>210</v>
      </c>
      <c r="D855" s="53" t="s">
        <v>3513</v>
      </c>
    </row>
    <row r="856" spans="1:4">
      <c r="A856" s="53" t="s">
        <v>3514</v>
      </c>
      <c r="B856" s="53" t="s">
        <v>3515</v>
      </c>
      <c r="C856" s="53" t="s">
        <v>3354</v>
      </c>
      <c r="D856" s="53" t="s">
        <v>116</v>
      </c>
    </row>
    <row r="857" spans="1:4">
      <c r="A857" s="53" t="s">
        <v>3514</v>
      </c>
      <c r="B857" s="53" t="s">
        <v>3515</v>
      </c>
      <c r="C857" s="53" t="s">
        <v>1964</v>
      </c>
      <c r="D857" s="53" t="s">
        <v>2332</v>
      </c>
    </row>
    <row r="858" spans="1:4">
      <c r="A858" s="53" t="s">
        <v>3514</v>
      </c>
      <c r="B858" s="53" t="s">
        <v>3515</v>
      </c>
      <c r="C858" s="53" t="s">
        <v>1965</v>
      </c>
      <c r="D858" s="53" t="s">
        <v>2333</v>
      </c>
    </row>
    <row r="859" spans="1:4">
      <c r="A859" s="53" t="s">
        <v>3514</v>
      </c>
      <c r="B859" s="53" t="s">
        <v>3515</v>
      </c>
      <c r="C859" s="53" t="s">
        <v>1966</v>
      </c>
      <c r="D859" s="53" t="s">
        <v>192</v>
      </c>
    </row>
    <row r="860" spans="1:4">
      <c r="A860" s="53" t="s">
        <v>3514</v>
      </c>
      <c r="B860" s="53" t="s">
        <v>3515</v>
      </c>
      <c r="C860" s="53" t="s">
        <v>1967</v>
      </c>
      <c r="D860" s="53" t="s">
        <v>193</v>
      </c>
    </row>
    <row r="861" spans="1:4">
      <c r="A861" s="53" t="s">
        <v>3514</v>
      </c>
      <c r="B861" s="53" t="s">
        <v>3515</v>
      </c>
      <c r="C861" s="53" t="s">
        <v>1968</v>
      </c>
      <c r="D861" s="53" t="s">
        <v>194</v>
      </c>
    </row>
    <row r="862" spans="1:4">
      <c r="A862" s="53" t="s">
        <v>3514</v>
      </c>
      <c r="B862" s="53" t="s">
        <v>3515</v>
      </c>
      <c r="C862" s="53" t="s">
        <v>1969</v>
      </c>
      <c r="D862" s="53" t="s">
        <v>195</v>
      </c>
    </row>
    <row r="863" spans="1:4">
      <c r="A863" s="53" t="s">
        <v>3514</v>
      </c>
      <c r="B863" s="53" t="s">
        <v>3515</v>
      </c>
      <c r="C863" s="53" t="s">
        <v>1970</v>
      </c>
      <c r="D863" s="53" t="s">
        <v>1819</v>
      </c>
    </row>
    <row r="864" spans="1:4">
      <c r="A864" s="53" t="s">
        <v>3514</v>
      </c>
      <c r="B864" s="53" t="s">
        <v>3515</v>
      </c>
      <c r="C864" s="53" t="s">
        <v>1971</v>
      </c>
      <c r="D864" s="53" t="s">
        <v>3768</v>
      </c>
    </row>
    <row r="865" spans="1:4">
      <c r="A865" s="53" t="s">
        <v>630</v>
      </c>
      <c r="B865" s="53" t="s">
        <v>631</v>
      </c>
      <c r="C865" s="53" t="s">
        <v>3354</v>
      </c>
      <c r="D865" s="53" t="s">
        <v>632</v>
      </c>
    </row>
    <row r="866" spans="1:4">
      <c r="A866" s="53" t="s">
        <v>630</v>
      </c>
      <c r="B866" s="53" t="s">
        <v>631</v>
      </c>
      <c r="C866" s="53" t="s">
        <v>1964</v>
      </c>
      <c r="D866" s="53" t="s">
        <v>633</v>
      </c>
    </row>
    <row r="867" spans="1:4">
      <c r="A867" s="53" t="s">
        <v>630</v>
      </c>
      <c r="B867" s="53" t="s">
        <v>631</v>
      </c>
      <c r="C867" s="53" t="s">
        <v>1965</v>
      </c>
      <c r="D867" s="53" t="s">
        <v>3740</v>
      </c>
    </row>
    <row r="868" spans="1:4">
      <c r="A868" s="53" t="s">
        <v>630</v>
      </c>
      <c r="B868" s="53" t="s">
        <v>631</v>
      </c>
      <c r="C868" s="53" t="s">
        <v>1966</v>
      </c>
      <c r="D868" s="53" t="s">
        <v>3741</v>
      </c>
    </row>
    <row r="869" spans="1:4">
      <c r="A869" s="53" t="s">
        <v>630</v>
      </c>
      <c r="B869" s="53" t="s">
        <v>631</v>
      </c>
      <c r="C869" s="53" t="s">
        <v>1967</v>
      </c>
      <c r="D869" s="53" t="s">
        <v>3383</v>
      </c>
    </row>
    <row r="870" spans="1:4">
      <c r="A870" s="53" t="s">
        <v>630</v>
      </c>
      <c r="B870" s="53" t="s">
        <v>631</v>
      </c>
      <c r="C870" s="53" t="s">
        <v>1968</v>
      </c>
      <c r="D870" s="53" t="s">
        <v>3384</v>
      </c>
    </row>
    <row r="871" spans="1:4">
      <c r="A871" s="53" t="s">
        <v>630</v>
      </c>
      <c r="B871" s="53" t="s">
        <v>631</v>
      </c>
      <c r="C871" s="53" t="s">
        <v>1969</v>
      </c>
      <c r="D871" s="53" t="s">
        <v>3385</v>
      </c>
    </row>
    <row r="872" spans="1:4">
      <c r="A872" s="53" t="s">
        <v>630</v>
      </c>
      <c r="B872" s="53" t="s">
        <v>631</v>
      </c>
      <c r="C872" s="53" t="s">
        <v>1970</v>
      </c>
      <c r="D872" s="53" t="s">
        <v>3386</v>
      </c>
    </row>
    <row r="873" spans="1:4">
      <c r="A873" s="53" t="s">
        <v>630</v>
      </c>
      <c r="B873" s="53" t="s">
        <v>631</v>
      </c>
      <c r="C873" s="53" t="s">
        <v>1971</v>
      </c>
      <c r="D873" s="53" t="s">
        <v>3387</v>
      </c>
    </row>
    <row r="874" spans="1:4">
      <c r="A874" s="53" t="s">
        <v>630</v>
      </c>
      <c r="B874" s="53" t="s">
        <v>631</v>
      </c>
      <c r="C874" s="53" t="s">
        <v>1972</v>
      </c>
      <c r="D874" s="53" t="s">
        <v>3388</v>
      </c>
    </row>
    <row r="875" spans="1:4">
      <c r="A875" s="53" t="s">
        <v>630</v>
      </c>
      <c r="B875" s="53" t="s">
        <v>631</v>
      </c>
      <c r="C875" s="53" t="s">
        <v>1973</v>
      </c>
      <c r="D875" s="53" t="s">
        <v>3389</v>
      </c>
    </row>
    <row r="876" spans="1:4">
      <c r="A876" s="53" t="s">
        <v>630</v>
      </c>
      <c r="B876" s="53" t="s">
        <v>631</v>
      </c>
      <c r="C876" s="53" t="s">
        <v>1974</v>
      </c>
      <c r="D876" s="53" t="s">
        <v>3114</v>
      </c>
    </row>
    <row r="877" spans="1:4">
      <c r="A877" s="53" t="s">
        <v>630</v>
      </c>
      <c r="B877" s="53" t="s">
        <v>631</v>
      </c>
      <c r="C877" s="53" t="s">
        <v>1975</v>
      </c>
      <c r="D877" s="53" t="s">
        <v>1574</v>
      </c>
    </row>
    <row r="878" spans="1:4">
      <c r="A878" s="53" t="s">
        <v>630</v>
      </c>
      <c r="B878" s="53" t="s">
        <v>631</v>
      </c>
      <c r="C878" s="53" t="s">
        <v>1976</v>
      </c>
      <c r="D878" s="53" t="s">
        <v>1575</v>
      </c>
    </row>
    <row r="879" spans="1:4">
      <c r="A879" s="53" t="s">
        <v>1576</v>
      </c>
      <c r="B879" s="53" t="s">
        <v>4266</v>
      </c>
      <c r="C879" s="53" t="s">
        <v>3354</v>
      </c>
      <c r="D879" s="53" t="s">
        <v>4267</v>
      </c>
    </row>
    <row r="880" spans="1:4">
      <c r="A880" s="53" t="s">
        <v>1576</v>
      </c>
      <c r="B880" s="53" t="s">
        <v>4266</v>
      </c>
      <c r="C880" s="53" t="s">
        <v>1964</v>
      </c>
      <c r="D880" s="53" t="s">
        <v>4268</v>
      </c>
    </row>
    <row r="881" spans="1:4">
      <c r="A881" s="53" t="s">
        <v>1576</v>
      </c>
      <c r="B881" s="53" t="s">
        <v>4266</v>
      </c>
      <c r="C881" s="53" t="s">
        <v>1965</v>
      </c>
      <c r="D881" s="53" t="s">
        <v>4306</v>
      </c>
    </row>
    <row r="882" spans="1:4">
      <c r="A882" s="53" t="s">
        <v>1576</v>
      </c>
      <c r="B882" s="53" t="s">
        <v>4266</v>
      </c>
      <c r="C882" s="53" t="s">
        <v>1966</v>
      </c>
      <c r="D882" s="53" t="s">
        <v>4307</v>
      </c>
    </row>
    <row r="883" spans="1:4">
      <c r="A883" s="53" t="s">
        <v>1576</v>
      </c>
      <c r="B883" s="53" t="s">
        <v>4266</v>
      </c>
      <c r="C883" s="53" t="s">
        <v>1967</v>
      </c>
      <c r="D883" s="53" t="s">
        <v>4308</v>
      </c>
    </row>
    <row r="884" spans="1:4">
      <c r="A884" s="53" t="s">
        <v>1576</v>
      </c>
      <c r="B884" s="53" t="s">
        <v>4266</v>
      </c>
      <c r="C884" s="53" t="s">
        <v>1968</v>
      </c>
      <c r="D884" s="53" t="s">
        <v>941</v>
      </c>
    </row>
    <row r="885" spans="1:4">
      <c r="A885" s="53" t="s">
        <v>1576</v>
      </c>
      <c r="B885" s="53" t="s">
        <v>4266</v>
      </c>
      <c r="C885" s="53" t="s">
        <v>1969</v>
      </c>
      <c r="D885" s="53" t="s">
        <v>942</v>
      </c>
    </row>
    <row r="886" spans="1:4">
      <c r="A886" s="53" t="s">
        <v>1576</v>
      </c>
      <c r="B886" s="53" t="s">
        <v>4266</v>
      </c>
      <c r="C886" s="53" t="s">
        <v>1970</v>
      </c>
      <c r="D886" s="53" t="s">
        <v>943</v>
      </c>
    </row>
    <row r="887" spans="1:4">
      <c r="A887" s="53" t="s">
        <v>1576</v>
      </c>
      <c r="B887" s="53" t="s">
        <v>4266</v>
      </c>
      <c r="C887" s="53" t="s">
        <v>1971</v>
      </c>
      <c r="D887" s="53" t="s">
        <v>944</v>
      </c>
    </row>
    <row r="888" spans="1:4">
      <c r="A888" s="53" t="s">
        <v>1576</v>
      </c>
      <c r="B888" s="53" t="s">
        <v>4266</v>
      </c>
      <c r="C888" s="53" t="s">
        <v>1972</v>
      </c>
      <c r="D888" s="53" t="s">
        <v>945</v>
      </c>
    </row>
    <row r="889" spans="1:4">
      <c r="A889" s="53" t="s">
        <v>1576</v>
      </c>
      <c r="B889" s="53" t="s">
        <v>4266</v>
      </c>
      <c r="C889" s="53" t="s">
        <v>1973</v>
      </c>
      <c r="D889" s="53" t="s">
        <v>1014</v>
      </c>
    </row>
    <row r="890" spans="1:4">
      <c r="A890" s="53" t="s">
        <v>1576</v>
      </c>
      <c r="B890" s="53" t="s">
        <v>4266</v>
      </c>
      <c r="C890" s="53" t="s">
        <v>1974</v>
      </c>
      <c r="D890" s="53" t="s">
        <v>953</v>
      </c>
    </row>
    <row r="891" spans="1:4">
      <c r="A891" s="53" t="s">
        <v>1576</v>
      </c>
      <c r="B891" s="53" t="s">
        <v>4266</v>
      </c>
      <c r="C891" s="53" t="s">
        <v>1975</v>
      </c>
      <c r="D891" s="53" t="s">
        <v>954</v>
      </c>
    </row>
    <row r="892" spans="1:4">
      <c r="A892" s="53" t="s">
        <v>1576</v>
      </c>
      <c r="B892" s="53" t="s">
        <v>4266</v>
      </c>
      <c r="C892" s="53" t="s">
        <v>1976</v>
      </c>
      <c r="D892" s="53" t="s">
        <v>955</v>
      </c>
    </row>
    <row r="893" spans="1:4">
      <c r="A893" s="53" t="s">
        <v>1576</v>
      </c>
      <c r="B893" s="53" t="s">
        <v>4266</v>
      </c>
      <c r="C893" s="53" t="s">
        <v>1977</v>
      </c>
      <c r="D893" s="53" t="s">
        <v>956</v>
      </c>
    </row>
    <row r="894" spans="1:4">
      <c r="A894" s="53" t="s">
        <v>1576</v>
      </c>
      <c r="B894" s="53" t="s">
        <v>4266</v>
      </c>
      <c r="C894" s="53" t="s">
        <v>1978</v>
      </c>
      <c r="D894" s="53" t="s">
        <v>957</v>
      </c>
    </row>
    <row r="895" spans="1:4">
      <c r="A895" s="53" t="s">
        <v>1576</v>
      </c>
      <c r="B895" s="53" t="s">
        <v>4266</v>
      </c>
      <c r="C895" s="53" t="s">
        <v>1979</v>
      </c>
      <c r="D895" s="53" t="s">
        <v>1952</v>
      </c>
    </row>
    <row r="896" spans="1:4">
      <c r="A896" s="53" t="s">
        <v>1576</v>
      </c>
      <c r="B896" s="53" t="s">
        <v>4266</v>
      </c>
      <c r="C896" s="53" t="s">
        <v>1980</v>
      </c>
      <c r="D896" s="53" t="s">
        <v>1953</v>
      </c>
    </row>
    <row r="897" spans="1:4">
      <c r="A897" s="53" t="s">
        <v>1576</v>
      </c>
      <c r="B897" s="53" t="s">
        <v>4266</v>
      </c>
      <c r="C897" s="53" t="s">
        <v>1981</v>
      </c>
      <c r="D897" s="53" t="s">
        <v>1338</v>
      </c>
    </row>
    <row r="898" spans="1:4">
      <c r="A898" s="53" t="s">
        <v>1576</v>
      </c>
      <c r="B898" s="53" t="s">
        <v>4266</v>
      </c>
      <c r="C898" s="53" t="s">
        <v>1982</v>
      </c>
      <c r="D898" s="53" t="s">
        <v>3446</v>
      </c>
    </row>
    <row r="899" spans="1:4">
      <c r="A899" s="53" t="s">
        <v>1576</v>
      </c>
      <c r="B899" s="53" t="s">
        <v>4266</v>
      </c>
      <c r="C899" s="53" t="s">
        <v>4150</v>
      </c>
      <c r="D899" s="53" t="s">
        <v>3447</v>
      </c>
    </row>
    <row r="900" spans="1:4">
      <c r="A900" s="53" t="s">
        <v>1576</v>
      </c>
      <c r="B900" s="53" t="s">
        <v>4266</v>
      </c>
      <c r="C900" s="53" t="s">
        <v>4151</v>
      </c>
      <c r="D900" s="53" t="s">
        <v>3448</v>
      </c>
    </row>
    <row r="901" spans="1:4">
      <c r="A901" s="53" t="s">
        <v>3449</v>
      </c>
      <c r="B901" s="53" t="s">
        <v>3450</v>
      </c>
      <c r="C901" s="53" t="s">
        <v>3354</v>
      </c>
      <c r="D901" s="53" t="s">
        <v>3451</v>
      </c>
    </row>
    <row r="902" spans="1:4">
      <c r="A902" s="53" t="s">
        <v>3449</v>
      </c>
      <c r="B902" s="53" t="s">
        <v>3450</v>
      </c>
      <c r="C902" s="53" t="s">
        <v>1964</v>
      </c>
      <c r="D902" s="53" t="s">
        <v>931</v>
      </c>
    </row>
    <row r="903" spans="1:4">
      <c r="A903" s="53" t="s">
        <v>3449</v>
      </c>
      <c r="B903" s="53" t="s">
        <v>3450</v>
      </c>
      <c r="C903" s="53" t="s">
        <v>1965</v>
      </c>
      <c r="D903" s="53" t="s">
        <v>932</v>
      </c>
    </row>
    <row r="904" spans="1:4">
      <c r="A904" s="53" t="s">
        <v>3449</v>
      </c>
      <c r="B904" s="53" t="s">
        <v>3450</v>
      </c>
      <c r="C904" s="53" t="s">
        <v>1966</v>
      </c>
      <c r="D904" s="53" t="s">
        <v>601</v>
      </c>
    </row>
    <row r="905" spans="1:4">
      <c r="A905" s="53" t="s">
        <v>3449</v>
      </c>
      <c r="B905" s="53" t="s">
        <v>3450</v>
      </c>
      <c r="C905" s="53" t="s">
        <v>1967</v>
      </c>
      <c r="D905" s="53" t="s">
        <v>602</v>
      </c>
    </row>
    <row r="906" spans="1:4">
      <c r="A906" s="53" t="s">
        <v>3449</v>
      </c>
      <c r="B906" s="53" t="s">
        <v>3450</v>
      </c>
      <c r="C906" s="53" t="s">
        <v>1968</v>
      </c>
      <c r="D906" s="53" t="s">
        <v>2789</v>
      </c>
    </row>
    <row r="907" spans="1:4">
      <c r="A907" s="53" t="s">
        <v>3449</v>
      </c>
      <c r="B907" s="53" t="s">
        <v>3450</v>
      </c>
      <c r="C907" s="53" t="s">
        <v>1969</v>
      </c>
      <c r="D907" s="53" t="s">
        <v>2790</v>
      </c>
    </row>
    <row r="908" spans="1:4">
      <c r="A908" s="53" t="s">
        <v>3449</v>
      </c>
      <c r="B908" s="53" t="s">
        <v>3450</v>
      </c>
      <c r="C908" s="53" t="s">
        <v>1970</v>
      </c>
      <c r="D908" s="53" t="s">
        <v>2791</v>
      </c>
    </row>
    <row r="909" spans="1:4">
      <c r="A909" s="53" t="s">
        <v>3449</v>
      </c>
      <c r="B909" s="53" t="s">
        <v>3450</v>
      </c>
      <c r="C909" s="53" t="s">
        <v>1971</v>
      </c>
      <c r="D909" s="53" t="s">
        <v>2792</v>
      </c>
    </row>
    <row r="910" spans="1:4">
      <c r="A910" s="53" t="s">
        <v>2793</v>
      </c>
      <c r="B910" s="53" t="s">
        <v>1939</v>
      </c>
      <c r="C910" s="53" t="s">
        <v>3354</v>
      </c>
      <c r="D910" s="53" t="s">
        <v>1940</v>
      </c>
    </row>
    <row r="911" spans="1:4">
      <c r="A911" s="53" t="s">
        <v>2793</v>
      </c>
      <c r="B911" s="53" t="s">
        <v>1939</v>
      </c>
      <c r="C911" s="53" t="s">
        <v>1964</v>
      </c>
      <c r="D911" s="53" t="s">
        <v>483</v>
      </c>
    </row>
    <row r="912" spans="1:4">
      <c r="A912" s="53" t="s">
        <v>2793</v>
      </c>
      <c r="B912" s="53" t="s">
        <v>1939</v>
      </c>
      <c r="C912" s="53" t="s">
        <v>1965</v>
      </c>
      <c r="D912" s="53" t="s">
        <v>484</v>
      </c>
    </row>
    <row r="913" spans="1:4">
      <c r="A913" s="53" t="s">
        <v>2793</v>
      </c>
      <c r="B913" s="53" t="s">
        <v>1939</v>
      </c>
      <c r="C913" s="53" t="s">
        <v>1966</v>
      </c>
      <c r="D913" s="53" t="s">
        <v>3868</v>
      </c>
    </row>
    <row r="914" spans="1:4">
      <c r="A914" s="53" t="s">
        <v>2793</v>
      </c>
      <c r="B914" s="53" t="s">
        <v>1939</v>
      </c>
      <c r="C914" s="53" t="s">
        <v>1967</v>
      </c>
      <c r="D914" s="53" t="s">
        <v>3081</v>
      </c>
    </row>
    <row r="915" spans="1:4">
      <c r="A915" s="53" t="s">
        <v>2793</v>
      </c>
      <c r="B915" s="53" t="s">
        <v>1939</v>
      </c>
      <c r="C915" s="53" t="s">
        <v>1968</v>
      </c>
      <c r="D915" s="53" t="s">
        <v>3082</v>
      </c>
    </row>
    <row r="916" spans="1:4">
      <c r="A916" s="53" t="s">
        <v>2793</v>
      </c>
      <c r="B916" s="53" t="s">
        <v>1939</v>
      </c>
      <c r="C916" s="53" t="s">
        <v>1969</v>
      </c>
      <c r="D916" s="53" t="s">
        <v>1018</v>
      </c>
    </row>
    <row r="917" spans="1:4">
      <c r="A917" s="53" t="s">
        <v>2793</v>
      </c>
      <c r="B917" s="53" t="s">
        <v>1939</v>
      </c>
      <c r="C917" s="53" t="s">
        <v>1970</v>
      </c>
      <c r="D917" s="53" t="s">
        <v>3969</v>
      </c>
    </row>
    <row r="918" spans="1:4">
      <c r="A918" s="53" t="s">
        <v>2793</v>
      </c>
      <c r="B918" s="53" t="s">
        <v>1939</v>
      </c>
      <c r="C918" s="53" t="s">
        <v>1971</v>
      </c>
      <c r="D918" s="53" t="s">
        <v>3970</v>
      </c>
    </row>
    <row r="919" spans="1:4">
      <c r="A919" s="53" t="s">
        <v>2793</v>
      </c>
      <c r="B919" s="53" t="s">
        <v>1939</v>
      </c>
      <c r="C919" s="53" t="s">
        <v>1972</v>
      </c>
      <c r="D919" s="53" t="s">
        <v>3971</v>
      </c>
    </row>
    <row r="920" spans="1:4">
      <c r="A920" s="53" t="s">
        <v>2793</v>
      </c>
      <c r="B920" s="53" t="s">
        <v>1939</v>
      </c>
      <c r="C920" s="53" t="s">
        <v>1973</v>
      </c>
      <c r="D920" s="53" t="s">
        <v>2060</v>
      </c>
    </row>
    <row r="921" spans="1:4">
      <c r="A921" s="53" t="s">
        <v>2793</v>
      </c>
      <c r="B921" s="53" t="s">
        <v>1939</v>
      </c>
      <c r="C921" s="53" t="s">
        <v>1974</v>
      </c>
      <c r="D921" s="53" t="s">
        <v>2061</v>
      </c>
    </row>
    <row r="922" spans="1:4">
      <c r="A922" s="53" t="s">
        <v>2793</v>
      </c>
      <c r="B922" s="53" t="s">
        <v>1939</v>
      </c>
      <c r="C922" s="53" t="s">
        <v>1975</v>
      </c>
      <c r="D922" s="53" t="s">
        <v>3376</v>
      </c>
    </row>
    <row r="923" spans="1:4">
      <c r="A923" s="53" t="s">
        <v>2793</v>
      </c>
      <c r="B923" s="53" t="s">
        <v>1939</v>
      </c>
      <c r="C923" s="53" t="s">
        <v>1976</v>
      </c>
      <c r="D923" s="53" t="s">
        <v>3377</v>
      </c>
    </row>
    <row r="924" spans="1:4">
      <c r="A924" s="53" t="s">
        <v>2793</v>
      </c>
      <c r="B924" s="53" t="s">
        <v>1939</v>
      </c>
      <c r="C924" s="53" t="s">
        <v>1977</v>
      </c>
      <c r="D924" s="53" t="s">
        <v>3378</v>
      </c>
    </row>
    <row r="925" spans="1:4">
      <c r="A925" s="53" t="s">
        <v>2793</v>
      </c>
      <c r="B925" s="53" t="s">
        <v>1939</v>
      </c>
      <c r="C925" s="53" t="s">
        <v>1978</v>
      </c>
      <c r="D925" s="53" t="s">
        <v>4233</v>
      </c>
    </row>
    <row r="926" spans="1:4">
      <c r="A926" s="53" t="s">
        <v>2793</v>
      </c>
      <c r="B926" s="53" t="s">
        <v>1939</v>
      </c>
      <c r="C926" s="53" t="s">
        <v>1979</v>
      </c>
      <c r="D926" s="53" t="s">
        <v>4234</v>
      </c>
    </row>
    <row r="927" spans="1:4">
      <c r="A927" s="53" t="s">
        <v>2793</v>
      </c>
      <c r="B927" s="53" t="s">
        <v>1939</v>
      </c>
      <c r="C927" s="53" t="s">
        <v>1980</v>
      </c>
      <c r="D927" s="53" t="s">
        <v>3270</v>
      </c>
    </row>
    <row r="928" spans="1:4">
      <c r="A928" s="53" t="s">
        <v>2793</v>
      </c>
      <c r="B928" s="53" t="s">
        <v>1939</v>
      </c>
      <c r="C928" s="53" t="s">
        <v>1981</v>
      </c>
      <c r="D928" s="53" t="s">
        <v>3374</v>
      </c>
    </row>
    <row r="929" spans="1:4">
      <c r="A929" s="53" t="s">
        <v>3375</v>
      </c>
      <c r="B929" s="53" t="s">
        <v>4338</v>
      </c>
      <c r="C929" s="53" t="s">
        <v>3354</v>
      </c>
      <c r="D929" s="53" t="s">
        <v>3973</v>
      </c>
    </row>
    <row r="930" spans="1:4">
      <c r="A930" s="53" t="s">
        <v>3375</v>
      </c>
      <c r="B930" s="53" t="s">
        <v>4338</v>
      </c>
      <c r="C930" s="53" t="s">
        <v>1964</v>
      </c>
      <c r="D930" s="53" t="s">
        <v>1895</v>
      </c>
    </row>
    <row r="931" spans="1:4">
      <c r="A931" s="53" t="s">
        <v>3375</v>
      </c>
      <c r="B931" s="53" t="s">
        <v>4338</v>
      </c>
      <c r="C931" s="53" t="s">
        <v>1965</v>
      </c>
      <c r="D931" s="53" t="s">
        <v>1896</v>
      </c>
    </row>
    <row r="932" spans="1:4">
      <c r="A932" s="53" t="s">
        <v>3375</v>
      </c>
      <c r="B932" s="53" t="s">
        <v>4338</v>
      </c>
      <c r="C932" s="53" t="s">
        <v>1966</v>
      </c>
      <c r="D932" s="53" t="s">
        <v>1897</v>
      </c>
    </row>
    <row r="933" spans="1:4">
      <c r="A933" s="53" t="s">
        <v>3375</v>
      </c>
      <c r="B933" s="53" t="s">
        <v>4338</v>
      </c>
      <c r="C933" s="53" t="s">
        <v>1967</v>
      </c>
      <c r="D933" s="53" t="s">
        <v>110</v>
      </c>
    </row>
    <row r="934" spans="1:4">
      <c r="A934" s="53" t="s">
        <v>3375</v>
      </c>
      <c r="B934" s="53" t="s">
        <v>4338</v>
      </c>
      <c r="C934" s="53" t="s">
        <v>1968</v>
      </c>
      <c r="D934" s="53" t="s">
        <v>111</v>
      </c>
    </row>
    <row r="935" spans="1:4">
      <c r="A935" s="53" t="s">
        <v>3375</v>
      </c>
      <c r="B935" s="53" t="s">
        <v>4338</v>
      </c>
      <c r="C935" s="53" t="s">
        <v>1969</v>
      </c>
      <c r="D935" s="53" t="s">
        <v>112</v>
      </c>
    </row>
    <row r="936" spans="1:4">
      <c r="A936" s="53" t="s">
        <v>3375</v>
      </c>
      <c r="B936" s="53" t="s">
        <v>4338</v>
      </c>
      <c r="C936" s="53" t="s">
        <v>1970</v>
      </c>
      <c r="D936" s="53" t="s">
        <v>113</v>
      </c>
    </row>
    <row r="937" spans="1:4">
      <c r="A937" s="53" t="s">
        <v>3375</v>
      </c>
      <c r="B937" s="53" t="s">
        <v>4338</v>
      </c>
      <c r="C937" s="53" t="s">
        <v>1971</v>
      </c>
      <c r="D937" s="53" t="s">
        <v>1015</v>
      </c>
    </row>
    <row r="938" spans="1:4">
      <c r="A938" s="53" t="s">
        <v>3375</v>
      </c>
      <c r="B938" s="53" t="s">
        <v>4338</v>
      </c>
      <c r="C938" s="53" t="s">
        <v>1972</v>
      </c>
      <c r="D938" s="53" t="s">
        <v>1016</v>
      </c>
    </row>
    <row r="939" spans="1:4">
      <c r="A939" s="53" t="s">
        <v>3375</v>
      </c>
      <c r="B939" s="53" t="s">
        <v>4338</v>
      </c>
      <c r="C939" s="53" t="s">
        <v>1973</v>
      </c>
      <c r="D939" s="53" t="s">
        <v>4379</v>
      </c>
    </row>
    <row r="940" spans="1:4">
      <c r="A940" s="53" t="s">
        <v>3375</v>
      </c>
      <c r="B940" s="53" t="s">
        <v>4338</v>
      </c>
      <c r="C940" s="53" t="s">
        <v>1974</v>
      </c>
      <c r="D940" s="53" t="s">
        <v>1689</v>
      </c>
    </row>
    <row r="941" spans="1:4">
      <c r="A941" s="53" t="s">
        <v>3375</v>
      </c>
      <c r="B941" s="53" t="s">
        <v>4338</v>
      </c>
      <c r="C941" s="53" t="s">
        <v>1975</v>
      </c>
      <c r="D941" s="53" t="s">
        <v>3226</v>
      </c>
    </row>
    <row r="942" spans="1:4">
      <c r="A942" s="53" t="s">
        <v>3375</v>
      </c>
      <c r="B942" s="53" t="s">
        <v>4338</v>
      </c>
      <c r="C942" s="53" t="s">
        <v>1976</v>
      </c>
      <c r="D942" s="53" t="s">
        <v>3227</v>
      </c>
    </row>
    <row r="943" spans="1:4">
      <c r="A943" s="53" t="s">
        <v>3375</v>
      </c>
      <c r="B943" s="53" t="s">
        <v>4338</v>
      </c>
      <c r="C943" s="53" t="s">
        <v>1977</v>
      </c>
      <c r="D943" s="53" t="s">
        <v>3228</v>
      </c>
    </row>
    <row r="944" spans="1:4">
      <c r="A944" s="53" t="s">
        <v>3375</v>
      </c>
      <c r="B944" s="53" t="s">
        <v>4338</v>
      </c>
      <c r="C944" s="53" t="s">
        <v>1978</v>
      </c>
      <c r="D944" s="53" t="s">
        <v>3229</v>
      </c>
    </row>
    <row r="945" spans="1:4">
      <c r="A945" s="53" t="s">
        <v>3375</v>
      </c>
      <c r="B945" s="53" t="s">
        <v>4338</v>
      </c>
      <c r="C945" s="53" t="s">
        <v>1979</v>
      </c>
      <c r="D945" s="53" t="s">
        <v>4400</v>
      </c>
    </row>
    <row r="946" spans="1:4">
      <c r="A946" s="53" t="s">
        <v>3375</v>
      </c>
      <c r="B946" s="53" t="s">
        <v>4338</v>
      </c>
      <c r="C946" s="53" t="s">
        <v>1980</v>
      </c>
      <c r="D946" s="53" t="s">
        <v>4401</v>
      </c>
    </row>
    <row r="947" spans="1:4">
      <c r="A947" s="53" t="s">
        <v>3375</v>
      </c>
      <c r="B947" s="53" t="s">
        <v>4338</v>
      </c>
      <c r="C947" s="53" t="s">
        <v>1981</v>
      </c>
      <c r="D947" s="53" t="s">
        <v>2068</v>
      </c>
    </row>
    <row r="948" spans="1:4">
      <c r="A948" s="53" t="s">
        <v>3375</v>
      </c>
      <c r="B948" s="53" t="s">
        <v>4338</v>
      </c>
      <c r="C948" s="53" t="s">
        <v>1982</v>
      </c>
      <c r="D948" s="53" t="s">
        <v>2069</v>
      </c>
    </row>
    <row r="949" spans="1:4">
      <c r="A949" s="53" t="s">
        <v>3375</v>
      </c>
      <c r="B949" s="53" t="s">
        <v>4338</v>
      </c>
      <c r="C949" s="53" t="s">
        <v>4150</v>
      </c>
      <c r="D949" s="53" t="s">
        <v>2070</v>
      </c>
    </row>
    <row r="950" spans="1:4">
      <c r="A950" s="53" t="s">
        <v>3375</v>
      </c>
      <c r="B950" s="53" t="s">
        <v>4338</v>
      </c>
      <c r="C950" s="53" t="s">
        <v>4151</v>
      </c>
      <c r="D950" s="53" t="s">
        <v>2071</v>
      </c>
    </row>
    <row r="951" spans="1:4">
      <c r="A951" s="53" t="s">
        <v>3375</v>
      </c>
      <c r="B951" s="53" t="s">
        <v>4338</v>
      </c>
      <c r="C951" s="53" t="s">
        <v>4152</v>
      </c>
      <c r="D951" s="53" t="s">
        <v>67</v>
      </c>
    </row>
    <row r="952" spans="1:4">
      <c r="A952" s="53" t="s">
        <v>3375</v>
      </c>
      <c r="B952" s="53" t="s">
        <v>4338</v>
      </c>
      <c r="C952" s="53" t="s">
        <v>4153</v>
      </c>
      <c r="D952" s="53" t="s">
        <v>68</v>
      </c>
    </row>
    <row r="953" spans="1:4">
      <c r="A953" s="53" t="s">
        <v>3375</v>
      </c>
      <c r="B953" s="53" t="s">
        <v>4338</v>
      </c>
      <c r="C953" s="53" t="s">
        <v>4154</v>
      </c>
      <c r="D953" s="53" t="s">
        <v>69</v>
      </c>
    </row>
    <row r="954" spans="1:4">
      <c r="A954" s="53" t="s">
        <v>3375</v>
      </c>
      <c r="B954" s="53" t="s">
        <v>4338</v>
      </c>
      <c r="C954" s="53" t="s">
        <v>4155</v>
      </c>
      <c r="D954" s="53" t="s">
        <v>70</v>
      </c>
    </row>
    <row r="955" spans="1:4">
      <c r="A955" s="53" t="s">
        <v>3375</v>
      </c>
      <c r="B955" s="53" t="s">
        <v>4338</v>
      </c>
      <c r="C955" s="53" t="s">
        <v>4156</v>
      </c>
      <c r="D955" s="53" t="s">
        <v>71</v>
      </c>
    </row>
    <row r="956" spans="1:4">
      <c r="A956" s="53" t="s">
        <v>72</v>
      </c>
      <c r="B956" s="53" t="s">
        <v>73</v>
      </c>
      <c r="C956" s="53" t="s">
        <v>3354</v>
      </c>
      <c r="D956" s="53" t="s">
        <v>74</v>
      </c>
    </row>
    <row r="957" spans="1:4">
      <c r="A957" s="53" t="s">
        <v>72</v>
      </c>
      <c r="B957" s="53" t="s">
        <v>73</v>
      </c>
      <c r="C957" s="53" t="s">
        <v>1964</v>
      </c>
      <c r="D957" s="53" t="s">
        <v>75</v>
      </c>
    </row>
    <row r="958" spans="1:4">
      <c r="A958" s="53" t="s">
        <v>72</v>
      </c>
      <c r="B958" s="53" t="s">
        <v>73</v>
      </c>
      <c r="C958" s="53" t="s">
        <v>1965</v>
      </c>
      <c r="D958" s="53" t="s">
        <v>1360</v>
      </c>
    </row>
    <row r="959" spans="1:4">
      <c r="A959" s="53" t="s">
        <v>72</v>
      </c>
      <c r="B959" s="53" t="s">
        <v>73</v>
      </c>
      <c r="C959" s="53" t="s">
        <v>1966</v>
      </c>
      <c r="D959" s="53" t="s">
        <v>1361</v>
      </c>
    </row>
    <row r="960" spans="1:4">
      <c r="A960" s="53" t="s">
        <v>72</v>
      </c>
      <c r="B960" s="53" t="s">
        <v>73</v>
      </c>
      <c r="C960" s="53" t="s">
        <v>1967</v>
      </c>
      <c r="D960" s="53" t="s">
        <v>1362</v>
      </c>
    </row>
    <row r="961" spans="1:4">
      <c r="A961" s="53" t="s">
        <v>72</v>
      </c>
      <c r="B961" s="53" t="s">
        <v>73</v>
      </c>
      <c r="C961" s="53" t="s">
        <v>1968</v>
      </c>
      <c r="D961" s="53" t="s">
        <v>1363</v>
      </c>
    </row>
    <row r="962" spans="1:4">
      <c r="A962" s="53" t="s">
        <v>72</v>
      </c>
      <c r="B962" s="53" t="s">
        <v>73</v>
      </c>
      <c r="C962" s="53" t="s">
        <v>1969</v>
      </c>
      <c r="D962" s="53" t="s">
        <v>3310</v>
      </c>
    </row>
    <row r="963" spans="1:4">
      <c r="A963" s="53" t="s">
        <v>72</v>
      </c>
      <c r="B963" s="53" t="s">
        <v>73</v>
      </c>
      <c r="C963" s="53" t="s">
        <v>1970</v>
      </c>
      <c r="D963" s="53" t="s">
        <v>3995</v>
      </c>
    </row>
    <row r="964" spans="1:4">
      <c r="A964" s="53" t="s">
        <v>72</v>
      </c>
      <c r="B964" s="53" t="s">
        <v>73</v>
      </c>
      <c r="C964" s="53" t="s">
        <v>1971</v>
      </c>
      <c r="D964" s="53" t="s">
        <v>1002</v>
      </c>
    </row>
    <row r="965" spans="1:4">
      <c r="A965" s="53" t="s">
        <v>72</v>
      </c>
      <c r="B965" s="53" t="s">
        <v>73</v>
      </c>
      <c r="C965" s="53" t="s">
        <v>1972</v>
      </c>
      <c r="D965" s="53" t="s">
        <v>1003</v>
      </c>
    </row>
    <row r="966" spans="1:4">
      <c r="A966" s="53" t="s">
        <v>72</v>
      </c>
      <c r="B966" s="53" t="s">
        <v>73</v>
      </c>
      <c r="C966" s="53" t="s">
        <v>1973</v>
      </c>
      <c r="D966" s="53" t="s">
        <v>1004</v>
      </c>
    </row>
    <row r="967" spans="1:4">
      <c r="A967" s="53" t="s">
        <v>72</v>
      </c>
      <c r="B967" s="53" t="s">
        <v>73</v>
      </c>
      <c r="C967" s="53" t="s">
        <v>1974</v>
      </c>
      <c r="D967" s="53" t="s">
        <v>1005</v>
      </c>
    </row>
    <row r="968" spans="1:4">
      <c r="A968" s="53" t="s">
        <v>72</v>
      </c>
      <c r="B968" s="53" t="s">
        <v>73</v>
      </c>
      <c r="C968" s="53" t="s">
        <v>1975</v>
      </c>
      <c r="D968" s="53" t="s">
        <v>1006</v>
      </c>
    </row>
    <row r="969" spans="1:4">
      <c r="A969" s="53" t="s">
        <v>72</v>
      </c>
      <c r="B969" s="53" t="s">
        <v>73</v>
      </c>
      <c r="C969" s="53" t="s">
        <v>1976</v>
      </c>
      <c r="D969" s="53" t="s">
        <v>1007</v>
      </c>
    </row>
    <row r="970" spans="1:4">
      <c r="A970" s="53" t="s">
        <v>72</v>
      </c>
      <c r="B970" s="53" t="s">
        <v>73</v>
      </c>
      <c r="C970" s="53" t="s">
        <v>1977</v>
      </c>
      <c r="D970" s="53" t="s">
        <v>1008</v>
      </c>
    </row>
    <row r="971" spans="1:4">
      <c r="A971" s="53" t="s">
        <v>72</v>
      </c>
      <c r="B971" s="53" t="s">
        <v>73</v>
      </c>
      <c r="C971" s="53" t="s">
        <v>1978</v>
      </c>
      <c r="D971" s="53" t="s">
        <v>1009</v>
      </c>
    </row>
    <row r="972" spans="1:4">
      <c r="A972" s="53" t="s">
        <v>72</v>
      </c>
      <c r="B972" s="53" t="s">
        <v>73</v>
      </c>
      <c r="C972" s="53" t="s">
        <v>1979</v>
      </c>
      <c r="D972" s="53" t="s">
        <v>2631</v>
      </c>
    </row>
    <row r="973" spans="1:4">
      <c r="A973" s="53" t="s">
        <v>72</v>
      </c>
      <c r="B973" s="53" t="s">
        <v>73</v>
      </c>
      <c r="C973" s="53" t="s">
        <v>1980</v>
      </c>
      <c r="D973" s="53" t="s">
        <v>2632</v>
      </c>
    </row>
    <row r="974" spans="1:4">
      <c r="A974" s="53" t="s">
        <v>72</v>
      </c>
      <c r="B974" s="53" t="s">
        <v>73</v>
      </c>
      <c r="C974" s="53" t="s">
        <v>1981</v>
      </c>
      <c r="D974" s="53" t="s">
        <v>504</v>
      </c>
    </row>
    <row r="975" spans="1:4">
      <c r="A975" s="53" t="s">
        <v>72</v>
      </c>
      <c r="B975" s="53" t="s">
        <v>73</v>
      </c>
      <c r="C975" s="53" t="s">
        <v>1982</v>
      </c>
      <c r="D975" s="53" t="s">
        <v>4080</v>
      </c>
    </row>
    <row r="976" spans="1:4">
      <c r="A976" s="53" t="s">
        <v>4081</v>
      </c>
      <c r="B976" s="53" t="s">
        <v>506</v>
      </c>
      <c r="C976" s="53" t="s">
        <v>3354</v>
      </c>
      <c r="D976" s="53" t="s">
        <v>507</v>
      </c>
    </row>
    <row r="977" spans="1:4">
      <c r="A977" s="53" t="s">
        <v>4081</v>
      </c>
      <c r="B977" s="53" t="s">
        <v>506</v>
      </c>
      <c r="C977" s="53" t="s">
        <v>1964</v>
      </c>
      <c r="D977" s="53" t="s">
        <v>4213</v>
      </c>
    </row>
    <row r="978" spans="1:4">
      <c r="A978" s="53" t="s">
        <v>4081</v>
      </c>
      <c r="B978" s="53" t="s">
        <v>506</v>
      </c>
      <c r="C978" s="53" t="s">
        <v>1965</v>
      </c>
      <c r="D978" s="53" t="s">
        <v>4214</v>
      </c>
    </row>
    <row r="979" spans="1:4">
      <c r="A979" s="53" t="s">
        <v>4081</v>
      </c>
      <c r="B979" s="53" t="s">
        <v>506</v>
      </c>
      <c r="C979" s="53" t="s">
        <v>1966</v>
      </c>
      <c r="D979" s="53" t="s">
        <v>4215</v>
      </c>
    </row>
    <row r="980" spans="1:4">
      <c r="A980" s="53" t="s">
        <v>4081</v>
      </c>
      <c r="B980" s="53" t="s">
        <v>506</v>
      </c>
      <c r="C980" s="53" t="s">
        <v>1967</v>
      </c>
      <c r="D980" s="53" t="s">
        <v>654</v>
      </c>
    </row>
    <row r="981" spans="1:4">
      <c r="A981" s="53" t="s">
        <v>4081</v>
      </c>
      <c r="B981" s="53" t="s">
        <v>506</v>
      </c>
      <c r="C981" s="53" t="s">
        <v>1968</v>
      </c>
      <c r="D981" s="53" t="s">
        <v>655</v>
      </c>
    </row>
    <row r="982" spans="1:4">
      <c r="A982" s="53" t="s">
        <v>4081</v>
      </c>
      <c r="B982" s="53" t="s">
        <v>506</v>
      </c>
      <c r="C982" s="53" t="s">
        <v>1969</v>
      </c>
      <c r="D982" s="53" t="s">
        <v>2311</v>
      </c>
    </row>
    <row r="983" spans="1:4">
      <c r="A983" s="53" t="s">
        <v>4081</v>
      </c>
      <c r="B983" s="53" t="s">
        <v>506</v>
      </c>
      <c r="C983" s="53" t="s">
        <v>1970</v>
      </c>
      <c r="D983" s="53" t="s">
        <v>2312</v>
      </c>
    </row>
    <row r="984" spans="1:4">
      <c r="A984" s="53" t="s">
        <v>4081</v>
      </c>
      <c r="B984" s="53" t="s">
        <v>506</v>
      </c>
      <c r="C984" s="53" t="s">
        <v>1971</v>
      </c>
      <c r="D984" s="53" t="s">
        <v>2313</v>
      </c>
    </row>
    <row r="985" spans="1:4">
      <c r="A985" s="53" t="s">
        <v>4081</v>
      </c>
      <c r="B985" s="53" t="s">
        <v>506</v>
      </c>
      <c r="C985" s="53" t="s">
        <v>1972</v>
      </c>
      <c r="D985" s="53" t="s">
        <v>2314</v>
      </c>
    </row>
    <row r="986" spans="1:4">
      <c r="A986" s="53" t="s">
        <v>4081</v>
      </c>
      <c r="B986" s="53" t="s">
        <v>506</v>
      </c>
      <c r="C986" s="53" t="s">
        <v>1973</v>
      </c>
      <c r="D986" s="53" t="s">
        <v>2315</v>
      </c>
    </row>
    <row r="987" spans="1:4">
      <c r="A987" s="53" t="s">
        <v>4081</v>
      </c>
      <c r="B987" s="53" t="s">
        <v>506</v>
      </c>
      <c r="C987" s="53" t="s">
        <v>1974</v>
      </c>
      <c r="D987" s="53" t="s">
        <v>2496</v>
      </c>
    </row>
    <row r="988" spans="1:4">
      <c r="A988" s="53" t="s">
        <v>4081</v>
      </c>
      <c r="B988" s="53" t="s">
        <v>506</v>
      </c>
      <c r="C988" s="53" t="s">
        <v>1975</v>
      </c>
      <c r="D988" s="53" t="s">
        <v>3006</v>
      </c>
    </row>
    <row r="989" spans="1:4">
      <c r="A989" s="53" t="s">
        <v>4081</v>
      </c>
      <c r="B989" s="53" t="s">
        <v>506</v>
      </c>
      <c r="C989" s="53" t="s">
        <v>1976</v>
      </c>
      <c r="D989" s="53" t="s">
        <v>3007</v>
      </c>
    </row>
    <row r="990" spans="1:4">
      <c r="A990" s="53" t="s">
        <v>4081</v>
      </c>
      <c r="B990" s="53" t="s">
        <v>506</v>
      </c>
      <c r="C990" s="53" t="s">
        <v>1977</v>
      </c>
      <c r="D990" s="53" t="s">
        <v>3008</v>
      </c>
    </row>
    <row r="991" spans="1:4">
      <c r="A991" s="53" t="s">
        <v>4081</v>
      </c>
      <c r="B991" s="53" t="s">
        <v>506</v>
      </c>
      <c r="C991" s="53" t="s">
        <v>1978</v>
      </c>
      <c r="D991" s="53" t="s">
        <v>3530</v>
      </c>
    </row>
    <row r="992" spans="1:4">
      <c r="A992" s="53" t="s">
        <v>4081</v>
      </c>
      <c r="B992" s="53" t="s">
        <v>506</v>
      </c>
      <c r="C992" s="53" t="s">
        <v>1979</v>
      </c>
      <c r="D992" s="53" t="s">
        <v>3531</v>
      </c>
    </row>
    <row r="993" spans="1:4">
      <c r="A993" s="53" t="s">
        <v>4081</v>
      </c>
      <c r="B993" s="53" t="s">
        <v>506</v>
      </c>
      <c r="C993" s="53" t="s">
        <v>1980</v>
      </c>
      <c r="D993" s="53" t="s">
        <v>2198</v>
      </c>
    </row>
    <row r="994" spans="1:4">
      <c r="A994" s="53" t="s">
        <v>4081</v>
      </c>
      <c r="B994" s="53" t="s">
        <v>506</v>
      </c>
      <c r="C994" s="53" t="s">
        <v>1981</v>
      </c>
      <c r="D994" s="53" t="s">
        <v>4238</v>
      </c>
    </row>
    <row r="995" spans="1:4">
      <c r="A995" s="53" t="s">
        <v>4081</v>
      </c>
      <c r="B995" s="53" t="s">
        <v>506</v>
      </c>
      <c r="C995" s="53" t="s">
        <v>1982</v>
      </c>
      <c r="D995" s="53" t="s">
        <v>2887</v>
      </c>
    </row>
    <row r="996" spans="1:4">
      <c r="A996" s="53" t="s">
        <v>4081</v>
      </c>
      <c r="B996" s="53" t="s">
        <v>506</v>
      </c>
      <c r="C996" s="53" t="s">
        <v>4150</v>
      </c>
      <c r="D996" s="53" t="s">
        <v>2888</v>
      </c>
    </row>
    <row r="997" spans="1:4">
      <c r="A997" s="53" t="s">
        <v>4081</v>
      </c>
      <c r="B997" s="53" t="s">
        <v>506</v>
      </c>
      <c r="C997" s="53" t="s">
        <v>4151</v>
      </c>
      <c r="D997" s="53" t="s">
        <v>2889</v>
      </c>
    </row>
    <row r="998" spans="1:4">
      <c r="A998" s="53" t="s">
        <v>4081</v>
      </c>
      <c r="B998" s="53" t="s">
        <v>506</v>
      </c>
      <c r="C998" s="53" t="s">
        <v>4152</v>
      </c>
      <c r="D998" s="53" t="s">
        <v>1153</v>
      </c>
    </row>
    <row r="999" spans="1:4">
      <c r="A999" s="53" t="s">
        <v>4081</v>
      </c>
      <c r="B999" s="53" t="s">
        <v>506</v>
      </c>
      <c r="C999" s="53" t="s">
        <v>4153</v>
      </c>
      <c r="D999" s="53" t="s">
        <v>1154</v>
      </c>
    </row>
    <row r="1000" spans="1:4">
      <c r="A1000" s="53" t="s">
        <v>4081</v>
      </c>
      <c r="B1000" s="53" t="s">
        <v>506</v>
      </c>
      <c r="C1000" s="53" t="s">
        <v>4154</v>
      </c>
      <c r="D1000" s="53" t="s">
        <v>1155</v>
      </c>
    </row>
    <row r="1001" spans="1:4">
      <c r="A1001" s="53" t="s">
        <v>4081</v>
      </c>
      <c r="B1001" s="53" t="s">
        <v>506</v>
      </c>
      <c r="C1001" s="53" t="s">
        <v>4155</v>
      </c>
      <c r="D1001" s="53" t="s">
        <v>3491</v>
      </c>
    </row>
    <row r="1002" spans="1:4">
      <c r="A1002" s="53" t="s">
        <v>4081</v>
      </c>
      <c r="B1002" s="53" t="s">
        <v>506</v>
      </c>
      <c r="C1002" s="53" t="s">
        <v>4156</v>
      </c>
      <c r="D1002" s="53" t="s">
        <v>1773</v>
      </c>
    </row>
    <row r="1003" spans="1:4">
      <c r="A1003" s="53" t="s">
        <v>4081</v>
      </c>
      <c r="B1003" s="53" t="s">
        <v>506</v>
      </c>
      <c r="C1003" s="53" t="s">
        <v>4157</v>
      </c>
      <c r="D1003" s="53" t="s">
        <v>1683</v>
      </c>
    </row>
    <row r="1004" spans="1:4">
      <c r="A1004" s="53" t="s">
        <v>4081</v>
      </c>
      <c r="B1004" s="53" t="s">
        <v>506</v>
      </c>
      <c r="C1004" s="53" t="s">
        <v>4158</v>
      </c>
      <c r="D1004" s="53" t="s">
        <v>1684</v>
      </c>
    </row>
    <row r="1005" spans="1:4">
      <c r="A1005" s="53" t="s">
        <v>4081</v>
      </c>
      <c r="B1005" s="53" t="s">
        <v>506</v>
      </c>
      <c r="C1005" s="53" t="s">
        <v>4159</v>
      </c>
      <c r="D1005" s="53" t="s">
        <v>1685</v>
      </c>
    </row>
    <row r="1006" spans="1:4">
      <c r="A1006" s="53" t="s">
        <v>4081</v>
      </c>
      <c r="B1006" s="53" t="s">
        <v>506</v>
      </c>
      <c r="C1006" s="53" t="s">
        <v>2424</v>
      </c>
      <c r="D1006" s="53" t="s">
        <v>1686</v>
      </c>
    </row>
    <row r="1007" spans="1:4">
      <c r="A1007" s="53" t="s">
        <v>4081</v>
      </c>
      <c r="B1007" s="53" t="s">
        <v>506</v>
      </c>
      <c r="C1007" s="53" t="s">
        <v>2425</v>
      </c>
      <c r="D1007" s="53" t="s">
        <v>1924</v>
      </c>
    </row>
    <row r="1008" spans="1:4">
      <c r="A1008" s="53" t="s">
        <v>1925</v>
      </c>
      <c r="B1008" s="53" t="s">
        <v>2637</v>
      </c>
      <c r="C1008" s="53" t="s">
        <v>3354</v>
      </c>
      <c r="D1008" s="53" t="s">
        <v>2638</v>
      </c>
    </row>
    <row r="1009" spans="1:4">
      <c r="A1009" s="53" t="s">
        <v>1925</v>
      </c>
      <c r="B1009" s="53" t="s">
        <v>2637</v>
      </c>
      <c r="C1009" s="53" t="s">
        <v>1964</v>
      </c>
      <c r="D1009" s="53" t="s">
        <v>2639</v>
      </c>
    </row>
    <row r="1010" spans="1:4">
      <c r="A1010" s="53" t="s">
        <v>1925</v>
      </c>
      <c r="B1010" s="53" t="s">
        <v>2637</v>
      </c>
      <c r="C1010" s="53" t="s">
        <v>1965</v>
      </c>
      <c r="D1010" s="53" t="s">
        <v>1931</v>
      </c>
    </row>
    <row r="1011" spans="1:4">
      <c r="A1011" s="53" t="s">
        <v>1925</v>
      </c>
      <c r="B1011" s="53" t="s">
        <v>2637</v>
      </c>
      <c r="C1011" s="53" t="s">
        <v>1966</v>
      </c>
      <c r="D1011" s="53" t="s">
        <v>1932</v>
      </c>
    </row>
    <row r="1012" spans="1:4">
      <c r="A1012" s="53" t="s">
        <v>1925</v>
      </c>
      <c r="B1012" s="53" t="s">
        <v>2637</v>
      </c>
      <c r="C1012" s="53" t="s">
        <v>1967</v>
      </c>
      <c r="D1012" s="53" t="s">
        <v>1933</v>
      </c>
    </row>
    <row r="1013" spans="1:4">
      <c r="A1013" s="53" t="s">
        <v>1925</v>
      </c>
      <c r="B1013" s="53" t="s">
        <v>2637</v>
      </c>
      <c r="C1013" s="53" t="s">
        <v>1968</v>
      </c>
      <c r="D1013" s="53" t="s">
        <v>1934</v>
      </c>
    </row>
    <row r="1014" spans="1:4">
      <c r="A1014" s="53" t="s">
        <v>1925</v>
      </c>
      <c r="B1014" s="53" t="s">
        <v>2637</v>
      </c>
      <c r="C1014" s="53" t="s">
        <v>1969</v>
      </c>
      <c r="D1014" s="53" t="s">
        <v>1935</v>
      </c>
    </row>
    <row r="1015" spans="1:4">
      <c r="A1015" s="53" t="s">
        <v>1936</v>
      </c>
      <c r="B1015" s="53" t="s">
        <v>1937</v>
      </c>
      <c r="C1015" s="53" t="s">
        <v>3354</v>
      </c>
      <c r="D1015" s="53" t="s">
        <v>4166</v>
      </c>
    </row>
    <row r="1016" spans="1:4">
      <c r="A1016" s="53" t="s">
        <v>1936</v>
      </c>
      <c r="B1016" s="53" t="s">
        <v>1937</v>
      </c>
      <c r="C1016" s="53" t="s">
        <v>1964</v>
      </c>
      <c r="D1016" s="53" t="s">
        <v>4167</v>
      </c>
    </row>
    <row r="1017" spans="1:4">
      <c r="A1017" s="53" t="s">
        <v>1936</v>
      </c>
      <c r="B1017" s="53" t="s">
        <v>1937</v>
      </c>
      <c r="C1017" s="53" t="s">
        <v>1965</v>
      </c>
      <c r="D1017" s="53" t="s">
        <v>4168</v>
      </c>
    </row>
    <row r="1018" spans="1:4">
      <c r="A1018" s="53" t="s">
        <v>1936</v>
      </c>
      <c r="B1018" s="53" t="s">
        <v>1937</v>
      </c>
      <c r="C1018" s="53" t="s">
        <v>1966</v>
      </c>
      <c r="D1018" s="53" t="s">
        <v>2763</v>
      </c>
    </row>
    <row r="1019" spans="1:4">
      <c r="A1019" s="53" t="s">
        <v>1936</v>
      </c>
      <c r="B1019" s="53" t="s">
        <v>1937</v>
      </c>
      <c r="C1019" s="53" t="s">
        <v>1967</v>
      </c>
      <c r="D1019" s="53" t="s">
        <v>960</v>
      </c>
    </row>
    <row r="1020" spans="1:4">
      <c r="A1020" s="53" t="s">
        <v>1936</v>
      </c>
      <c r="B1020" s="53" t="s">
        <v>1937</v>
      </c>
      <c r="C1020" s="53" t="s">
        <v>1968</v>
      </c>
      <c r="D1020" s="53" t="s">
        <v>961</v>
      </c>
    </row>
    <row r="1021" spans="1:4">
      <c r="A1021" s="53" t="s">
        <v>1936</v>
      </c>
      <c r="B1021" s="53" t="s">
        <v>1937</v>
      </c>
      <c r="C1021" s="53" t="s">
        <v>1969</v>
      </c>
      <c r="D1021" s="53" t="s">
        <v>3654</v>
      </c>
    </row>
    <row r="1022" spans="1:4">
      <c r="A1022" s="53" t="s">
        <v>1936</v>
      </c>
      <c r="B1022" s="53" t="s">
        <v>1937</v>
      </c>
      <c r="C1022" s="53" t="s">
        <v>1970</v>
      </c>
      <c r="D1022" s="53" t="s">
        <v>3655</v>
      </c>
    </row>
    <row r="1023" spans="1:4">
      <c r="A1023" s="53" t="s">
        <v>1936</v>
      </c>
      <c r="B1023" s="53" t="s">
        <v>1937</v>
      </c>
      <c r="C1023" s="53" t="s">
        <v>1971</v>
      </c>
      <c r="D1023" s="53" t="s">
        <v>3656</v>
      </c>
    </row>
    <row r="1024" spans="1:4">
      <c r="A1024" s="53" t="s">
        <v>1936</v>
      </c>
      <c r="B1024" s="53" t="s">
        <v>1937</v>
      </c>
      <c r="C1024" s="53" t="s">
        <v>1972</v>
      </c>
      <c r="D1024" s="53" t="s">
        <v>3657</v>
      </c>
    </row>
    <row r="1025" spans="1:4">
      <c r="A1025" s="53" t="s">
        <v>1936</v>
      </c>
      <c r="B1025" s="53" t="s">
        <v>1937</v>
      </c>
      <c r="C1025" s="53" t="s">
        <v>1973</v>
      </c>
      <c r="D1025" s="53" t="s">
        <v>2568</v>
      </c>
    </row>
    <row r="1026" spans="1:4">
      <c r="A1026" s="53" t="s">
        <v>1936</v>
      </c>
      <c r="B1026" s="53" t="s">
        <v>1937</v>
      </c>
      <c r="C1026" s="53" t="s">
        <v>1974</v>
      </c>
      <c r="D1026" s="53" t="s">
        <v>2569</v>
      </c>
    </row>
    <row r="1027" spans="1:4">
      <c r="A1027" s="53" t="s">
        <v>1936</v>
      </c>
      <c r="B1027" s="53" t="s">
        <v>1937</v>
      </c>
      <c r="C1027" s="53" t="s">
        <v>1975</v>
      </c>
      <c r="D1027" s="53" t="s">
        <v>1204</v>
      </c>
    </row>
    <row r="1028" spans="1:4">
      <c r="A1028" s="53" t="s">
        <v>1936</v>
      </c>
      <c r="B1028" s="53" t="s">
        <v>1937</v>
      </c>
      <c r="C1028" s="53" t="s">
        <v>1976</v>
      </c>
      <c r="D1028" s="53" t="s">
        <v>1205</v>
      </c>
    </row>
    <row r="1029" spans="1:4">
      <c r="A1029" s="53" t="s">
        <v>1936</v>
      </c>
      <c r="B1029" s="53" t="s">
        <v>1937</v>
      </c>
      <c r="C1029" s="53" t="s">
        <v>1977</v>
      </c>
      <c r="D1029" s="53" t="s">
        <v>1206</v>
      </c>
    </row>
    <row r="1030" spans="1:4">
      <c r="A1030" s="53" t="s">
        <v>1936</v>
      </c>
      <c r="B1030" s="53" t="s">
        <v>1937</v>
      </c>
      <c r="C1030" s="53" t="s">
        <v>1978</v>
      </c>
      <c r="D1030" s="53" t="s">
        <v>2292</v>
      </c>
    </row>
    <row r="1031" spans="1:4">
      <c r="A1031" s="53" t="s">
        <v>1936</v>
      </c>
      <c r="B1031" s="53" t="s">
        <v>1937</v>
      </c>
      <c r="C1031" s="53" t="s">
        <v>1979</v>
      </c>
      <c r="D1031" s="53" t="s">
        <v>2293</v>
      </c>
    </row>
    <row r="1032" spans="1:4">
      <c r="A1032" s="53" t="s">
        <v>1936</v>
      </c>
      <c r="B1032" s="53" t="s">
        <v>1937</v>
      </c>
      <c r="C1032" s="53" t="s">
        <v>1980</v>
      </c>
      <c r="D1032" s="53" t="s">
        <v>2294</v>
      </c>
    </row>
    <row r="1033" spans="1:4">
      <c r="A1033" s="53" t="s">
        <v>1936</v>
      </c>
      <c r="B1033" s="53" t="s">
        <v>1937</v>
      </c>
      <c r="C1033" s="53" t="s">
        <v>1981</v>
      </c>
      <c r="D1033" s="53" t="s">
        <v>2694</v>
      </c>
    </row>
    <row r="1034" spans="1:4">
      <c r="A1034" s="53" t="s">
        <v>1936</v>
      </c>
      <c r="B1034" s="53" t="s">
        <v>1937</v>
      </c>
      <c r="C1034" s="53" t="s">
        <v>1982</v>
      </c>
      <c r="D1034" s="53" t="s">
        <v>2695</v>
      </c>
    </row>
    <row r="1035" spans="1:4">
      <c r="A1035" s="53" t="s">
        <v>1936</v>
      </c>
      <c r="B1035" s="53" t="s">
        <v>1937</v>
      </c>
      <c r="C1035" s="53" t="s">
        <v>4150</v>
      </c>
      <c r="D1035" s="53" t="s">
        <v>2196</v>
      </c>
    </row>
    <row r="1036" spans="1:4">
      <c r="A1036" s="53" t="s">
        <v>1936</v>
      </c>
      <c r="B1036" s="53" t="s">
        <v>1937</v>
      </c>
      <c r="C1036" s="53" t="s">
        <v>4151</v>
      </c>
      <c r="D1036" s="53" t="s">
        <v>2197</v>
      </c>
    </row>
    <row r="1037" spans="1:4">
      <c r="A1037" s="53" t="s">
        <v>1936</v>
      </c>
      <c r="B1037" s="53" t="s">
        <v>1937</v>
      </c>
      <c r="C1037" s="53" t="s">
        <v>4152</v>
      </c>
      <c r="D1037" s="53" t="s">
        <v>363</v>
      </c>
    </row>
    <row r="1038" spans="1:4">
      <c r="A1038" s="53" t="s">
        <v>1936</v>
      </c>
      <c r="B1038" s="53" t="s">
        <v>1937</v>
      </c>
      <c r="C1038" s="53" t="s">
        <v>4153</v>
      </c>
      <c r="D1038" s="53" t="s">
        <v>1067</v>
      </c>
    </row>
    <row r="1039" spans="1:4">
      <c r="A1039" s="53" t="s">
        <v>1936</v>
      </c>
      <c r="B1039" s="53" t="s">
        <v>1937</v>
      </c>
      <c r="C1039" s="53" t="s">
        <v>4154</v>
      </c>
      <c r="D1039" s="53" t="s">
        <v>1068</v>
      </c>
    </row>
    <row r="1040" spans="1:4">
      <c r="A1040" s="53" t="s">
        <v>1936</v>
      </c>
      <c r="B1040" s="53" t="s">
        <v>1937</v>
      </c>
      <c r="C1040" s="53" t="s">
        <v>4155</v>
      </c>
      <c r="D1040" s="53" t="s">
        <v>3563</v>
      </c>
    </row>
    <row r="1041" spans="1:4">
      <c r="A1041" s="53" t="s">
        <v>1936</v>
      </c>
      <c r="B1041" s="53" t="s">
        <v>1937</v>
      </c>
      <c r="C1041" s="53" t="s">
        <v>4156</v>
      </c>
      <c r="D1041" s="53" t="s">
        <v>3564</v>
      </c>
    </row>
    <row r="1042" spans="1:4">
      <c r="A1042" s="53" t="s">
        <v>1936</v>
      </c>
      <c r="B1042" s="53" t="s">
        <v>1937</v>
      </c>
      <c r="C1042" s="53" t="s">
        <v>4157</v>
      </c>
      <c r="D1042" s="53" t="s">
        <v>3565</v>
      </c>
    </row>
    <row r="1043" spans="1:4">
      <c r="A1043" s="53" t="s">
        <v>1936</v>
      </c>
      <c r="B1043" s="53" t="s">
        <v>1937</v>
      </c>
      <c r="C1043" s="53" t="s">
        <v>4158</v>
      </c>
      <c r="D1043" s="53" t="s">
        <v>3566</v>
      </c>
    </row>
    <row r="1044" spans="1:4">
      <c r="A1044" s="53" t="s">
        <v>3567</v>
      </c>
      <c r="B1044" s="53" t="s">
        <v>3581</v>
      </c>
      <c r="C1044" s="53" t="s">
        <v>3354</v>
      </c>
      <c r="D1044" s="53" t="s">
        <v>628</v>
      </c>
    </row>
    <row r="1045" spans="1:4">
      <c r="A1045" s="53" t="s">
        <v>3567</v>
      </c>
      <c r="B1045" s="53" t="s">
        <v>3581</v>
      </c>
      <c r="C1045" s="53" t="s">
        <v>1964</v>
      </c>
      <c r="D1045" s="53" t="s">
        <v>629</v>
      </c>
    </row>
    <row r="1046" spans="1:4">
      <c r="A1046" s="53" t="s">
        <v>3567</v>
      </c>
      <c r="B1046" s="53" t="s">
        <v>3581</v>
      </c>
      <c r="C1046" s="53" t="s">
        <v>1965</v>
      </c>
      <c r="D1046" s="53" t="s">
        <v>2325</v>
      </c>
    </row>
    <row r="1047" spans="1:4">
      <c r="A1047" s="53" t="s">
        <v>3567</v>
      </c>
      <c r="B1047" s="53" t="s">
        <v>3581</v>
      </c>
      <c r="C1047" s="53" t="s">
        <v>1966</v>
      </c>
      <c r="D1047" s="53" t="s">
        <v>2326</v>
      </c>
    </row>
    <row r="1048" spans="1:4">
      <c r="A1048" s="53" t="s">
        <v>3567</v>
      </c>
      <c r="B1048" s="53" t="s">
        <v>3581</v>
      </c>
      <c r="C1048" s="53" t="s">
        <v>1967</v>
      </c>
      <c r="D1048" s="53" t="s">
        <v>2327</v>
      </c>
    </row>
    <row r="1049" spans="1:4">
      <c r="A1049" s="53" t="s">
        <v>3567</v>
      </c>
      <c r="B1049" s="53" t="s">
        <v>3581</v>
      </c>
      <c r="C1049" s="53" t="s">
        <v>1968</v>
      </c>
      <c r="D1049" s="53" t="s">
        <v>641</v>
      </c>
    </row>
    <row r="1050" spans="1:4">
      <c r="A1050" s="53" t="s">
        <v>3567</v>
      </c>
      <c r="B1050" s="53" t="s">
        <v>3581</v>
      </c>
      <c r="C1050" s="53" t="s">
        <v>1969</v>
      </c>
      <c r="D1050" s="53" t="s">
        <v>2690</v>
      </c>
    </row>
    <row r="1051" spans="1:4">
      <c r="A1051" s="53" t="s">
        <v>3567</v>
      </c>
      <c r="B1051" s="53" t="s">
        <v>3581</v>
      </c>
      <c r="C1051" s="53" t="s">
        <v>1970</v>
      </c>
      <c r="D1051" s="53" t="s">
        <v>2691</v>
      </c>
    </row>
    <row r="1052" spans="1:4">
      <c r="A1052" s="53" t="s">
        <v>3567</v>
      </c>
      <c r="B1052" s="53" t="s">
        <v>3581</v>
      </c>
      <c r="C1052" s="53" t="s">
        <v>1971</v>
      </c>
      <c r="D1052" s="53" t="s">
        <v>2692</v>
      </c>
    </row>
    <row r="1053" spans="1:4">
      <c r="A1053" s="53" t="s">
        <v>3567</v>
      </c>
      <c r="B1053" s="53" t="s">
        <v>3581</v>
      </c>
      <c r="C1053" s="53" t="s">
        <v>1972</v>
      </c>
      <c r="D1053" s="53" t="s">
        <v>2693</v>
      </c>
    </row>
    <row r="1054" spans="1:4">
      <c r="A1054" s="53" t="s">
        <v>3567</v>
      </c>
      <c r="B1054" s="53" t="s">
        <v>3581</v>
      </c>
      <c r="C1054" s="53" t="s">
        <v>1973</v>
      </c>
      <c r="D1054" s="53" t="s">
        <v>2121</v>
      </c>
    </row>
    <row r="1055" spans="1:4">
      <c r="A1055" s="53" t="s">
        <v>3567</v>
      </c>
      <c r="B1055" s="53" t="s">
        <v>3581</v>
      </c>
      <c r="C1055" s="53" t="s">
        <v>1974</v>
      </c>
      <c r="D1055" s="53" t="s">
        <v>2122</v>
      </c>
    </row>
    <row r="1056" spans="1:4">
      <c r="A1056" s="53" t="s">
        <v>3567</v>
      </c>
      <c r="B1056" s="53" t="s">
        <v>3581</v>
      </c>
      <c r="C1056" s="53" t="s">
        <v>1975</v>
      </c>
      <c r="D1056" s="53" t="s">
        <v>2123</v>
      </c>
    </row>
    <row r="1057" spans="1:4">
      <c r="A1057" s="53" t="s">
        <v>3567</v>
      </c>
      <c r="B1057" s="53" t="s">
        <v>3581</v>
      </c>
      <c r="C1057" s="53" t="s">
        <v>1976</v>
      </c>
      <c r="D1057" s="53" t="s">
        <v>2932</v>
      </c>
    </row>
    <row r="1058" spans="1:4">
      <c r="A1058" s="53" t="s">
        <v>3567</v>
      </c>
      <c r="B1058" s="53" t="s">
        <v>3581</v>
      </c>
      <c r="C1058" s="53" t="s">
        <v>1977</v>
      </c>
      <c r="D1058" s="53" t="s">
        <v>2933</v>
      </c>
    </row>
    <row r="1059" spans="1:4">
      <c r="A1059" s="53" t="s">
        <v>3567</v>
      </c>
      <c r="B1059" s="53" t="s">
        <v>3581</v>
      </c>
      <c r="C1059" s="53" t="s">
        <v>1978</v>
      </c>
      <c r="D1059" s="53" t="s">
        <v>2934</v>
      </c>
    </row>
    <row r="1060" spans="1:4">
      <c r="A1060" s="53" t="s">
        <v>3567</v>
      </c>
      <c r="B1060" s="53" t="s">
        <v>3581</v>
      </c>
      <c r="C1060" s="53" t="s">
        <v>1979</v>
      </c>
      <c r="D1060" s="53" t="s">
        <v>2696</v>
      </c>
    </row>
    <row r="1061" spans="1:4">
      <c r="A1061" s="53" t="s">
        <v>3567</v>
      </c>
      <c r="B1061" s="53" t="s">
        <v>3581</v>
      </c>
      <c r="C1061" s="53" t="s">
        <v>1980</v>
      </c>
      <c r="D1061" s="53" t="s">
        <v>2697</v>
      </c>
    </row>
    <row r="1062" spans="1:4">
      <c r="A1062" s="53" t="s">
        <v>3567</v>
      </c>
      <c r="B1062" s="53" t="s">
        <v>3581</v>
      </c>
      <c r="C1062" s="53" t="s">
        <v>1981</v>
      </c>
      <c r="D1062" s="53" t="s">
        <v>2698</v>
      </c>
    </row>
    <row r="1063" spans="1:4">
      <c r="A1063" s="53" t="s">
        <v>3567</v>
      </c>
      <c r="B1063" s="53" t="s">
        <v>3581</v>
      </c>
      <c r="C1063" s="53" t="s">
        <v>1982</v>
      </c>
      <c r="D1063" s="53" t="s">
        <v>2699</v>
      </c>
    </row>
    <row r="1064" spans="1:4">
      <c r="A1064" s="53" t="s">
        <v>3567</v>
      </c>
      <c r="B1064" s="53" t="s">
        <v>3581</v>
      </c>
      <c r="C1064" s="53" t="s">
        <v>4150</v>
      </c>
      <c r="D1064" s="53" t="s">
        <v>2700</v>
      </c>
    </row>
    <row r="1065" spans="1:4">
      <c r="A1065" s="53" t="s">
        <v>3567</v>
      </c>
      <c r="B1065" s="53" t="s">
        <v>3581</v>
      </c>
      <c r="C1065" s="53" t="s">
        <v>4151</v>
      </c>
      <c r="D1065" s="53" t="s">
        <v>4319</v>
      </c>
    </row>
    <row r="1066" spans="1:4">
      <c r="A1066" s="53" t="s">
        <v>3567</v>
      </c>
      <c r="B1066" s="53" t="s">
        <v>3581</v>
      </c>
      <c r="C1066" s="53" t="s">
        <v>4152</v>
      </c>
      <c r="D1066" s="53" t="s">
        <v>4320</v>
      </c>
    </row>
    <row r="1067" spans="1:4">
      <c r="A1067" s="53" t="s">
        <v>3567</v>
      </c>
      <c r="B1067" s="53" t="s">
        <v>3581</v>
      </c>
      <c r="C1067" s="53" t="s">
        <v>4153</v>
      </c>
      <c r="D1067" s="53" t="s">
        <v>4309</v>
      </c>
    </row>
    <row r="1068" spans="1:4">
      <c r="A1068" s="53" t="s">
        <v>3567</v>
      </c>
      <c r="B1068" s="53" t="s">
        <v>3581</v>
      </c>
      <c r="C1068" s="53" t="s">
        <v>4154</v>
      </c>
      <c r="D1068" s="53" t="s">
        <v>4310</v>
      </c>
    </row>
    <row r="1069" spans="1:4">
      <c r="A1069" s="53" t="s">
        <v>3567</v>
      </c>
      <c r="B1069" s="53" t="s">
        <v>3581</v>
      </c>
      <c r="C1069" s="53" t="s">
        <v>4155</v>
      </c>
      <c r="D1069" s="53" t="s">
        <v>3184</v>
      </c>
    </row>
    <row r="1070" spans="1:4">
      <c r="A1070" s="53" t="s">
        <v>3567</v>
      </c>
      <c r="B1070" s="53" t="s">
        <v>3581</v>
      </c>
      <c r="C1070" s="53" t="s">
        <v>4156</v>
      </c>
      <c r="D1070" s="53" t="s">
        <v>3185</v>
      </c>
    </row>
    <row r="1071" spans="1:4">
      <c r="A1071" s="53" t="s">
        <v>3567</v>
      </c>
      <c r="B1071" s="53" t="s">
        <v>3581</v>
      </c>
      <c r="C1071" s="53" t="s">
        <v>4157</v>
      </c>
      <c r="D1071" s="53" t="s">
        <v>1036</v>
      </c>
    </row>
    <row r="1072" spans="1:4">
      <c r="A1072" s="53" t="s">
        <v>3567</v>
      </c>
      <c r="B1072" s="53" t="s">
        <v>3581</v>
      </c>
      <c r="C1072" s="53" t="s">
        <v>4158</v>
      </c>
      <c r="D1072" s="53" t="s">
        <v>1037</v>
      </c>
    </row>
    <row r="1073" spans="1:4">
      <c r="A1073" s="53" t="s">
        <v>3567</v>
      </c>
      <c r="B1073" s="53" t="s">
        <v>3581</v>
      </c>
      <c r="C1073" s="53" t="s">
        <v>4159</v>
      </c>
      <c r="D1073" s="53" t="s">
        <v>1038</v>
      </c>
    </row>
    <row r="1074" spans="1:4">
      <c r="A1074" s="53" t="s">
        <v>3567</v>
      </c>
      <c r="B1074" s="53" t="s">
        <v>3581</v>
      </c>
      <c r="C1074" s="53" t="s">
        <v>2424</v>
      </c>
      <c r="D1074" s="53" t="s">
        <v>1039</v>
      </c>
    </row>
    <row r="1075" spans="1:4">
      <c r="A1075" s="53" t="s">
        <v>3567</v>
      </c>
      <c r="B1075" s="53" t="s">
        <v>3581</v>
      </c>
      <c r="C1075" s="53" t="s">
        <v>2425</v>
      </c>
      <c r="D1075" s="53" t="s">
        <v>607</v>
      </c>
    </row>
    <row r="1076" spans="1:4">
      <c r="A1076" s="53" t="s">
        <v>3567</v>
      </c>
      <c r="B1076" s="53" t="s">
        <v>3581</v>
      </c>
      <c r="C1076" s="53" t="s">
        <v>2426</v>
      </c>
      <c r="D1076" s="53" t="s">
        <v>608</v>
      </c>
    </row>
    <row r="1077" spans="1:4">
      <c r="A1077" s="53" t="s">
        <v>3567</v>
      </c>
      <c r="B1077" s="53" t="s">
        <v>3581</v>
      </c>
      <c r="C1077" s="53" t="s">
        <v>2427</v>
      </c>
      <c r="D1077" s="53" t="s">
        <v>605</v>
      </c>
    </row>
    <row r="1078" spans="1:4">
      <c r="A1078" s="53" t="s">
        <v>3567</v>
      </c>
      <c r="B1078" s="53" t="s">
        <v>3581</v>
      </c>
      <c r="C1078" s="53" t="s">
        <v>2428</v>
      </c>
      <c r="D1078" s="53" t="s">
        <v>606</v>
      </c>
    </row>
    <row r="1079" spans="1:4">
      <c r="A1079" s="53" t="s">
        <v>3567</v>
      </c>
      <c r="B1079" s="53" t="s">
        <v>3581</v>
      </c>
      <c r="C1079" s="53" t="s">
        <v>2429</v>
      </c>
      <c r="D1079" s="53" t="s">
        <v>2775</v>
      </c>
    </row>
    <row r="1080" spans="1:4">
      <c r="A1080" s="53" t="s">
        <v>3567</v>
      </c>
      <c r="B1080" s="53" t="s">
        <v>3581</v>
      </c>
      <c r="C1080" s="53" t="s">
        <v>2430</v>
      </c>
      <c r="D1080" s="53" t="s">
        <v>2776</v>
      </c>
    </row>
    <row r="1081" spans="1:4">
      <c r="A1081" s="53" t="s">
        <v>3567</v>
      </c>
      <c r="B1081" s="53" t="s">
        <v>3581</v>
      </c>
      <c r="C1081" s="53" t="s">
        <v>2431</v>
      </c>
      <c r="D1081" s="53" t="s">
        <v>396</v>
      </c>
    </row>
    <row r="1082" spans="1:4">
      <c r="A1082" s="53" t="s">
        <v>3567</v>
      </c>
      <c r="B1082" s="53" t="s">
        <v>3581</v>
      </c>
      <c r="C1082" s="53" t="s">
        <v>2432</v>
      </c>
      <c r="D1082" s="53" t="s">
        <v>397</v>
      </c>
    </row>
    <row r="1083" spans="1:4">
      <c r="A1083" s="53" t="s">
        <v>3567</v>
      </c>
      <c r="B1083" s="53" t="s">
        <v>3581</v>
      </c>
      <c r="C1083" s="53" t="s">
        <v>1961</v>
      </c>
      <c r="D1083" s="53" t="s">
        <v>398</v>
      </c>
    </row>
    <row r="1084" spans="1:4">
      <c r="A1084" s="53" t="s">
        <v>3567</v>
      </c>
      <c r="B1084" s="53" t="s">
        <v>3581</v>
      </c>
      <c r="C1084" s="53" t="s">
        <v>1962</v>
      </c>
      <c r="D1084" s="53" t="s">
        <v>399</v>
      </c>
    </row>
    <row r="1085" spans="1:4">
      <c r="A1085" s="53" t="s">
        <v>3567</v>
      </c>
      <c r="B1085" s="53" t="s">
        <v>3581</v>
      </c>
      <c r="C1085" s="53" t="s">
        <v>1482</v>
      </c>
      <c r="D1085" s="53" t="s">
        <v>400</v>
      </c>
    </row>
    <row r="1086" spans="1:4">
      <c r="A1086" s="53" t="s">
        <v>401</v>
      </c>
      <c r="B1086" s="53" t="s">
        <v>402</v>
      </c>
      <c r="C1086" s="53" t="s">
        <v>3354</v>
      </c>
      <c r="D1086" s="53" t="s">
        <v>403</v>
      </c>
    </row>
    <row r="1087" spans="1:4">
      <c r="A1087" s="53" t="s">
        <v>401</v>
      </c>
      <c r="B1087" s="53" t="s">
        <v>402</v>
      </c>
      <c r="C1087" s="53" t="s">
        <v>1964</v>
      </c>
      <c r="D1087" s="53" t="s">
        <v>1377</v>
      </c>
    </row>
    <row r="1088" spans="1:4">
      <c r="A1088" s="53" t="s">
        <v>401</v>
      </c>
      <c r="B1088" s="53" t="s">
        <v>402</v>
      </c>
      <c r="C1088" s="53" t="s">
        <v>1965</v>
      </c>
      <c r="D1088" s="53" t="s">
        <v>718</v>
      </c>
    </row>
    <row r="1089" spans="1:4">
      <c r="A1089" s="53" t="s">
        <v>401</v>
      </c>
      <c r="B1089" s="53" t="s">
        <v>402</v>
      </c>
      <c r="C1089" s="53" t="s">
        <v>1966</v>
      </c>
      <c r="D1089" s="53" t="s">
        <v>3897</v>
      </c>
    </row>
    <row r="1090" spans="1:4">
      <c r="A1090" s="53" t="s">
        <v>401</v>
      </c>
      <c r="B1090" s="53" t="s">
        <v>402</v>
      </c>
      <c r="C1090" s="53" t="s">
        <v>1967</v>
      </c>
      <c r="D1090" s="53" t="s">
        <v>3898</v>
      </c>
    </row>
    <row r="1091" spans="1:4">
      <c r="A1091" s="53" t="s">
        <v>401</v>
      </c>
      <c r="B1091" s="53" t="s">
        <v>402</v>
      </c>
      <c r="C1091" s="53" t="s">
        <v>1968</v>
      </c>
      <c r="D1091" s="53" t="s">
        <v>1391</v>
      </c>
    </row>
    <row r="1092" spans="1:4">
      <c r="A1092" s="53" t="s">
        <v>401</v>
      </c>
      <c r="B1092" s="53" t="s">
        <v>402</v>
      </c>
      <c r="C1092" s="53" t="s">
        <v>1969</v>
      </c>
      <c r="D1092" s="53" t="s">
        <v>1392</v>
      </c>
    </row>
    <row r="1093" spans="1:4">
      <c r="A1093" s="53" t="s">
        <v>401</v>
      </c>
      <c r="B1093" s="53" t="s">
        <v>402</v>
      </c>
      <c r="C1093" s="53" t="s">
        <v>1970</v>
      </c>
      <c r="D1093" s="53" t="s">
        <v>1393</v>
      </c>
    </row>
    <row r="1094" spans="1:4">
      <c r="A1094" s="53" t="s">
        <v>401</v>
      </c>
      <c r="B1094" s="53" t="s">
        <v>402</v>
      </c>
      <c r="C1094" s="53" t="s">
        <v>1971</v>
      </c>
      <c r="D1094" s="53" t="s">
        <v>1394</v>
      </c>
    </row>
    <row r="1095" spans="1:4">
      <c r="A1095" s="53" t="s">
        <v>401</v>
      </c>
      <c r="B1095" s="53" t="s">
        <v>402</v>
      </c>
      <c r="C1095" s="53" t="s">
        <v>1972</v>
      </c>
      <c r="D1095" s="53" t="s">
        <v>1395</v>
      </c>
    </row>
    <row r="1096" spans="1:4">
      <c r="A1096" s="53" t="s">
        <v>401</v>
      </c>
      <c r="B1096" s="53" t="s">
        <v>402</v>
      </c>
      <c r="C1096" s="53" t="s">
        <v>1973</v>
      </c>
      <c r="D1096" s="53" t="s">
        <v>1396</v>
      </c>
    </row>
    <row r="1097" spans="1:4">
      <c r="A1097" s="53" t="s">
        <v>401</v>
      </c>
      <c r="B1097" s="53" t="s">
        <v>402</v>
      </c>
      <c r="C1097" s="53" t="s">
        <v>1974</v>
      </c>
      <c r="D1097" s="53" t="s">
        <v>860</v>
      </c>
    </row>
    <row r="1098" spans="1:4">
      <c r="A1098" s="53" t="s">
        <v>401</v>
      </c>
      <c r="B1098" s="53" t="s">
        <v>402</v>
      </c>
      <c r="C1098" s="53" t="s">
        <v>1975</v>
      </c>
      <c r="D1098" s="53" t="s">
        <v>861</v>
      </c>
    </row>
    <row r="1099" spans="1:4">
      <c r="A1099" s="53" t="s">
        <v>401</v>
      </c>
      <c r="B1099" s="53" t="s">
        <v>402</v>
      </c>
      <c r="C1099" s="53" t="s">
        <v>1976</v>
      </c>
      <c r="D1099" s="53" t="s">
        <v>862</v>
      </c>
    </row>
    <row r="1100" spans="1:4">
      <c r="A1100" s="53" t="s">
        <v>401</v>
      </c>
      <c r="B1100" s="53" t="s">
        <v>402</v>
      </c>
      <c r="C1100" s="53" t="s">
        <v>1977</v>
      </c>
      <c r="D1100" s="53" t="s">
        <v>863</v>
      </c>
    </row>
    <row r="1101" spans="1:4">
      <c r="A1101" s="53" t="s">
        <v>401</v>
      </c>
      <c r="B1101" s="53" t="s">
        <v>402</v>
      </c>
      <c r="C1101" s="53" t="s">
        <v>1978</v>
      </c>
      <c r="D1101" s="53" t="s">
        <v>864</v>
      </c>
    </row>
    <row r="1102" spans="1:4">
      <c r="A1102" s="53" t="s">
        <v>401</v>
      </c>
      <c r="B1102" s="53" t="s">
        <v>402</v>
      </c>
      <c r="C1102" s="53" t="s">
        <v>1979</v>
      </c>
      <c r="D1102" s="53" t="s">
        <v>184</v>
      </c>
    </row>
    <row r="1103" spans="1:4">
      <c r="A1103" s="53" t="s">
        <v>401</v>
      </c>
      <c r="B1103" s="53" t="s">
        <v>402</v>
      </c>
      <c r="C1103" s="53" t="s">
        <v>1980</v>
      </c>
      <c r="D1103" s="53" t="s">
        <v>185</v>
      </c>
    </row>
    <row r="1104" spans="1:4">
      <c r="A1104" s="53" t="s">
        <v>401</v>
      </c>
      <c r="B1104" s="53" t="s">
        <v>402</v>
      </c>
      <c r="C1104" s="53" t="s">
        <v>1981</v>
      </c>
      <c r="D1104" s="53" t="s">
        <v>382</v>
      </c>
    </row>
    <row r="1105" spans="1:4">
      <c r="A1105" s="53" t="s">
        <v>401</v>
      </c>
      <c r="B1105" s="53" t="s">
        <v>402</v>
      </c>
      <c r="C1105" s="53" t="s">
        <v>1982</v>
      </c>
      <c r="D1105" s="53" t="s">
        <v>383</v>
      </c>
    </row>
    <row r="1106" spans="1:4">
      <c r="A1106" s="53" t="s">
        <v>401</v>
      </c>
      <c r="B1106" s="53" t="s">
        <v>402</v>
      </c>
      <c r="C1106" s="53" t="s">
        <v>4150</v>
      </c>
      <c r="D1106" s="53" t="s">
        <v>1524</v>
      </c>
    </row>
    <row r="1107" spans="1:4">
      <c r="A1107" s="53" t="s">
        <v>401</v>
      </c>
      <c r="B1107" s="53" t="s">
        <v>402</v>
      </c>
      <c r="C1107" s="53" t="s">
        <v>4151</v>
      </c>
      <c r="D1107" s="53" t="s">
        <v>1525</v>
      </c>
    </row>
    <row r="1108" spans="1:4">
      <c r="A1108" s="53" t="s">
        <v>401</v>
      </c>
      <c r="B1108" s="53" t="s">
        <v>402</v>
      </c>
      <c r="C1108" s="53" t="s">
        <v>4152</v>
      </c>
      <c r="D1108" s="53" t="s">
        <v>1526</v>
      </c>
    </row>
    <row r="1109" spans="1:4">
      <c r="A1109" s="53" t="s">
        <v>401</v>
      </c>
      <c r="B1109" s="53" t="s">
        <v>402</v>
      </c>
      <c r="C1109" s="53" t="s">
        <v>4153</v>
      </c>
      <c r="D1109" s="53" t="s">
        <v>1527</v>
      </c>
    </row>
    <row r="1110" spans="1:4">
      <c r="A1110" s="53" t="s">
        <v>401</v>
      </c>
      <c r="B1110" s="53" t="s">
        <v>402</v>
      </c>
      <c r="C1110" s="53" t="s">
        <v>4154</v>
      </c>
      <c r="D1110" s="53" t="s">
        <v>1528</v>
      </c>
    </row>
    <row r="1111" spans="1:4">
      <c r="A1111" s="53" t="s">
        <v>401</v>
      </c>
      <c r="B1111" s="53" t="s">
        <v>402</v>
      </c>
      <c r="C1111" s="53" t="s">
        <v>4155</v>
      </c>
      <c r="D1111" s="53" t="s">
        <v>805</v>
      </c>
    </row>
    <row r="1112" spans="1:4">
      <c r="A1112" s="53" t="s">
        <v>401</v>
      </c>
      <c r="B1112" s="53" t="s">
        <v>402</v>
      </c>
      <c r="C1112" s="53" t="s">
        <v>4156</v>
      </c>
      <c r="D1112" s="53" t="s">
        <v>806</v>
      </c>
    </row>
    <row r="1113" spans="1:4">
      <c r="A1113" s="53" t="s">
        <v>401</v>
      </c>
      <c r="B1113" s="53" t="s">
        <v>402</v>
      </c>
      <c r="C1113" s="53" t="s">
        <v>4157</v>
      </c>
      <c r="D1113" s="53" t="s">
        <v>807</v>
      </c>
    </row>
    <row r="1114" spans="1:4">
      <c r="A1114" s="53" t="s">
        <v>401</v>
      </c>
      <c r="B1114" s="53" t="s">
        <v>402</v>
      </c>
      <c r="C1114" s="53" t="s">
        <v>4158</v>
      </c>
      <c r="D1114" s="53" t="s">
        <v>808</v>
      </c>
    </row>
    <row r="1115" spans="1:4">
      <c r="A1115" s="53" t="s">
        <v>401</v>
      </c>
      <c r="B1115" s="53" t="s">
        <v>402</v>
      </c>
      <c r="C1115" s="53" t="s">
        <v>4159</v>
      </c>
      <c r="D1115" s="53" t="s">
        <v>1503</v>
      </c>
    </row>
    <row r="1116" spans="1:4">
      <c r="A1116" s="53" t="s">
        <v>401</v>
      </c>
      <c r="B1116" s="53" t="s">
        <v>402</v>
      </c>
      <c r="C1116" s="53" t="s">
        <v>2424</v>
      </c>
      <c r="D1116" s="53" t="s">
        <v>1861</v>
      </c>
    </row>
    <row r="1117" spans="1:4">
      <c r="A1117" s="53" t="s">
        <v>401</v>
      </c>
      <c r="B1117" s="53" t="s">
        <v>402</v>
      </c>
      <c r="C1117" s="53" t="s">
        <v>2425</v>
      </c>
      <c r="D1117" s="53" t="s">
        <v>1862</v>
      </c>
    </row>
    <row r="1118" spans="1:4">
      <c r="A1118" s="53" t="s">
        <v>401</v>
      </c>
      <c r="B1118" s="53" t="s">
        <v>402</v>
      </c>
      <c r="C1118" s="53" t="s">
        <v>2426</v>
      </c>
      <c r="D1118" s="53" t="s">
        <v>2013</v>
      </c>
    </row>
    <row r="1119" spans="1:4">
      <c r="A1119" s="53" t="s">
        <v>401</v>
      </c>
      <c r="B1119" s="53" t="s">
        <v>402</v>
      </c>
      <c r="C1119" s="53" t="s">
        <v>2427</v>
      </c>
      <c r="D1119" s="53" t="s">
        <v>693</v>
      </c>
    </row>
    <row r="1120" spans="1:4">
      <c r="A1120" s="53" t="s">
        <v>401</v>
      </c>
      <c r="B1120" s="53" t="s">
        <v>402</v>
      </c>
      <c r="C1120" s="53" t="s">
        <v>2428</v>
      </c>
      <c r="D1120" s="53" t="s">
        <v>694</v>
      </c>
    </row>
    <row r="1121" spans="1:4">
      <c r="A1121" s="53" t="s">
        <v>401</v>
      </c>
      <c r="B1121" s="53" t="s">
        <v>402</v>
      </c>
      <c r="C1121" s="53" t="s">
        <v>2429</v>
      </c>
      <c r="D1121" s="53" t="s">
        <v>695</v>
      </c>
    </row>
    <row r="1122" spans="1:4">
      <c r="A1122" s="53" t="s">
        <v>401</v>
      </c>
      <c r="B1122" s="53" t="s">
        <v>402</v>
      </c>
      <c r="C1122" s="53" t="s">
        <v>2430</v>
      </c>
      <c r="D1122" s="53" t="s">
        <v>615</v>
      </c>
    </row>
    <row r="1123" spans="1:4">
      <c r="A1123" s="53" t="s">
        <v>616</v>
      </c>
      <c r="B1123" s="53" t="s">
        <v>617</v>
      </c>
      <c r="C1123" s="53" t="s">
        <v>3354</v>
      </c>
      <c r="D1123" s="53" t="s">
        <v>1040</v>
      </c>
    </row>
    <row r="1124" spans="1:4">
      <c r="A1124" s="53" t="s">
        <v>616</v>
      </c>
      <c r="B1124" s="53" t="s">
        <v>617</v>
      </c>
      <c r="C1124" s="53" t="s">
        <v>1964</v>
      </c>
      <c r="D1124" s="53" t="s">
        <v>1041</v>
      </c>
    </row>
    <row r="1125" spans="1:4">
      <c r="A1125" s="53" t="s">
        <v>616</v>
      </c>
      <c r="B1125" s="53" t="s">
        <v>617</v>
      </c>
      <c r="C1125" s="53" t="s">
        <v>1965</v>
      </c>
      <c r="D1125" s="53" t="s">
        <v>1042</v>
      </c>
    </row>
    <row r="1126" spans="1:4">
      <c r="A1126" s="53" t="s">
        <v>616</v>
      </c>
      <c r="B1126" s="53" t="s">
        <v>617</v>
      </c>
      <c r="C1126" s="53" t="s">
        <v>1966</v>
      </c>
      <c r="D1126" s="53" t="s">
        <v>1043</v>
      </c>
    </row>
    <row r="1127" spans="1:4">
      <c r="A1127" s="53" t="s">
        <v>616</v>
      </c>
      <c r="B1127" s="53" t="s">
        <v>617</v>
      </c>
      <c r="C1127" s="53" t="s">
        <v>1967</v>
      </c>
      <c r="D1127" s="53" t="s">
        <v>1044</v>
      </c>
    </row>
    <row r="1128" spans="1:4">
      <c r="A1128" s="53" t="s">
        <v>616</v>
      </c>
      <c r="B1128" s="53" t="s">
        <v>617</v>
      </c>
      <c r="C1128" s="53" t="s">
        <v>1968</v>
      </c>
      <c r="D1128" s="53" t="s">
        <v>1045</v>
      </c>
    </row>
    <row r="1129" spans="1:4">
      <c r="A1129" s="53" t="s">
        <v>616</v>
      </c>
      <c r="B1129" s="53" t="s">
        <v>617</v>
      </c>
      <c r="C1129" s="53" t="s">
        <v>1969</v>
      </c>
      <c r="D1129" s="53" t="s">
        <v>1046</v>
      </c>
    </row>
    <row r="1130" spans="1:4">
      <c r="A1130" s="53" t="s">
        <v>616</v>
      </c>
      <c r="B1130" s="53" t="s">
        <v>617</v>
      </c>
      <c r="C1130" s="53" t="s">
        <v>1970</v>
      </c>
      <c r="D1130" s="53" t="s">
        <v>618</v>
      </c>
    </row>
    <row r="1131" spans="1:4">
      <c r="A1131" s="53" t="s">
        <v>616</v>
      </c>
      <c r="B1131" s="53" t="s">
        <v>617</v>
      </c>
      <c r="C1131" s="53" t="s">
        <v>1971</v>
      </c>
      <c r="D1131" s="53" t="s">
        <v>619</v>
      </c>
    </row>
    <row r="1132" spans="1:4">
      <c r="A1132" s="53" t="s">
        <v>616</v>
      </c>
      <c r="B1132" s="53" t="s">
        <v>617</v>
      </c>
      <c r="C1132" s="53" t="s">
        <v>1972</v>
      </c>
      <c r="D1132" s="53" t="s">
        <v>2074</v>
      </c>
    </row>
    <row r="1133" spans="1:4">
      <c r="A1133" s="53" t="s">
        <v>616</v>
      </c>
      <c r="B1133" s="53" t="s">
        <v>617</v>
      </c>
      <c r="C1133" s="53" t="s">
        <v>1973</v>
      </c>
      <c r="D1133" s="53" t="s">
        <v>2075</v>
      </c>
    </row>
    <row r="1134" spans="1:4">
      <c r="A1134" s="53" t="s">
        <v>616</v>
      </c>
      <c r="B1134" s="53" t="s">
        <v>617</v>
      </c>
      <c r="C1134" s="53" t="s">
        <v>1974</v>
      </c>
      <c r="D1134" s="53" t="s">
        <v>76</v>
      </c>
    </row>
    <row r="1135" spans="1:4">
      <c r="A1135" s="53" t="s">
        <v>616</v>
      </c>
      <c r="B1135" s="53" t="s">
        <v>617</v>
      </c>
      <c r="C1135" s="53" t="s">
        <v>1975</v>
      </c>
      <c r="D1135" s="53" t="s">
        <v>77</v>
      </c>
    </row>
    <row r="1136" spans="1:4">
      <c r="A1136" s="53" t="s">
        <v>616</v>
      </c>
      <c r="B1136" s="53" t="s">
        <v>617</v>
      </c>
      <c r="C1136" s="53" t="s">
        <v>1976</v>
      </c>
      <c r="D1136" s="53" t="s">
        <v>78</v>
      </c>
    </row>
    <row r="1137" spans="1:4">
      <c r="A1137" s="53" t="s">
        <v>616</v>
      </c>
      <c r="B1137" s="53" t="s">
        <v>617</v>
      </c>
      <c r="C1137" s="53" t="s">
        <v>1977</v>
      </c>
      <c r="D1137" s="53" t="s">
        <v>79</v>
      </c>
    </row>
    <row r="1138" spans="1:4">
      <c r="A1138" s="53" t="s">
        <v>616</v>
      </c>
      <c r="B1138" s="53" t="s">
        <v>617</v>
      </c>
      <c r="C1138" s="53" t="s">
        <v>1978</v>
      </c>
      <c r="D1138" s="53" t="s">
        <v>80</v>
      </c>
    </row>
    <row r="1139" spans="1:4">
      <c r="A1139" s="53" t="s">
        <v>616</v>
      </c>
      <c r="B1139" s="53" t="s">
        <v>617</v>
      </c>
      <c r="C1139" s="53" t="s">
        <v>1979</v>
      </c>
      <c r="D1139" s="53" t="s">
        <v>1668</v>
      </c>
    </row>
    <row r="1140" spans="1:4">
      <c r="A1140" s="53" t="s">
        <v>616</v>
      </c>
      <c r="B1140" s="53" t="s">
        <v>617</v>
      </c>
      <c r="C1140" s="53" t="s">
        <v>1980</v>
      </c>
      <c r="D1140" s="53" t="s">
        <v>1669</v>
      </c>
    </row>
    <row r="1141" spans="1:4">
      <c r="A1141" s="53" t="s">
        <v>616</v>
      </c>
      <c r="B1141" s="53" t="s">
        <v>617</v>
      </c>
      <c r="C1141" s="53" t="s">
        <v>1981</v>
      </c>
      <c r="D1141" s="53" t="s">
        <v>4316</v>
      </c>
    </row>
    <row r="1142" spans="1:4">
      <c r="A1142" s="53" t="s">
        <v>616</v>
      </c>
      <c r="B1142" s="53" t="s">
        <v>617</v>
      </c>
      <c r="C1142" s="53" t="s">
        <v>1982</v>
      </c>
      <c r="D1142" s="53" t="s">
        <v>4317</v>
      </c>
    </row>
    <row r="1143" spans="1:4">
      <c r="A1143" s="53" t="s">
        <v>616</v>
      </c>
      <c r="B1143" s="53" t="s">
        <v>617</v>
      </c>
      <c r="C1143" s="53" t="s">
        <v>4150</v>
      </c>
      <c r="D1143" s="53" t="s">
        <v>4318</v>
      </c>
    </row>
    <row r="1144" spans="1:4">
      <c r="A1144" s="53" t="s">
        <v>616</v>
      </c>
      <c r="B1144" s="53" t="s">
        <v>617</v>
      </c>
      <c r="C1144" s="53" t="s">
        <v>4151</v>
      </c>
      <c r="D1144" s="53" t="s">
        <v>352</v>
      </c>
    </row>
    <row r="1145" spans="1:4">
      <c r="A1145" s="53" t="s">
        <v>616</v>
      </c>
      <c r="B1145" s="53" t="s">
        <v>617</v>
      </c>
      <c r="C1145" s="53" t="s">
        <v>4152</v>
      </c>
      <c r="D1145" s="53" t="s">
        <v>353</v>
      </c>
    </row>
    <row r="1146" spans="1:4">
      <c r="A1146" s="53" t="s">
        <v>616</v>
      </c>
      <c r="B1146" s="53" t="s">
        <v>617</v>
      </c>
      <c r="C1146" s="53" t="s">
        <v>4153</v>
      </c>
      <c r="D1146" s="53" t="s">
        <v>354</v>
      </c>
    </row>
    <row r="1147" spans="1:4">
      <c r="A1147" s="53" t="s">
        <v>616</v>
      </c>
      <c r="B1147" s="53" t="s">
        <v>617</v>
      </c>
      <c r="C1147" s="53" t="s">
        <v>4154</v>
      </c>
      <c r="D1147" s="53" t="s">
        <v>355</v>
      </c>
    </row>
    <row r="1148" spans="1:4">
      <c r="A1148" s="53" t="s">
        <v>616</v>
      </c>
      <c r="B1148" s="53" t="s">
        <v>617</v>
      </c>
      <c r="C1148" s="53" t="s">
        <v>4155</v>
      </c>
      <c r="D1148" s="53" t="s">
        <v>356</v>
      </c>
    </row>
    <row r="1149" spans="1:4">
      <c r="A1149" s="53" t="s">
        <v>616</v>
      </c>
      <c r="B1149" s="53" t="s">
        <v>617</v>
      </c>
      <c r="C1149" s="53" t="s">
        <v>4156</v>
      </c>
      <c r="D1149" s="53" t="s">
        <v>3070</v>
      </c>
    </row>
    <row r="1150" spans="1:4">
      <c r="A1150" s="53" t="s">
        <v>616</v>
      </c>
      <c r="B1150" s="53" t="s">
        <v>617</v>
      </c>
      <c r="C1150" s="53" t="s">
        <v>4157</v>
      </c>
      <c r="D1150" s="53" t="s">
        <v>3803</v>
      </c>
    </row>
    <row r="1151" spans="1:4">
      <c r="A1151" s="53" t="s">
        <v>616</v>
      </c>
      <c r="B1151" s="53" t="s">
        <v>617</v>
      </c>
      <c r="C1151" s="53" t="s">
        <v>4158</v>
      </c>
      <c r="D1151" s="53" t="s">
        <v>3804</v>
      </c>
    </row>
    <row r="1152" spans="1:4">
      <c r="A1152" s="53" t="s">
        <v>616</v>
      </c>
      <c r="B1152" s="53" t="s">
        <v>617</v>
      </c>
      <c r="C1152" s="53" t="s">
        <v>4159</v>
      </c>
      <c r="D1152" s="53" t="s">
        <v>3805</v>
      </c>
    </row>
    <row r="1153" spans="1:4">
      <c r="A1153" s="53" t="s">
        <v>616</v>
      </c>
      <c r="B1153" s="53" t="s">
        <v>617</v>
      </c>
      <c r="C1153" s="53" t="s">
        <v>2424</v>
      </c>
      <c r="D1153" s="53" t="s">
        <v>847</v>
      </c>
    </row>
    <row r="1154" spans="1:4">
      <c r="A1154" s="53" t="s">
        <v>616</v>
      </c>
      <c r="B1154" s="53" t="s">
        <v>617</v>
      </c>
      <c r="C1154" s="53" t="s">
        <v>2425</v>
      </c>
      <c r="D1154" s="53" t="s">
        <v>848</v>
      </c>
    </row>
    <row r="1155" spans="1:4">
      <c r="A1155" s="53" t="s">
        <v>849</v>
      </c>
      <c r="B1155" s="53" t="s">
        <v>3241</v>
      </c>
      <c r="C1155" s="53" t="s">
        <v>3354</v>
      </c>
      <c r="D1155" s="53" t="s">
        <v>2965</v>
      </c>
    </row>
    <row r="1156" spans="1:4">
      <c r="A1156" s="53" t="s">
        <v>849</v>
      </c>
      <c r="B1156" s="53" t="s">
        <v>3241</v>
      </c>
      <c r="C1156" s="53" t="s">
        <v>1964</v>
      </c>
      <c r="D1156" s="53" t="s">
        <v>2966</v>
      </c>
    </row>
    <row r="1157" spans="1:4">
      <c r="A1157" s="53" t="s">
        <v>849</v>
      </c>
      <c r="B1157" s="53" t="s">
        <v>3241</v>
      </c>
      <c r="C1157" s="53" t="s">
        <v>1965</v>
      </c>
      <c r="D1157" s="53" t="s">
        <v>1670</v>
      </c>
    </row>
    <row r="1158" spans="1:4">
      <c r="A1158" s="53" t="s">
        <v>849</v>
      </c>
      <c r="B1158" s="53" t="s">
        <v>3241</v>
      </c>
      <c r="C1158" s="53" t="s">
        <v>1966</v>
      </c>
      <c r="D1158" s="53" t="s">
        <v>2931</v>
      </c>
    </row>
    <row r="1159" spans="1:4">
      <c r="A1159" s="53" t="s">
        <v>849</v>
      </c>
      <c r="B1159" s="53" t="s">
        <v>3241</v>
      </c>
      <c r="C1159" s="53" t="s">
        <v>1967</v>
      </c>
      <c r="D1159" s="53" t="s">
        <v>1655</v>
      </c>
    </row>
    <row r="1160" spans="1:4">
      <c r="A1160" s="53" t="s">
        <v>849</v>
      </c>
      <c r="B1160" s="53" t="s">
        <v>3241</v>
      </c>
      <c r="C1160" s="53" t="s">
        <v>1968</v>
      </c>
      <c r="D1160" s="53" t="s">
        <v>2955</v>
      </c>
    </row>
    <row r="1161" spans="1:4">
      <c r="A1161" s="53" t="s">
        <v>849</v>
      </c>
      <c r="B1161" s="53" t="s">
        <v>3241</v>
      </c>
      <c r="C1161" s="53" t="s">
        <v>1969</v>
      </c>
      <c r="D1161" s="53" t="s">
        <v>2956</v>
      </c>
    </row>
    <row r="1162" spans="1:4">
      <c r="A1162" s="53" t="s">
        <v>849</v>
      </c>
      <c r="B1162" s="53" t="s">
        <v>3241</v>
      </c>
      <c r="C1162" s="53" t="s">
        <v>1970</v>
      </c>
      <c r="D1162" s="53" t="s">
        <v>2957</v>
      </c>
    </row>
    <row r="1163" spans="1:4">
      <c r="A1163" s="53" t="s">
        <v>849</v>
      </c>
      <c r="B1163" s="53" t="s">
        <v>3241</v>
      </c>
      <c r="C1163" s="53" t="s">
        <v>1971</v>
      </c>
      <c r="D1163" s="53" t="s">
        <v>2958</v>
      </c>
    </row>
    <row r="1164" spans="1:4">
      <c r="A1164" s="53" t="s">
        <v>849</v>
      </c>
      <c r="B1164" s="53" t="s">
        <v>3241</v>
      </c>
      <c r="C1164" s="53" t="s">
        <v>1972</v>
      </c>
      <c r="D1164" s="53" t="s">
        <v>1625</v>
      </c>
    </row>
    <row r="1165" spans="1:4">
      <c r="A1165" s="53" t="s">
        <v>849</v>
      </c>
      <c r="B1165" s="53" t="s">
        <v>3241</v>
      </c>
      <c r="C1165" s="53" t="s">
        <v>1973</v>
      </c>
      <c r="D1165" s="53" t="s">
        <v>3109</v>
      </c>
    </row>
    <row r="1166" spans="1:4">
      <c r="A1166" s="53" t="s">
        <v>849</v>
      </c>
      <c r="B1166" s="53" t="s">
        <v>3241</v>
      </c>
      <c r="C1166" s="53" t="s">
        <v>1974</v>
      </c>
      <c r="D1166" s="53" t="s">
        <v>2959</v>
      </c>
    </row>
    <row r="1167" spans="1:4">
      <c r="A1167" s="53" t="s">
        <v>849</v>
      </c>
      <c r="B1167" s="53" t="s">
        <v>3241</v>
      </c>
      <c r="C1167" s="53" t="s">
        <v>1975</v>
      </c>
      <c r="D1167" s="53" t="s">
        <v>2960</v>
      </c>
    </row>
    <row r="1168" spans="1:4">
      <c r="A1168" s="53" t="s">
        <v>849</v>
      </c>
      <c r="B1168" s="53" t="s">
        <v>3241</v>
      </c>
      <c r="C1168" s="53" t="s">
        <v>1976</v>
      </c>
      <c r="D1168" s="53" t="s">
        <v>2961</v>
      </c>
    </row>
    <row r="1169" spans="1:4">
      <c r="A1169" s="53" t="s">
        <v>849</v>
      </c>
      <c r="B1169" s="53" t="s">
        <v>3241</v>
      </c>
      <c r="C1169" s="53" t="s">
        <v>1977</v>
      </c>
      <c r="D1169" s="53" t="s">
        <v>2962</v>
      </c>
    </row>
    <row r="1170" spans="1:4">
      <c r="A1170" s="53" t="s">
        <v>849</v>
      </c>
      <c r="B1170" s="53" t="s">
        <v>3241</v>
      </c>
      <c r="C1170" s="53" t="s">
        <v>1978</v>
      </c>
      <c r="D1170" s="53" t="s">
        <v>3304</v>
      </c>
    </row>
    <row r="1171" spans="1:4">
      <c r="A1171" s="53" t="s">
        <v>849</v>
      </c>
      <c r="B1171" s="53" t="s">
        <v>3241</v>
      </c>
      <c r="C1171" s="53" t="s">
        <v>1979</v>
      </c>
      <c r="D1171" s="53" t="s">
        <v>3305</v>
      </c>
    </row>
    <row r="1172" spans="1:4">
      <c r="A1172" s="53" t="s">
        <v>849</v>
      </c>
      <c r="B1172" s="53" t="s">
        <v>3241</v>
      </c>
      <c r="C1172" s="53" t="s">
        <v>1980</v>
      </c>
      <c r="D1172" s="53" t="s">
        <v>3306</v>
      </c>
    </row>
    <row r="1173" spans="1:4">
      <c r="A1173" s="53" t="s">
        <v>849</v>
      </c>
      <c r="B1173" s="53" t="s">
        <v>3241</v>
      </c>
      <c r="C1173" s="53" t="s">
        <v>1981</v>
      </c>
      <c r="D1173" s="53" t="s">
        <v>3307</v>
      </c>
    </row>
    <row r="1174" spans="1:4">
      <c r="A1174" s="53" t="s">
        <v>849</v>
      </c>
      <c r="B1174" s="53" t="s">
        <v>3241</v>
      </c>
      <c r="C1174" s="53" t="s">
        <v>1982</v>
      </c>
      <c r="D1174" s="53" t="s">
        <v>3247</v>
      </c>
    </row>
    <row r="1175" spans="1:4">
      <c r="A1175" s="53" t="s">
        <v>849</v>
      </c>
      <c r="B1175" s="53" t="s">
        <v>3241</v>
      </c>
      <c r="C1175" s="53" t="s">
        <v>4150</v>
      </c>
      <c r="D1175" s="53" t="s">
        <v>3248</v>
      </c>
    </row>
    <row r="1176" spans="1:4">
      <c r="A1176" s="53" t="s">
        <v>849</v>
      </c>
      <c r="B1176" s="53" t="s">
        <v>3241</v>
      </c>
      <c r="C1176" s="53" t="s">
        <v>4151</v>
      </c>
      <c r="D1176" s="53" t="s">
        <v>264</v>
      </c>
    </row>
    <row r="1177" spans="1:4">
      <c r="A1177" s="53" t="s">
        <v>849</v>
      </c>
      <c r="B1177" s="53" t="s">
        <v>3241</v>
      </c>
      <c r="C1177" s="53" t="s">
        <v>4152</v>
      </c>
      <c r="D1177" s="53" t="s">
        <v>265</v>
      </c>
    </row>
    <row r="1178" spans="1:4">
      <c r="A1178" s="53" t="s">
        <v>849</v>
      </c>
      <c r="B1178" s="53" t="s">
        <v>3241</v>
      </c>
      <c r="C1178" s="53" t="s">
        <v>4153</v>
      </c>
      <c r="D1178" s="53" t="s">
        <v>2011</v>
      </c>
    </row>
    <row r="1179" spans="1:4">
      <c r="A1179" s="53" t="s">
        <v>849</v>
      </c>
      <c r="B1179" s="53" t="s">
        <v>3241</v>
      </c>
      <c r="C1179" s="53" t="s">
        <v>4154</v>
      </c>
      <c r="D1179" s="53" t="s">
        <v>1663</v>
      </c>
    </row>
    <row r="1180" spans="1:4">
      <c r="A1180" s="53" t="s">
        <v>849</v>
      </c>
      <c r="B1180" s="53" t="s">
        <v>3241</v>
      </c>
      <c r="C1180" s="53" t="s">
        <v>4155</v>
      </c>
      <c r="D1180" s="53" t="s">
        <v>3009</v>
      </c>
    </row>
    <row r="1181" spans="1:4">
      <c r="A1181" s="53" t="s">
        <v>849</v>
      </c>
      <c r="B1181" s="53" t="s">
        <v>3241</v>
      </c>
      <c r="C1181" s="53" t="s">
        <v>4156</v>
      </c>
      <c r="D1181" s="53" t="s">
        <v>1809</v>
      </c>
    </row>
    <row r="1182" spans="1:4">
      <c r="A1182" s="53" t="s">
        <v>849</v>
      </c>
      <c r="B1182" s="53" t="s">
        <v>3241</v>
      </c>
      <c r="C1182" s="53" t="s">
        <v>4157</v>
      </c>
      <c r="D1182" s="53" t="s">
        <v>1810</v>
      </c>
    </row>
    <row r="1183" spans="1:4">
      <c r="A1183" s="53" t="s">
        <v>849</v>
      </c>
      <c r="B1183" s="53" t="s">
        <v>3241</v>
      </c>
      <c r="C1183" s="53" t="s">
        <v>4158</v>
      </c>
      <c r="D1183" s="53" t="s">
        <v>1811</v>
      </c>
    </row>
    <row r="1184" spans="1:4">
      <c r="A1184" s="53" t="s">
        <v>849</v>
      </c>
      <c r="B1184" s="53" t="s">
        <v>3241</v>
      </c>
      <c r="C1184" s="53" t="s">
        <v>4159</v>
      </c>
      <c r="D1184" s="53" t="s">
        <v>3010</v>
      </c>
    </row>
    <row r="1185" spans="1:4">
      <c r="A1185" s="53" t="s">
        <v>849</v>
      </c>
      <c r="B1185" s="53" t="s">
        <v>3241</v>
      </c>
      <c r="C1185" s="53" t="s">
        <v>2424</v>
      </c>
      <c r="D1185" s="53" t="s">
        <v>3991</v>
      </c>
    </row>
    <row r="1186" spans="1:4">
      <c r="A1186" s="53" t="s">
        <v>849</v>
      </c>
      <c r="B1186" s="53" t="s">
        <v>3241</v>
      </c>
      <c r="C1186" s="53" t="s">
        <v>2425</v>
      </c>
      <c r="D1186" s="53" t="s">
        <v>1786</v>
      </c>
    </row>
    <row r="1187" spans="1:4">
      <c r="A1187" s="53" t="s">
        <v>849</v>
      </c>
      <c r="B1187" s="53" t="s">
        <v>3241</v>
      </c>
      <c r="C1187" s="53" t="s">
        <v>2426</v>
      </c>
      <c r="D1187" s="53" t="s">
        <v>1787</v>
      </c>
    </row>
    <row r="1188" spans="1:4">
      <c r="A1188" s="53" t="s">
        <v>849</v>
      </c>
      <c r="B1188" s="53" t="s">
        <v>3241</v>
      </c>
      <c r="C1188" s="53" t="s">
        <v>2427</v>
      </c>
      <c r="D1188" s="53" t="s">
        <v>2149</v>
      </c>
    </row>
    <row r="1189" spans="1:4">
      <c r="A1189" s="53" t="s">
        <v>849</v>
      </c>
      <c r="B1189" s="53" t="s">
        <v>3241</v>
      </c>
      <c r="C1189" s="53" t="s">
        <v>2428</v>
      </c>
      <c r="D1189" s="53" t="s">
        <v>2824</v>
      </c>
    </row>
    <row r="1190" spans="1:4">
      <c r="A1190" s="53" t="s">
        <v>849</v>
      </c>
      <c r="B1190" s="53" t="s">
        <v>3241</v>
      </c>
      <c r="C1190" s="53" t="s">
        <v>2429</v>
      </c>
      <c r="D1190" s="53" t="s">
        <v>2825</v>
      </c>
    </row>
    <row r="1191" spans="1:4">
      <c r="A1191" s="53" t="s">
        <v>849</v>
      </c>
      <c r="B1191" s="53" t="s">
        <v>3241</v>
      </c>
      <c r="C1191" s="53" t="s">
        <v>2430</v>
      </c>
      <c r="D1191" s="53" t="s">
        <v>1210</v>
      </c>
    </row>
    <row r="1192" spans="1:4">
      <c r="A1192" s="53" t="s">
        <v>849</v>
      </c>
      <c r="B1192" s="53" t="s">
        <v>3241</v>
      </c>
      <c r="C1192" s="53" t="s">
        <v>2431</v>
      </c>
      <c r="D1192" s="53" t="s">
        <v>1211</v>
      </c>
    </row>
    <row r="1193" spans="1:4">
      <c r="A1193" s="53" t="s">
        <v>849</v>
      </c>
      <c r="B1193" s="53" t="s">
        <v>3241</v>
      </c>
      <c r="C1193" s="53" t="s">
        <v>2432</v>
      </c>
      <c r="D1193" s="53" t="s">
        <v>1212</v>
      </c>
    </row>
    <row r="1194" spans="1:4">
      <c r="A1194" s="53" t="s">
        <v>849</v>
      </c>
      <c r="B1194" s="53" t="s">
        <v>3241</v>
      </c>
      <c r="C1194" s="53" t="s">
        <v>1961</v>
      </c>
      <c r="D1194" s="53" t="s">
        <v>4254</v>
      </c>
    </row>
    <row r="1195" spans="1:4">
      <c r="A1195" s="53" t="s">
        <v>849</v>
      </c>
      <c r="B1195" s="53" t="s">
        <v>3241</v>
      </c>
      <c r="C1195" s="53" t="s">
        <v>1962</v>
      </c>
      <c r="D1195" s="53" t="s">
        <v>118</v>
      </c>
    </row>
    <row r="1196" spans="1:4">
      <c r="A1196" s="53" t="s">
        <v>849</v>
      </c>
      <c r="B1196" s="53" t="s">
        <v>3241</v>
      </c>
      <c r="C1196" s="53" t="s">
        <v>1482</v>
      </c>
      <c r="D1196" s="53" t="s">
        <v>119</v>
      </c>
    </row>
    <row r="1197" spans="1:4">
      <c r="A1197" s="53" t="s">
        <v>849</v>
      </c>
      <c r="B1197" s="53" t="s">
        <v>3241</v>
      </c>
      <c r="C1197" s="53" t="s">
        <v>1483</v>
      </c>
      <c r="D1197" s="53" t="s">
        <v>120</v>
      </c>
    </row>
    <row r="1198" spans="1:4">
      <c r="A1198" s="53" t="s">
        <v>849</v>
      </c>
      <c r="B1198" s="53" t="s">
        <v>3241</v>
      </c>
      <c r="C1198" s="53" t="s">
        <v>278</v>
      </c>
      <c r="D1198" s="53" t="s">
        <v>2764</v>
      </c>
    </row>
    <row r="1199" spans="1:4">
      <c r="A1199" s="53" t="s">
        <v>849</v>
      </c>
      <c r="B1199" s="53" t="s">
        <v>3241</v>
      </c>
      <c r="C1199" s="53" t="s">
        <v>3501</v>
      </c>
      <c r="D1199" s="53" t="s">
        <v>2765</v>
      </c>
    </row>
    <row r="1200" spans="1:4">
      <c r="A1200" s="53" t="s">
        <v>2766</v>
      </c>
      <c r="B1200" s="53" t="s">
        <v>65</v>
      </c>
      <c r="C1200" s="53" t="s">
        <v>3354</v>
      </c>
      <c r="D1200" s="53" t="s">
        <v>59</v>
      </c>
    </row>
    <row r="1201" spans="1:4">
      <c r="A1201" s="53" t="s">
        <v>2766</v>
      </c>
      <c r="B1201" s="53" t="s">
        <v>65</v>
      </c>
      <c r="C1201" s="53" t="s">
        <v>1964</v>
      </c>
      <c r="D1201" s="53" t="s">
        <v>60</v>
      </c>
    </row>
    <row r="1202" spans="1:4">
      <c r="A1202" s="53" t="s">
        <v>2766</v>
      </c>
      <c r="B1202" s="53" t="s">
        <v>65</v>
      </c>
      <c r="C1202" s="53" t="s">
        <v>1965</v>
      </c>
      <c r="D1202" s="53" t="s">
        <v>61</v>
      </c>
    </row>
    <row r="1203" spans="1:4">
      <c r="A1203" s="53" t="s">
        <v>2766</v>
      </c>
      <c r="B1203" s="53" t="s">
        <v>65</v>
      </c>
      <c r="C1203" s="53" t="s">
        <v>1966</v>
      </c>
      <c r="D1203" s="53" t="s">
        <v>62</v>
      </c>
    </row>
    <row r="1204" spans="1:4">
      <c r="A1204" s="53" t="s">
        <v>2766</v>
      </c>
      <c r="B1204" s="53" t="s">
        <v>65</v>
      </c>
      <c r="C1204" s="53" t="s">
        <v>1967</v>
      </c>
      <c r="D1204" s="53" t="s">
        <v>63</v>
      </c>
    </row>
    <row r="1205" spans="1:4">
      <c r="A1205" s="53" t="s">
        <v>2766</v>
      </c>
      <c r="B1205" s="53" t="s">
        <v>65</v>
      </c>
      <c r="C1205" s="53" t="s">
        <v>1968</v>
      </c>
      <c r="D1205" s="53" t="s">
        <v>64</v>
      </c>
    </row>
    <row r="1206" spans="1:4">
      <c r="A1206" s="53" t="s">
        <v>2766</v>
      </c>
      <c r="B1206" s="53" t="s">
        <v>65</v>
      </c>
      <c r="C1206" s="53" t="s">
        <v>1969</v>
      </c>
      <c r="D1206" s="53" t="s">
        <v>3117</v>
      </c>
    </row>
    <row r="1207" spans="1:4">
      <c r="A1207" s="53" t="s">
        <v>2766</v>
      </c>
      <c r="B1207" s="53" t="s">
        <v>65</v>
      </c>
      <c r="C1207" s="53" t="s">
        <v>1970</v>
      </c>
      <c r="D1207" s="53" t="s">
        <v>3118</v>
      </c>
    </row>
    <row r="1208" spans="1:4">
      <c r="A1208" s="53" t="s">
        <v>2766</v>
      </c>
      <c r="B1208" s="53" t="s">
        <v>65</v>
      </c>
      <c r="C1208" s="53" t="s">
        <v>1971</v>
      </c>
      <c r="D1208" s="53" t="s">
        <v>3119</v>
      </c>
    </row>
    <row r="1209" spans="1:4">
      <c r="A1209" s="53" t="s">
        <v>2766</v>
      </c>
      <c r="B1209" s="53" t="s">
        <v>65</v>
      </c>
      <c r="C1209" s="53" t="s">
        <v>1972</v>
      </c>
      <c r="D1209" s="53" t="s">
        <v>3120</v>
      </c>
    </row>
    <row r="1210" spans="1:4">
      <c r="A1210" s="53" t="s">
        <v>2766</v>
      </c>
      <c r="B1210" s="53" t="s">
        <v>65</v>
      </c>
      <c r="C1210" s="53" t="s">
        <v>1973</v>
      </c>
      <c r="D1210" s="53" t="s">
        <v>3538</v>
      </c>
    </row>
    <row r="1211" spans="1:4">
      <c r="A1211" s="53" t="s">
        <v>2766</v>
      </c>
      <c r="B1211" s="53" t="s">
        <v>65</v>
      </c>
      <c r="C1211" s="53" t="s">
        <v>1974</v>
      </c>
      <c r="D1211" s="53" t="s">
        <v>1571</v>
      </c>
    </row>
    <row r="1212" spans="1:4">
      <c r="A1212" s="53" t="s">
        <v>2766</v>
      </c>
      <c r="B1212" s="53" t="s">
        <v>65</v>
      </c>
      <c r="C1212" s="53" t="s">
        <v>1975</v>
      </c>
      <c r="D1212" s="53" t="s">
        <v>1572</v>
      </c>
    </row>
    <row r="1213" spans="1:4">
      <c r="A1213" s="53" t="s">
        <v>2766</v>
      </c>
      <c r="B1213" s="53" t="s">
        <v>65</v>
      </c>
      <c r="C1213" s="53" t="s">
        <v>1976</v>
      </c>
      <c r="D1213" s="53" t="s">
        <v>1573</v>
      </c>
    </row>
    <row r="1214" spans="1:4">
      <c r="A1214" s="53" t="s">
        <v>2766</v>
      </c>
      <c r="B1214" s="53" t="s">
        <v>65</v>
      </c>
      <c r="C1214" s="53" t="s">
        <v>1977</v>
      </c>
      <c r="D1214" s="53" t="s">
        <v>1721</v>
      </c>
    </row>
    <row r="1215" spans="1:4">
      <c r="A1215" s="53" t="s">
        <v>2766</v>
      </c>
      <c r="B1215" s="53" t="s">
        <v>65</v>
      </c>
      <c r="C1215" s="53" t="s">
        <v>1978</v>
      </c>
      <c r="D1215" s="53" t="s">
        <v>525</v>
      </c>
    </row>
    <row r="1216" spans="1:4">
      <c r="A1216" s="53" t="s">
        <v>2766</v>
      </c>
      <c r="B1216" s="53" t="s">
        <v>65</v>
      </c>
      <c r="C1216" s="53" t="s">
        <v>1979</v>
      </c>
      <c r="D1216" s="53" t="s">
        <v>526</v>
      </c>
    </row>
    <row r="1217" spans="1:4">
      <c r="A1217" s="53" t="s">
        <v>2766</v>
      </c>
      <c r="B1217" s="53" t="s">
        <v>65</v>
      </c>
      <c r="C1217" s="53" t="s">
        <v>1980</v>
      </c>
      <c r="D1217" s="53" t="s">
        <v>3259</v>
      </c>
    </row>
    <row r="1218" spans="1:4">
      <c r="A1218" s="53" t="s">
        <v>2766</v>
      </c>
      <c r="B1218" s="53" t="s">
        <v>65</v>
      </c>
      <c r="C1218" s="53" t="s">
        <v>1981</v>
      </c>
      <c r="D1218" s="53" t="s">
        <v>529</v>
      </c>
    </row>
    <row r="1219" spans="1:4">
      <c r="A1219" s="53" t="s">
        <v>2766</v>
      </c>
      <c r="B1219" s="53" t="s">
        <v>65</v>
      </c>
      <c r="C1219" s="53" t="s">
        <v>1982</v>
      </c>
      <c r="D1219" s="53" t="s">
        <v>530</v>
      </c>
    </row>
    <row r="1220" spans="1:4">
      <c r="A1220" s="53" t="s">
        <v>2766</v>
      </c>
      <c r="B1220" s="53" t="s">
        <v>65</v>
      </c>
      <c r="C1220" s="53" t="s">
        <v>4150</v>
      </c>
      <c r="D1220" s="53" t="s">
        <v>531</v>
      </c>
    </row>
    <row r="1221" spans="1:4">
      <c r="A1221" s="53" t="s">
        <v>2766</v>
      </c>
      <c r="B1221" s="53" t="s">
        <v>65</v>
      </c>
      <c r="C1221" s="53" t="s">
        <v>4151</v>
      </c>
      <c r="D1221" s="53" t="s">
        <v>532</v>
      </c>
    </row>
    <row r="1222" spans="1:4">
      <c r="A1222" s="53" t="s">
        <v>2766</v>
      </c>
      <c r="B1222" s="53" t="s">
        <v>65</v>
      </c>
      <c r="C1222" s="53" t="s">
        <v>4152</v>
      </c>
      <c r="D1222" s="53" t="s">
        <v>533</v>
      </c>
    </row>
    <row r="1223" spans="1:4">
      <c r="A1223" s="53" t="s">
        <v>2766</v>
      </c>
      <c r="B1223" s="53" t="s">
        <v>65</v>
      </c>
      <c r="C1223" s="53" t="s">
        <v>4153</v>
      </c>
      <c r="D1223" s="53" t="s">
        <v>1565</v>
      </c>
    </row>
    <row r="1224" spans="1:4">
      <c r="A1224" s="53" t="s">
        <v>2766</v>
      </c>
      <c r="B1224" s="53" t="s">
        <v>65</v>
      </c>
      <c r="C1224" s="53" t="s">
        <v>4154</v>
      </c>
      <c r="D1224" s="53" t="s">
        <v>1566</v>
      </c>
    </row>
    <row r="1225" spans="1:4">
      <c r="A1225" s="53" t="s">
        <v>2766</v>
      </c>
      <c r="B1225" s="53" t="s">
        <v>65</v>
      </c>
      <c r="C1225" s="53" t="s">
        <v>4155</v>
      </c>
      <c r="D1225" s="53" t="s">
        <v>1567</v>
      </c>
    </row>
    <row r="1226" spans="1:4">
      <c r="A1226" s="53" t="s">
        <v>2766</v>
      </c>
      <c r="B1226" s="53" t="s">
        <v>65</v>
      </c>
      <c r="C1226" s="53" t="s">
        <v>4156</v>
      </c>
      <c r="D1226" s="53" t="s">
        <v>1568</v>
      </c>
    </row>
    <row r="1227" spans="1:4">
      <c r="A1227" s="53" t="s">
        <v>2766</v>
      </c>
      <c r="B1227" s="53" t="s">
        <v>65</v>
      </c>
      <c r="C1227" s="53" t="s">
        <v>4157</v>
      </c>
      <c r="D1227" s="53" t="s">
        <v>1569</v>
      </c>
    </row>
    <row r="1228" spans="1:4">
      <c r="A1228" s="53" t="s">
        <v>2766</v>
      </c>
      <c r="B1228" s="53" t="s">
        <v>65</v>
      </c>
      <c r="C1228" s="53" t="s">
        <v>4158</v>
      </c>
      <c r="D1228" s="53" t="s">
        <v>2083</v>
      </c>
    </row>
    <row r="1229" spans="1:4">
      <c r="A1229" s="53" t="s">
        <v>2766</v>
      </c>
      <c r="B1229" s="53" t="s">
        <v>65</v>
      </c>
      <c r="C1229" s="53" t="s">
        <v>4159</v>
      </c>
      <c r="D1229" s="53" t="s">
        <v>2084</v>
      </c>
    </row>
    <row r="1230" spans="1:4">
      <c r="A1230" s="53" t="s">
        <v>2766</v>
      </c>
      <c r="B1230" s="53" t="s">
        <v>65</v>
      </c>
      <c r="C1230" s="53" t="s">
        <v>2424</v>
      </c>
      <c r="D1230" s="53" t="s">
        <v>2085</v>
      </c>
    </row>
    <row r="1231" spans="1:4">
      <c r="A1231" s="53" t="s">
        <v>2766</v>
      </c>
      <c r="B1231" s="53" t="s">
        <v>65</v>
      </c>
      <c r="C1231" s="53" t="s">
        <v>2425</v>
      </c>
      <c r="D1231" s="53" t="s">
        <v>2086</v>
      </c>
    </row>
    <row r="1232" spans="1:4">
      <c r="A1232" s="53" t="s">
        <v>2766</v>
      </c>
      <c r="B1232" s="53" t="s">
        <v>65</v>
      </c>
      <c r="C1232" s="53" t="s">
        <v>2426</v>
      </c>
      <c r="D1232" s="53" t="s">
        <v>439</v>
      </c>
    </row>
    <row r="1233" spans="1:4">
      <c r="A1233" s="53" t="s">
        <v>2766</v>
      </c>
      <c r="B1233" s="53" t="s">
        <v>65</v>
      </c>
      <c r="C1233" s="53" t="s">
        <v>2427</v>
      </c>
      <c r="D1233" s="53" t="s">
        <v>440</v>
      </c>
    </row>
    <row r="1234" spans="1:4">
      <c r="A1234" s="53" t="s">
        <v>2766</v>
      </c>
      <c r="B1234" s="53" t="s">
        <v>65</v>
      </c>
      <c r="C1234" s="53" t="s">
        <v>2428</v>
      </c>
      <c r="D1234" s="53" t="s">
        <v>441</v>
      </c>
    </row>
    <row r="1235" spans="1:4">
      <c r="A1235" s="53" t="s">
        <v>2766</v>
      </c>
      <c r="B1235" s="53" t="s">
        <v>65</v>
      </c>
      <c r="C1235" s="53" t="s">
        <v>2429</v>
      </c>
      <c r="D1235" s="53" t="s">
        <v>1242</v>
      </c>
    </row>
    <row r="1236" spans="1:4">
      <c r="A1236" s="53" t="s">
        <v>2766</v>
      </c>
      <c r="B1236" s="53" t="s">
        <v>65</v>
      </c>
      <c r="C1236" s="53" t="s">
        <v>2430</v>
      </c>
      <c r="D1236" s="53" t="s">
        <v>1752</v>
      </c>
    </row>
    <row r="1237" spans="1:4">
      <c r="A1237" s="53" t="s">
        <v>1753</v>
      </c>
      <c r="B1237" s="53" t="s">
        <v>1754</v>
      </c>
      <c r="C1237" s="53" t="s">
        <v>3354</v>
      </c>
      <c r="D1237" s="53" t="s">
        <v>1755</v>
      </c>
    </row>
    <row r="1238" spans="1:4">
      <c r="A1238" s="53" t="s">
        <v>1753</v>
      </c>
      <c r="B1238" s="53" t="s">
        <v>1754</v>
      </c>
      <c r="C1238" s="53" t="s">
        <v>1964</v>
      </c>
      <c r="D1238" s="53" t="s">
        <v>1756</v>
      </c>
    </row>
    <row r="1239" spans="1:4">
      <c r="A1239" s="53" t="s">
        <v>1753</v>
      </c>
      <c r="B1239" s="53" t="s">
        <v>1754</v>
      </c>
      <c r="C1239" s="53" t="s">
        <v>1965</v>
      </c>
      <c r="D1239" s="53" t="s">
        <v>2730</v>
      </c>
    </row>
    <row r="1240" spans="1:4">
      <c r="A1240" s="53" t="s">
        <v>1753</v>
      </c>
      <c r="B1240" s="53" t="s">
        <v>1754</v>
      </c>
      <c r="C1240" s="53" t="s">
        <v>1966</v>
      </c>
      <c r="D1240" s="53" t="s">
        <v>772</v>
      </c>
    </row>
    <row r="1241" spans="1:4">
      <c r="A1241" s="53" t="s">
        <v>1753</v>
      </c>
      <c r="B1241" s="53" t="s">
        <v>1754</v>
      </c>
      <c r="C1241" s="53" t="s">
        <v>1967</v>
      </c>
      <c r="D1241" s="53" t="s">
        <v>505</v>
      </c>
    </row>
    <row r="1242" spans="1:4">
      <c r="A1242" s="53" t="s">
        <v>1753</v>
      </c>
      <c r="B1242" s="53" t="s">
        <v>1754</v>
      </c>
      <c r="C1242" s="53" t="s">
        <v>1968</v>
      </c>
      <c r="D1242" s="53" t="s">
        <v>3665</v>
      </c>
    </row>
    <row r="1243" spans="1:4">
      <c r="A1243" s="53" t="s">
        <v>1753</v>
      </c>
      <c r="B1243" s="53" t="s">
        <v>1754</v>
      </c>
      <c r="C1243" s="53" t="s">
        <v>1969</v>
      </c>
      <c r="D1243" s="53" t="s">
        <v>3666</v>
      </c>
    </row>
    <row r="1244" spans="1:4">
      <c r="A1244" s="53" t="s">
        <v>1753</v>
      </c>
      <c r="B1244" s="53" t="s">
        <v>1754</v>
      </c>
      <c r="C1244" s="53" t="s">
        <v>1970</v>
      </c>
      <c r="D1244" s="53" t="s">
        <v>3667</v>
      </c>
    </row>
    <row r="1245" spans="1:4">
      <c r="A1245" s="53" t="s">
        <v>1753</v>
      </c>
      <c r="B1245" s="53" t="s">
        <v>1754</v>
      </c>
      <c r="C1245" s="53" t="s">
        <v>1971</v>
      </c>
      <c r="D1245" s="53" t="s">
        <v>164</v>
      </c>
    </row>
    <row r="1246" spans="1:4">
      <c r="A1246" s="53" t="s">
        <v>1753</v>
      </c>
      <c r="B1246" s="53" t="s">
        <v>1754</v>
      </c>
      <c r="C1246" s="53" t="s">
        <v>1972</v>
      </c>
      <c r="D1246" s="53" t="s">
        <v>3770</v>
      </c>
    </row>
    <row r="1247" spans="1:4">
      <c r="A1247" s="53" t="s">
        <v>1753</v>
      </c>
      <c r="B1247" s="53" t="s">
        <v>1754</v>
      </c>
      <c r="C1247" s="53" t="s">
        <v>1973</v>
      </c>
      <c r="D1247" s="53" t="s">
        <v>3771</v>
      </c>
    </row>
    <row r="1248" spans="1:4">
      <c r="A1248" s="53" t="s">
        <v>1753</v>
      </c>
      <c r="B1248" s="53" t="s">
        <v>1754</v>
      </c>
      <c r="C1248" s="53" t="s">
        <v>1974</v>
      </c>
      <c r="D1248" s="53" t="s">
        <v>3772</v>
      </c>
    </row>
    <row r="1249" spans="1:4">
      <c r="A1249" s="53" t="s">
        <v>1753</v>
      </c>
      <c r="B1249" s="53" t="s">
        <v>1754</v>
      </c>
      <c r="C1249" s="53" t="s">
        <v>1975</v>
      </c>
      <c r="D1249" s="53" t="s">
        <v>3204</v>
      </c>
    </row>
    <row r="1250" spans="1:4">
      <c r="A1250" s="53" t="s">
        <v>1753</v>
      </c>
      <c r="B1250" s="53" t="s">
        <v>1754</v>
      </c>
      <c r="C1250" s="53" t="s">
        <v>1976</v>
      </c>
      <c r="D1250" s="53" t="s">
        <v>2731</v>
      </c>
    </row>
    <row r="1251" spans="1:4">
      <c r="A1251" s="53" t="s">
        <v>1753</v>
      </c>
      <c r="B1251" s="53" t="s">
        <v>1754</v>
      </c>
      <c r="C1251" s="53" t="s">
        <v>1977</v>
      </c>
      <c r="D1251" s="53" t="s">
        <v>2732</v>
      </c>
    </row>
    <row r="1252" spans="1:4">
      <c r="A1252" s="53" t="s">
        <v>1753</v>
      </c>
      <c r="B1252" s="53" t="s">
        <v>1754</v>
      </c>
      <c r="C1252" s="53" t="s">
        <v>1978</v>
      </c>
      <c r="D1252" s="53" t="s">
        <v>2733</v>
      </c>
    </row>
    <row r="1253" spans="1:4">
      <c r="A1253" s="53" t="s">
        <v>1753</v>
      </c>
      <c r="B1253" s="53" t="s">
        <v>1754</v>
      </c>
      <c r="C1253" s="53" t="s">
        <v>1979</v>
      </c>
      <c r="D1253" s="53" t="s">
        <v>2734</v>
      </c>
    </row>
    <row r="1254" spans="1:4">
      <c r="A1254" s="53" t="s">
        <v>1753</v>
      </c>
      <c r="B1254" s="53" t="s">
        <v>1754</v>
      </c>
      <c r="C1254" s="53" t="s">
        <v>1980</v>
      </c>
      <c r="D1254" s="53" t="s">
        <v>2735</v>
      </c>
    </row>
    <row r="1255" spans="1:4">
      <c r="A1255" s="53" t="s">
        <v>1753</v>
      </c>
      <c r="B1255" s="53" t="s">
        <v>1754</v>
      </c>
      <c r="C1255" s="53" t="s">
        <v>1981</v>
      </c>
      <c r="D1255" s="53" t="s">
        <v>791</v>
      </c>
    </row>
    <row r="1256" spans="1:4">
      <c r="A1256" s="53" t="s">
        <v>1753</v>
      </c>
      <c r="B1256" s="53" t="s">
        <v>1754</v>
      </c>
      <c r="C1256" s="53" t="s">
        <v>1982</v>
      </c>
      <c r="D1256" s="53" t="s">
        <v>792</v>
      </c>
    </row>
    <row r="1257" spans="1:4">
      <c r="A1257" s="53" t="s">
        <v>1753</v>
      </c>
      <c r="B1257" s="53" t="s">
        <v>1754</v>
      </c>
      <c r="C1257" s="53" t="s">
        <v>4150</v>
      </c>
      <c r="D1257" s="53" t="s">
        <v>3829</v>
      </c>
    </row>
    <row r="1258" spans="1:4">
      <c r="A1258" s="53" t="s">
        <v>1753</v>
      </c>
      <c r="B1258" s="53" t="s">
        <v>1754</v>
      </c>
      <c r="C1258" s="53" t="s">
        <v>4151</v>
      </c>
      <c r="D1258" s="53" t="s">
        <v>4351</v>
      </c>
    </row>
    <row r="1259" spans="1:4">
      <c r="A1259" s="53" t="s">
        <v>1753</v>
      </c>
      <c r="B1259" s="53" t="s">
        <v>1754</v>
      </c>
      <c r="C1259" s="53" t="s">
        <v>4152</v>
      </c>
      <c r="D1259" s="53" t="s">
        <v>4070</v>
      </c>
    </row>
    <row r="1260" spans="1:4">
      <c r="A1260" s="53" t="s">
        <v>1753</v>
      </c>
      <c r="B1260" s="53" t="s">
        <v>1754</v>
      </c>
      <c r="C1260" s="53" t="s">
        <v>4153</v>
      </c>
      <c r="D1260" s="53" t="s">
        <v>4071</v>
      </c>
    </row>
    <row r="1261" spans="1:4">
      <c r="A1261" s="53" t="s">
        <v>1753</v>
      </c>
      <c r="B1261" s="53" t="s">
        <v>1754</v>
      </c>
      <c r="C1261" s="53" t="s">
        <v>4154</v>
      </c>
      <c r="D1261" s="53" t="s">
        <v>4072</v>
      </c>
    </row>
    <row r="1262" spans="1:4">
      <c r="A1262" s="53" t="s">
        <v>1753</v>
      </c>
      <c r="B1262" s="53" t="s">
        <v>1754</v>
      </c>
      <c r="C1262" s="53" t="s">
        <v>4155</v>
      </c>
      <c r="D1262" s="53" t="s">
        <v>1240</v>
      </c>
    </row>
    <row r="1263" spans="1:4">
      <c r="A1263" s="53" t="s">
        <v>1753</v>
      </c>
      <c r="B1263" s="53" t="s">
        <v>1754</v>
      </c>
      <c r="C1263" s="53" t="s">
        <v>4156</v>
      </c>
      <c r="D1263" s="53" t="s">
        <v>1241</v>
      </c>
    </row>
    <row r="1264" spans="1:4">
      <c r="A1264" s="53" t="s">
        <v>1753</v>
      </c>
      <c r="B1264" s="53" t="s">
        <v>1754</v>
      </c>
      <c r="C1264" s="53" t="s">
        <v>4157</v>
      </c>
      <c r="D1264" s="53" t="s">
        <v>1644</v>
      </c>
    </row>
    <row r="1265" spans="1:4">
      <c r="A1265" s="53" t="s">
        <v>1753</v>
      </c>
      <c r="B1265" s="53" t="s">
        <v>1754</v>
      </c>
      <c r="C1265" s="53" t="s">
        <v>4158</v>
      </c>
      <c r="D1265" s="53" t="s">
        <v>1645</v>
      </c>
    </row>
    <row r="1266" spans="1:4">
      <c r="A1266" s="53" t="s">
        <v>1753</v>
      </c>
      <c r="B1266" s="53" t="s">
        <v>1754</v>
      </c>
      <c r="C1266" s="53" t="s">
        <v>4159</v>
      </c>
      <c r="D1266" s="53" t="s">
        <v>1646</v>
      </c>
    </row>
    <row r="1267" spans="1:4">
      <c r="A1267" s="53" t="s">
        <v>1753</v>
      </c>
      <c r="B1267" s="53" t="s">
        <v>1754</v>
      </c>
      <c r="C1267" s="53" t="s">
        <v>2424</v>
      </c>
      <c r="D1267" s="53" t="s">
        <v>1647</v>
      </c>
    </row>
    <row r="1268" spans="1:4">
      <c r="A1268" s="53" t="s">
        <v>1753</v>
      </c>
      <c r="B1268" s="53" t="s">
        <v>1754</v>
      </c>
      <c r="C1268" s="53" t="s">
        <v>2425</v>
      </c>
      <c r="D1268" s="53" t="s">
        <v>3166</v>
      </c>
    </row>
    <row r="1269" spans="1:4">
      <c r="A1269" s="53" t="s">
        <v>1753</v>
      </c>
      <c r="B1269" s="53" t="s">
        <v>1754</v>
      </c>
      <c r="C1269" s="53" t="s">
        <v>2426</v>
      </c>
      <c r="D1269" s="53" t="s">
        <v>3456</v>
      </c>
    </row>
    <row r="1270" spans="1:4">
      <c r="A1270" s="53" t="s">
        <v>1753</v>
      </c>
      <c r="B1270" s="53" t="s">
        <v>1754</v>
      </c>
      <c r="C1270" s="53" t="s">
        <v>2427</v>
      </c>
      <c r="D1270" s="53" t="s">
        <v>929</v>
      </c>
    </row>
    <row r="1271" spans="1:4">
      <c r="A1271" s="53" t="s">
        <v>1753</v>
      </c>
      <c r="B1271" s="53" t="s">
        <v>1754</v>
      </c>
      <c r="C1271" s="53" t="s">
        <v>2428</v>
      </c>
      <c r="D1271" s="53" t="s">
        <v>930</v>
      </c>
    </row>
    <row r="1272" spans="1:4">
      <c r="A1272" s="53" t="s">
        <v>1753</v>
      </c>
      <c r="B1272" s="53" t="s">
        <v>1754</v>
      </c>
      <c r="C1272" s="53" t="s">
        <v>2429</v>
      </c>
      <c r="D1272" s="53" t="s">
        <v>938</v>
      </c>
    </row>
    <row r="1273" spans="1:4">
      <c r="A1273" s="53" t="s">
        <v>1753</v>
      </c>
      <c r="B1273" s="53" t="s">
        <v>1754</v>
      </c>
      <c r="C1273" s="53" t="s">
        <v>2430</v>
      </c>
      <c r="D1273" s="53" t="s">
        <v>939</v>
      </c>
    </row>
    <row r="1274" spans="1:4">
      <c r="A1274" s="53" t="s">
        <v>1753</v>
      </c>
      <c r="B1274" s="53" t="s">
        <v>1754</v>
      </c>
      <c r="C1274" s="53" t="s">
        <v>2431</v>
      </c>
      <c r="D1274" s="53" t="s">
        <v>940</v>
      </c>
    </row>
    <row r="1275" spans="1:4">
      <c r="A1275" s="53" t="s">
        <v>1753</v>
      </c>
      <c r="B1275" s="53" t="s">
        <v>1754</v>
      </c>
      <c r="C1275" s="53" t="s">
        <v>2432</v>
      </c>
      <c r="D1275" s="53" t="s">
        <v>3294</v>
      </c>
    </row>
    <row r="1276" spans="1:4">
      <c r="A1276" s="53" t="s">
        <v>1753</v>
      </c>
      <c r="B1276" s="53" t="s">
        <v>1754</v>
      </c>
      <c r="C1276" s="53" t="s">
        <v>1961</v>
      </c>
      <c r="D1276" s="53" t="s">
        <v>3295</v>
      </c>
    </row>
    <row r="1277" spans="1:4">
      <c r="A1277" s="53" t="s">
        <v>3296</v>
      </c>
      <c r="B1277" s="53" t="s">
        <v>3297</v>
      </c>
      <c r="C1277" s="53" t="s">
        <v>3354</v>
      </c>
      <c r="D1277" s="53" t="s">
        <v>3298</v>
      </c>
    </row>
    <row r="1278" spans="1:4">
      <c r="A1278" s="53" t="s">
        <v>3296</v>
      </c>
      <c r="B1278" s="53" t="s">
        <v>3297</v>
      </c>
      <c r="C1278" s="53" t="s">
        <v>1964</v>
      </c>
      <c r="D1278" s="53" t="s">
        <v>4412</v>
      </c>
    </row>
    <row r="1279" spans="1:4">
      <c r="A1279" s="53" t="s">
        <v>3296</v>
      </c>
      <c r="B1279" s="53" t="s">
        <v>3297</v>
      </c>
      <c r="C1279" s="53" t="s">
        <v>1965</v>
      </c>
      <c r="D1279" s="53" t="s">
        <v>482</v>
      </c>
    </row>
    <row r="1280" spans="1:4">
      <c r="A1280" s="53" t="s">
        <v>3296</v>
      </c>
      <c r="B1280" s="53" t="s">
        <v>3297</v>
      </c>
      <c r="C1280" s="53" t="s">
        <v>1966</v>
      </c>
      <c r="D1280" s="53" t="s">
        <v>2622</v>
      </c>
    </row>
    <row r="1281" spans="1:4">
      <c r="A1281" s="53" t="s">
        <v>3296</v>
      </c>
      <c r="B1281" s="53" t="s">
        <v>3297</v>
      </c>
      <c r="C1281" s="53" t="s">
        <v>1967</v>
      </c>
      <c r="D1281" s="53" t="s">
        <v>2623</v>
      </c>
    </row>
    <row r="1282" spans="1:4">
      <c r="A1282" s="53" t="s">
        <v>3296</v>
      </c>
      <c r="B1282" s="53" t="s">
        <v>3297</v>
      </c>
      <c r="C1282" s="53" t="s">
        <v>1968</v>
      </c>
      <c r="D1282" s="53" t="s">
        <v>2624</v>
      </c>
    </row>
    <row r="1283" spans="1:4">
      <c r="A1283" s="53" t="s">
        <v>3296</v>
      </c>
      <c r="B1283" s="53" t="s">
        <v>3297</v>
      </c>
      <c r="C1283" s="53" t="s">
        <v>1969</v>
      </c>
      <c r="D1283" s="53" t="s">
        <v>2625</v>
      </c>
    </row>
    <row r="1284" spans="1:4">
      <c r="A1284" s="53" t="s">
        <v>3296</v>
      </c>
      <c r="B1284" s="53" t="s">
        <v>3297</v>
      </c>
      <c r="C1284" s="53" t="s">
        <v>1970</v>
      </c>
      <c r="D1284" s="53" t="s">
        <v>11</v>
      </c>
    </row>
    <row r="1285" spans="1:4">
      <c r="A1285" s="53" t="s">
        <v>3296</v>
      </c>
      <c r="B1285" s="53" t="s">
        <v>3297</v>
      </c>
      <c r="C1285" s="53" t="s">
        <v>1971</v>
      </c>
      <c r="D1285" s="53" t="s">
        <v>12</v>
      </c>
    </row>
    <row r="1286" spans="1:4">
      <c r="A1286" s="53" t="s">
        <v>3296</v>
      </c>
      <c r="B1286" s="53" t="s">
        <v>3297</v>
      </c>
      <c r="C1286" s="53" t="s">
        <v>1972</v>
      </c>
      <c r="D1286" s="53" t="s">
        <v>1699</v>
      </c>
    </row>
    <row r="1287" spans="1:4">
      <c r="A1287" s="53" t="s">
        <v>3296</v>
      </c>
      <c r="B1287" s="53" t="s">
        <v>3297</v>
      </c>
      <c r="C1287" s="53" t="s">
        <v>1973</v>
      </c>
      <c r="D1287" s="53" t="s">
        <v>1700</v>
      </c>
    </row>
    <row r="1288" spans="1:4">
      <c r="A1288" s="53" t="s">
        <v>3296</v>
      </c>
      <c r="B1288" s="53" t="s">
        <v>3297</v>
      </c>
      <c r="C1288" s="53" t="s">
        <v>1974</v>
      </c>
      <c r="D1288" s="53" t="s">
        <v>3072</v>
      </c>
    </row>
    <row r="1289" spans="1:4">
      <c r="A1289" s="53" t="s">
        <v>3296</v>
      </c>
      <c r="B1289" s="53" t="s">
        <v>3297</v>
      </c>
      <c r="C1289" s="53" t="s">
        <v>1975</v>
      </c>
      <c r="D1289" s="53" t="s">
        <v>3073</v>
      </c>
    </row>
    <row r="1290" spans="1:4">
      <c r="A1290" s="53" t="s">
        <v>3296</v>
      </c>
      <c r="B1290" s="53" t="s">
        <v>3297</v>
      </c>
      <c r="C1290" s="53" t="s">
        <v>1976</v>
      </c>
      <c r="D1290" s="53" t="s">
        <v>2151</v>
      </c>
    </row>
    <row r="1291" spans="1:4">
      <c r="A1291" s="53" t="s">
        <v>3296</v>
      </c>
      <c r="B1291" s="53" t="s">
        <v>3297</v>
      </c>
      <c r="C1291" s="53" t="s">
        <v>1977</v>
      </c>
      <c r="D1291" s="53" t="s">
        <v>2152</v>
      </c>
    </row>
    <row r="1292" spans="1:4">
      <c r="A1292" s="53" t="s">
        <v>3296</v>
      </c>
      <c r="B1292" s="53" t="s">
        <v>3297</v>
      </c>
      <c r="C1292" s="53" t="s">
        <v>1978</v>
      </c>
      <c r="D1292" s="53" t="s">
        <v>2153</v>
      </c>
    </row>
    <row r="1293" spans="1:4">
      <c r="A1293" s="53" t="s">
        <v>2154</v>
      </c>
      <c r="B1293" s="53" t="s">
        <v>2514</v>
      </c>
      <c r="C1293" s="53" t="s">
        <v>3354</v>
      </c>
      <c r="D1293" s="53" t="s">
        <v>4054</v>
      </c>
    </row>
    <row r="1294" spans="1:4">
      <c r="A1294" s="53" t="s">
        <v>2154</v>
      </c>
      <c r="B1294" s="53" t="s">
        <v>2514</v>
      </c>
      <c r="C1294" s="53" t="s">
        <v>1964</v>
      </c>
      <c r="D1294" s="53" t="s">
        <v>1278</v>
      </c>
    </row>
    <row r="1295" spans="1:4">
      <c r="A1295" s="53" t="s">
        <v>2154</v>
      </c>
      <c r="B1295" s="53" t="s">
        <v>2514</v>
      </c>
      <c r="C1295" s="53" t="s">
        <v>1965</v>
      </c>
      <c r="D1295" s="53" t="s">
        <v>1279</v>
      </c>
    </row>
    <row r="1296" spans="1:4">
      <c r="A1296" s="53" t="s">
        <v>2154</v>
      </c>
      <c r="B1296" s="53" t="s">
        <v>2514</v>
      </c>
      <c r="C1296" s="53" t="s">
        <v>1966</v>
      </c>
      <c r="D1296" s="53" t="s">
        <v>2886</v>
      </c>
    </row>
    <row r="1297" spans="1:4">
      <c r="A1297" s="53" t="s">
        <v>2154</v>
      </c>
      <c r="B1297" s="53" t="s">
        <v>2514</v>
      </c>
      <c r="C1297" s="53" t="s">
        <v>1967</v>
      </c>
      <c r="D1297" s="53" t="s">
        <v>2829</v>
      </c>
    </row>
    <row r="1298" spans="1:4">
      <c r="A1298" s="53" t="s">
        <v>2154</v>
      </c>
      <c r="B1298" s="53" t="s">
        <v>2514</v>
      </c>
      <c r="C1298" s="53" t="s">
        <v>1968</v>
      </c>
      <c r="D1298" s="53" t="s">
        <v>2830</v>
      </c>
    </row>
    <row r="1299" spans="1:4">
      <c r="A1299" s="53" t="s">
        <v>2154</v>
      </c>
      <c r="B1299" s="53" t="s">
        <v>2514</v>
      </c>
      <c r="C1299" s="53" t="s">
        <v>1969</v>
      </c>
      <c r="D1299" s="53" t="s">
        <v>2831</v>
      </c>
    </row>
    <row r="1300" spans="1:4">
      <c r="A1300" s="53" t="s">
        <v>2154</v>
      </c>
      <c r="B1300" s="53" t="s">
        <v>2514</v>
      </c>
      <c r="C1300" s="53" t="s">
        <v>1970</v>
      </c>
      <c r="D1300" s="53" t="s">
        <v>2832</v>
      </c>
    </row>
    <row r="1301" spans="1:4">
      <c r="A1301" s="53" t="s">
        <v>2154</v>
      </c>
      <c r="B1301" s="53" t="s">
        <v>2514</v>
      </c>
      <c r="C1301" s="53" t="s">
        <v>1971</v>
      </c>
      <c r="D1301" s="53" t="s">
        <v>2833</v>
      </c>
    </row>
    <row r="1302" spans="1:4">
      <c r="A1302" s="53" t="s">
        <v>2154</v>
      </c>
      <c r="B1302" s="53" t="s">
        <v>2514</v>
      </c>
      <c r="C1302" s="53" t="s">
        <v>1972</v>
      </c>
      <c r="D1302" s="53" t="s">
        <v>2834</v>
      </c>
    </row>
    <row r="1303" spans="1:4">
      <c r="A1303" s="53" t="s">
        <v>2154</v>
      </c>
      <c r="B1303" s="53" t="s">
        <v>2514</v>
      </c>
      <c r="C1303" s="53" t="s">
        <v>1973</v>
      </c>
      <c r="D1303" s="53" t="s">
        <v>3992</v>
      </c>
    </row>
    <row r="1304" spans="1:4">
      <c r="A1304" s="53" t="s">
        <v>2154</v>
      </c>
      <c r="B1304" s="53" t="s">
        <v>2514</v>
      </c>
      <c r="C1304" s="53" t="s">
        <v>1974</v>
      </c>
      <c r="D1304" s="53" t="s">
        <v>3993</v>
      </c>
    </row>
    <row r="1305" spans="1:4">
      <c r="A1305" s="53" t="s">
        <v>2154</v>
      </c>
      <c r="B1305" s="53" t="s">
        <v>2514</v>
      </c>
      <c r="C1305" s="53" t="s">
        <v>1975</v>
      </c>
      <c r="D1305" s="53" t="s">
        <v>1244</v>
      </c>
    </row>
    <row r="1306" spans="1:4">
      <c r="A1306" s="53" t="s">
        <v>2154</v>
      </c>
      <c r="B1306" s="53" t="s">
        <v>2514</v>
      </c>
      <c r="C1306" s="53" t="s">
        <v>1976</v>
      </c>
      <c r="D1306" s="53" t="s">
        <v>3738</v>
      </c>
    </row>
    <row r="1307" spans="1:4">
      <c r="A1307" s="53" t="s">
        <v>2154</v>
      </c>
      <c r="B1307" s="53" t="s">
        <v>2514</v>
      </c>
      <c r="C1307" s="53" t="s">
        <v>1977</v>
      </c>
      <c r="D1307" s="53" t="s">
        <v>3739</v>
      </c>
    </row>
    <row r="1308" spans="1:4">
      <c r="A1308" s="53" t="s">
        <v>2154</v>
      </c>
      <c r="B1308" s="53" t="s">
        <v>2514</v>
      </c>
      <c r="C1308" s="53" t="s">
        <v>1978</v>
      </c>
      <c r="D1308" s="53" t="s">
        <v>3703</v>
      </c>
    </row>
    <row r="1309" spans="1:4">
      <c r="A1309" s="53" t="s">
        <v>2154</v>
      </c>
      <c r="B1309" s="53" t="s">
        <v>2514</v>
      </c>
      <c r="C1309" s="53" t="s">
        <v>1979</v>
      </c>
      <c r="D1309" s="53" t="s">
        <v>3056</v>
      </c>
    </row>
    <row r="1310" spans="1:4">
      <c r="A1310" s="53" t="s">
        <v>2154</v>
      </c>
      <c r="B1310" s="53" t="s">
        <v>2514</v>
      </c>
      <c r="C1310" s="53" t="s">
        <v>1980</v>
      </c>
      <c r="D1310" s="53" t="s">
        <v>3057</v>
      </c>
    </row>
    <row r="1311" spans="1:4">
      <c r="A1311" s="53" t="s">
        <v>3058</v>
      </c>
      <c r="B1311" s="53" t="s">
        <v>840</v>
      </c>
      <c r="C1311" s="53" t="s">
        <v>3354</v>
      </c>
      <c r="D1311" s="53" t="s">
        <v>841</v>
      </c>
    </row>
    <row r="1312" spans="1:4">
      <c r="A1312" s="53" t="s">
        <v>3058</v>
      </c>
      <c r="B1312" s="53" t="s">
        <v>840</v>
      </c>
      <c r="C1312" s="53" t="s">
        <v>1964</v>
      </c>
      <c r="D1312" s="53" t="s">
        <v>842</v>
      </c>
    </row>
    <row r="1313" spans="1:4">
      <c r="A1313" s="53" t="s">
        <v>3058</v>
      </c>
      <c r="B1313" s="53" t="s">
        <v>840</v>
      </c>
      <c r="C1313" s="53" t="s">
        <v>1965</v>
      </c>
      <c r="D1313" s="53" t="s">
        <v>843</v>
      </c>
    </row>
    <row r="1314" spans="1:4">
      <c r="A1314" s="53" t="s">
        <v>3058</v>
      </c>
      <c r="B1314" s="53" t="s">
        <v>840</v>
      </c>
      <c r="C1314" s="53" t="s">
        <v>1966</v>
      </c>
      <c r="D1314" s="53" t="s">
        <v>1355</v>
      </c>
    </row>
    <row r="1315" spans="1:4">
      <c r="A1315" s="53" t="s">
        <v>1356</v>
      </c>
      <c r="B1315" s="53" t="s">
        <v>1357</v>
      </c>
      <c r="C1315" s="53" t="s">
        <v>3354</v>
      </c>
      <c r="D1315" s="53" t="s">
        <v>1750</v>
      </c>
    </row>
    <row r="1316" spans="1:4">
      <c r="A1316" s="53" t="s">
        <v>1356</v>
      </c>
      <c r="B1316" s="53" t="s">
        <v>1357</v>
      </c>
      <c r="C1316" s="53" t="s">
        <v>1964</v>
      </c>
      <c r="D1316" s="53" t="s">
        <v>1751</v>
      </c>
    </row>
    <row r="1317" spans="1:4">
      <c r="A1317" s="53" t="s">
        <v>1356</v>
      </c>
      <c r="B1317" s="53" t="s">
        <v>1357</v>
      </c>
      <c r="C1317" s="53" t="s">
        <v>1965</v>
      </c>
      <c r="D1317" s="53" t="s">
        <v>3409</v>
      </c>
    </row>
    <row r="1318" spans="1:4">
      <c r="A1318" s="53" t="s">
        <v>1356</v>
      </c>
      <c r="B1318" s="53" t="s">
        <v>1357</v>
      </c>
      <c r="C1318" s="53" t="s">
        <v>1966</v>
      </c>
      <c r="D1318" s="53" t="s">
        <v>3410</v>
      </c>
    </row>
    <row r="1319" spans="1:4">
      <c r="A1319" s="53" t="s">
        <v>1356</v>
      </c>
      <c r="B1319" s="53" t="s">
        <v>1357</v>
      </c>
      <c r="C1319" s="53" t="s">
        <v>1967</v>
      </c>
      <c r="D1319" s="53" t="s">
        <v>3411</v>
      </c>
    </row>
    <row r="1320" spans="1:4">
      <c r="A1320" s="53" t="s">
        <v>1356</v>
      </c>
      <c r="B1320" s="53" t="s">
        <v>1357</v>
      </c>
      <c r="C1320" s="53" t="s">
        <v>1968</v>
      </c>
      <c r="D1320" s="53" t="s">
        <v>3412</v>
      </c>
    </row>
    <row r="1321" spans="1:4">
      <c r="A1321" s="53" t="s">
        <v>1356</v>
      </c>
      <c r="B1321" s="53" t="s">
        <v>1357</v>
      </c>
      <c r="C1321" s="53" t="s">
        <v>1969</v>
      </c>
      <c r="D1321" s="53" t="s">
        <v>3413</v>
      </c>
    </row>
    <row r="1322" spans="1:4">
      <c r="A1322" s="53" t="s">
        <v>1356</v>
      </c>
      <c r="B1322" s="53" t="s">
        <v>1357</v>
      </c>
      <c r="C1322" s="53" t="s">
        <v>1970</v>
      </c>
      <c r="D1322" s="53" t="s">
        <v>3299</v>
      </c>
    </row>
    <row r="1323" spans="1:4">
      <c r="A1323" s="53" t="s">
        <v>1356</v>
      </c>
      <c r="B1323" s="53" t="s">
        <v>1357</v>
      </c>
      <c r="C1323" s="53" t="s">
        <v>1971</v>
      </c>
      <c r="D1323" s="53" t="s">
        <v>3300</v>
      </c>
    </row>
    <row r="1324" spans="1:4">
      <c r="A1324" s="53" t="s">
        <v>1356</v>
      </c>
      <c r="B1324" s="53" t="s">
        <v>1357</v>
      </c>
      <c r="C1324" s="53" t="s">
        <v>1972</v>
      </c>
      <c r="D1324" s="53" t="s">
        <v>3301</v>
      </c>
    </row>
    <row r="1325" spans="1:4">
      <c r="A1325" s="53" t="s">
        <v>1356</v>
      </c>
      <c r="B1325" s="53" t="s">
        <v>1357</v>
      </c>
      <c r="C1325" s="53" t="s">
        <v>1973</v>
      </c>
      <c r="D1325" s="53" t="s">
        <v>3302</v>
      </c>
    </row>
    <row r="1326" spans="1:4">
      <c r="A1326" s="53" t="s">
        <v>1356</v>
      </c>
      <c r="B1326" s="53" t="s">
        <v>1357</v>
      </c>
      <c r="C1326" s="53" t="s">
        <v>1974</v>
      </c>
      <c r="D1326" s="53" t="s">
        <v>3303</v>
      </c>
    </row>
    <row r="1327" spans="1:4">
      <c r="A1327" s="53" t="s">
        <v>1356</v>
      </c>
      <c r="B1327" s="53" t="s">
        <v>1357</v>
      </c>
      <c r="C1327" s="53" t="s">
        <v>1975</v>
      </c>
      <c r="D1327" s="53" t="s">
        <v>1757</v>
      </c>
    </row>
    <row r="1328" spans="1:4">
      <c r="A1328" s="53" t="s">
        <v>1758</v>
      </c>
      <c r="B1328" s="53" t="s">
        <v>1073</v>
      </c>
      <c r="C1328" s="53" t="s">
        <v>3354</v>
      </c>
      <c r="D1328" s="53" t="s">
        <v>1074</v>
      </c>
    </row>
    <row r="1329" spans="1:4">
      <c r="A1329" s="53" t="s">
        <v>1758</v>
      </c>
      <c r="B1329" s="53" t="s">
        <v>1073</v>
      </c>
      <c r="C1329" s="53" t="s">
        <v>1964</v>
      </c>
      <c r="D1329" s="53" t="s">
        <v>1075</v>
      </c>
    </row>
    <row r="1330" spans="1:4">
      <c r="A1330" s="53" t="s">
        <v>1758</v>
      </c>
      <c r="B1330" s="53" t="s">
        <v>1073</v>
      </c>
      <c r="C1330" s="53" t="s">
        <v>1965</v>
      </c>
      <c r="D1330" s="53" t="s">
        <v>2283</v>
      </c>
    </row>
    <row r="1331" spans="1:4">
      <c r="A1331" s="53" t="s">
        <v>1758</v>
      </c>
      <c r="B1331" s="53" t="s">
        <v>1073</v>
      </c>
      <c r="C1331" s="53" t="s">
        <v>1966</v>
      </c>
      <c r="D1331" s="53" t="s">
        <v>2284</v>
      </c>
    </row>
    <row r="1332" spans="1:4">
      <c r="A1332" s="53" t="s">
        <v>1758</v>
      </c>
      <c r="B1332" s="53" t="s">
        <v>1073</v>
      </c>
      <c r="C1332" s="53" t="s">
        <v>1967</v>
      </c>
      <c r="D1332" s="53" t="s">
        <v>2285</v>
      </c>
    </row>
    <row r="1333" spans="1:4">
      <c r="A1333" s="53" t="s">
        <v>1758</v>
      </c>
      <c r="B1333" s="53" t="s">
        <v>1073</v>
      </c>
      <c r="C1333" s="53" t="s">
        <v>1968</v>
      </c>
      <c r="D1333" s="53" t="s">
        <v>865</v>
      </c>
    </row>
    <row r="1334" spans="1:4">
      <c r="A1334" s="53" t="s">
        <v>1758</v>
      </c>
      <c r="B1334" s="53" t="s">
        <v>1073</v>
      </c>
      <c r="C1334" s="53" t="s">
        <v>1969</v>
      </c>
      <c r="D1334" s="53" t="s">
        <v>866</v>
      </c>
    </row>
    <row r="1335" spans="1:4">
      <c r="A1335" s="53" t="s">
        <v>1758</v>
      </c>
      <c r="B1335" s="53" t="s">
        <v>1073</v>
      </c>
      <c r="C1335" s="53" t="s">
        <v>1970</v>
      </c>
      <c r="D1335" s="53" t="s">
        <v>867</v>
      </c>
    </row>
    <row r="1336" spans="1:4">
      <c r="A1336" s="53" t="s">
        <v>1758</v>
      </c>
      <c r="B1336" s="53" t="s">
        <v>1073</v>
      </c>
      <c r="C1336" s="53" t="s">
        <v>1971</v>
      </c>
      <c r="D1336" s="53" t="s">
        <v>868</v>
      </c>
    </row>
    <row r="1337" spans="1:4">
      <c r="A1337" s="53" t="s">
        <v>869</v>
      </c>
      <c r="B1337" s="53" t="s">
        <v>4082</v>
      </c>
      <c r="C1337" s="53" t="s">
        <v>3354</v>
      </c>
      <c r="D1337" s="53" t="s">
        <v>4083</v>
      </c>
    </row>
    <row r="1338" spans="1:4">
      <c r="A1338" s="53" t="s">
        <v>869</v>
      </c>
      <c r="B1338" s="53" t="s">
        <v>4082</v>
      </c>
      <c r="C1338" s="53" t="s">
        <v>1964</v>
      </c>
      <c r="D1338" s="53" t="s">
        <v>2577</v>
      </c>
    </row>
    <row r="1339" spans="1:4">
      <c r="A1339" s="53" t="s">
        <v>869</v>
      </c>
      <c r="B1339" s="53" t="s">
        <v>4082</v>
      </c>
      <c r="C1339" s="53" t="s">
        <v>1965</v>
      </c>
      <c r="D1339" s="53" t="s">
        <v>2578</v>
      </c>
    </row>
    <row r="1340" spans="1:4">
      <c r="A1340" s="53" t="s">
        <v>869</v>
      </c>
      <c r="B1340" s="53" t="s">
        <v>4082</v>
      </c>
      <c r="C1340" s="53" t="s">
        <v>1966</v>
      </c>
      <c r="D1340" s="53" t="s">
        <v>2579</v>
      </c>
    </row>
    <row r="1341" spans="1:4">
      <c r="A1341" s="53" t="s">
        <v>869</v>
      </c>
      <c r="B1341" s="53" t="s">
        <v>4082</v>
      </c>
      <c r="C1341" s="53" t="s">
        <v>1967</v>
      </c>
      <c r="D1341" s="53" t="s">
        <v>3123</v>
      </c>
    </row>
    <row r="1342" spans="1:4">
      <c r="A1342" s="53" t="s">
        <v>869</v>
      </c>
      <c r="B1342" s="53" t="s">
        <v>4082</v>
      </c>
      <c r="C1342" s="53" t="s">
        <v>1968</v>
      </c>
      <c r="D1342" s="53" t="s">
        <v>2305</v>
      </c>
    </row>
    <row r="1343" spans="1:4">
      <c r="A1343" s="53" t="s">
        <v>869</v>
      </c>
      <c r="B1343" s="53" t="s">
        <v>4082</v>
      </c>
      <c r="C1343" s="53" t="s">
        <v>1969</v>
      </c>
      <c r="D1343" s="53" t="s">
        <v>2306</v>
      </c>
    </row>
    <row r="1344" spans="1:4">
      <c r="A1344" s="53" t="s">
        <v>869</v>
      </c>
      <c r="B1344" s="53" t="s">
        <v>4082</v>
      </c>
      <c r="C1344" s="53" t="s">
        <v>1970</v>
      </c>
      <c r="D1344" s="53" t="s">
        <v>3134</v>
      </c>
    </row>
    <row r="1345" spans="1:4">
      <c r="A1345" s="53" t="s">
        <v>869</v>
      </c>
      <c r="B1345" s="53" t="s">
        <v>4082</v>
      </c>
      <c r="C1345" s="53" t="s">
        <v>1971</v>
      </c>
      <c r="D1345" s="53" t="s">
        <v>3135</v>
      </c>
    </row>
    <row r="1346" spans="1:4">
      <c r="A1346" s="53" t="s">
        <v>869</v>
      </c>
      <c r="B1346" s="53" t="s">
        <v>4082</v>
      </c>
      <c r="C1346" s="53" t="s">
        <v>1972</v>
      </c>
      <c r="D1346" s="53" t="s">
        <v>417</v>
      </c>
    </row>
    <row r="1347" spans="1:4">
      <c r="A1347" s="53" t="s">
        <v>869</v>
      </c>
      <c r="B1347" s="53" t="s">
        <v>4082</v>
      </c>
      <c r="C1347" s="53" t="s">
        <v>1973</v>
      </c>
      <c r="D1347" s="53" t="s">
        <v>418</v>
      </c>
    </row>
    <row r="1348" spans="1:4">
      <c r="A1348" s="53" t="s">
        <v>869</v>
      </c>
      <c r="B1348" s="53" t="s">
        <v>4082</v>
      </c>
      <c r="C1348" s="53" t="s">
        <v>1974</v>
      </c>
      <c r="D1348" s="53" t="s">
        <v>419</v>
      </c>
    </row>
    <row r="1349" spans="1:4">
      <c r="A1349" s="53" t="s">
        <v>869</v>
      </c>
      <c r="B1349" s="53" t="s">
        <v>4082</v>
      </c>
      <c r="C1349" s="53" t="s">
        <v>1975</v>
      </c>
      <c r="D1349" s="53" t="s">
        <v>610</v>
      </c>
    </row>
    <row r="1350" spans="1:4">
      <c r="A1350" s="53" t="s">
        <v>869</v>
      </c>
      <c r="B1350" s="53" t="s">
        <v>4082</v>
      </c>
      <c r="C1350" s="53" t="s">
        <v>1976</v>
      </c>
      <c r="D1350" s="53" t="s">
        <v>2837</v>
      </c>
    </row>
    <row r="1351" spans="1:4">
      <c r="A1351" s="53" t="s">
        <v>869</v>
      </c>
      <c r="B1351" s="53" t="s">
        <v>4082</v>
      </c>
      <c r="C1351" s="53" t="s">
        <v>1977</v>
      </c>
      <c r="D1351" s="53" t="s">
        <v>2838</v>
      </c>
    </row>
    <row r="1352" spans="1:4">
      <c r="A1352" s="53" t="s">
        <v>869</v>
      </c>
      <c r="B1352" s="53" t="s">
        <v>4082</v>
      </c>
      <c r="C1352" s="53" t="s">
        <v>1978</v>
      </c>
      <c r="D1352" s="53" t="s">
        <v>2839</v>
      </c>
    </row>
    <row r="1353" spans="1:4">
      <c r="A1353" s="53" t="s">
        <v>869</v>
      </c>
      <c r="B1353" s="53" t="s">
        <v>4082</v>
      </c>
      <c r="C1353" s="53" t="s">
        <v>1979</v>
      </c>
      <c r="D1353" s="53" t="s">
        <v>2840</v>
      </c>
    </row>
    <row r="1354" spans="1:4">
      <c r="A1354" s="53" t="s">
        <v>869</v>
      </c>
      <c r="B1354" s="53" t="s">
        <v>4082</v>
      </c>
      <c r="C1354" s="53" t="s">
        <v>1980</v>
      </c>
      <c r="D1354" s="53" t="s">
        <v>2841</v>
      </c>
    </row>
    <row r="1355" spans="1:4">
      <c r="A1355" s="53" t="s">
        <v>869</v>
      </c>
      <c r="B1355" s="53" t="s">
        <v>4082</v>
      </c>
      <c r="C1355" s="53" t="s">
        <v>1981</v>
      </c>
      <c r="D1355" s="53" t="s">
        <v>3996</v>
      </c>
    </row>
    <row r="1356" spans="1:4">
      <c r="A1356" s="53" t="s">
        <v>869</v>
      </c>
      <c r="B1356" s="53" t="s">
        <v>4082</v>
      </c>
      <c r="C1356" s="53" t="s">
        <v>1982</v>
      </c>
      <c r="D1356" s="53" t="s">
        <v>3997</v>
      </c>
    </row>
    <row r="1357" spans="1:4">
      <c r="A1357" s="53" t="s">
        <v>869</v>
      </c>
      <c r="B1357" s="53" t="s">
        <v>4082</v>
      </c>
      <c r="C1357" s="53" t="s">
        <v>4150</v>
      </c>
      <c r="D1357" s="53" t="s">
        <v>3998</v>
      </c>
    </row>
    <row r="1358" spans="1:4">
      <c r="A1358" s="53" t="s">
        <v>869</v>
      </c>
      <c r="B1358" s="53" t="s">
        <v>4082</v>
      </c>
      <c r="C1358" s="53" t="s">
        <v>4151</v>
      </c>
      <c r="D1358" s="53" t="s">
        <v>3999</v>
      </c>
    </row>
    <row r="1359" spans="1:4">
      <c r="A1359" s="53" t="s">
        <v>869</v>
      </c>
      <c r="B1359" s="53" t="s">
        <v>4082</v>
      </c>
      <c r="C1359" s="53" t="s">
        <v>4152</v>
      </c>
      <c r="D1359" s="53" t="s">
        <v>4000</v>
      </c>
    </row>
    <row r="1360" spans="1:4">
      <c r="A1360" s="53" t="s">
        <v>869</v>
      </c>
      <c r="B1360" s="53" t="s">
        <v>4082</v>
      </c>
      <c r="C1360" s="53" t="s">
        <v>4153</v>
      </c>
      <c r="D1360" s="53" t="s">
        <v>773</v>
      </c>
    </row>
    <row r="1361" spans="1:4">
      <c r="A1361" s="53" t="s">
        <v>869</v>
      </c>
      <c r="B1361" s="53" t="s">
        <v>4082</v>
      </c>
      <c r="C1361" s="53" t="s">
        <v>4154</v>
      </c>
      <c r="D1361" s="53" t="s">
        <v>2094</v>
      </c>
    </row>
    <row r="1362" spans="1:4">
      <c r="A1362" s="53" t="s">
        <v>869</v>
      </c>
      <c r="B1362" s="53" t="s">
        <v>4082</v>
      </c>
      <c r="C1362" s="53" t="s">
        <v>4155</v>
      </c>
      <c r="D1362" s="53" t="s">
        <v>993</v>
      </c>
    </row>
    <row r="1363" spans="1:4">
      <c r="A1363" s="53" t="s">
        <v>869</v>
      </c>
      <c r="B1363" s="53" t="s">
        <v>4082</v>
      </c>
      <c r="C1363" s="53" t="s">
        <v>4156</v>
      </c>
      <c r="D1363" s="53" t="s">
        <v>596</v>
      </c>
    </row>
    <row r="1364" spans="1:4">
      <c r="A1364" s="53" t="s">
        <v>869</v>
      </c>
      <c r="B1364" s="53" t="s">
        <v>4082</v>
      </c>
      <c r="C1364" s="53" t="s">
        <v>4157</v>
      </c>
      <c r="D1364" s="53" t="s">
        <v>3658</v>
      </c>
    </row>
    <row r="1365" spans="1:4">
      <c r="A1365" s="53" t="s">
        <v>869</v>
      </c>
      <c r="B1365" s="53" t="s">
        <v>4082</v>
      </c>
      <c r="C1365" s="53" t="s">
        <v>4158</v>
      </c>
      <c r="D1365" s="53" t="s">
        <v>2206</v>
      </c>
    </row>
    <row r="1366" spans="1:4">
      <c r="A1366" s="53" t="s">
        <v>869</v>
      </c>
      <c r="B1366" s="53" t="s">
        <v>4082</v>
      </c>
      <c r="C1366" s="53" t="s">
        <v>4159</v>
      </c>
      <c r="D1366" s="53" t="s">
        <v>2207</v>
      </c>
    </row>
    <row r="1367" spans="1:4">
      <c r="A1367" s="53" t="s">
        <v>869</v>
      </c>
      <c r="B1367" s="53" t="s">
        <v>4082</v>
      </c>
      <c r="C1367" s="53" t="s">
        <v>2424</v>
      </c>
      <c r="D1367" s="53" t="s">
        <v>803</v>
      </c>
    </row>
    <row r="1368" spans="1:4">
      <c r="A1368" s="53" t="s">
        <v>869</v>
      </c>
      <c r="B1368" s="53" t="s">
        <v>4082</v>
      </c>
      <c r="C1368" s="53" t="s">
        <v>2425</v>
      </c>
      <c r="D1368" s="53" t="s">
        <v>804</v>
      </c>
    </row>
    <row r="1369" spans="1:4">
      <c r="A1369" s="53" t="s">
        <v>869</v>
      </c>
      <c r="B1369" s="53" t="s">
        <v>4082</v>
      </c>
      <c r="C1369" s="53" t="s">
        <v>2426</v>
      </c>
      <c r="D1369" s="53" t="s">
        <v>3000</v>
      </c>
    </row>
    <row r="1370" spans="1:4">
      <c r="A1370" s="53" t="s">
        <v>869</v>
      </c>
      <c r="B1370" s="53" t="s">
        <v>4082</v>
      </c>
      <c r="C1370" s="53" t="s">
        <v>2427</v>
      </c>
      <c r="D1370" s="53" t="s">
        <v>3001</v>
      </c>
    </row>
    <row r="1371" spans="1:4">
      <c r="A1371" s="53" t="s">
        <v>869</v>
      </c>
      <c r="B1371" s="53" t="s">
        <v>4082</v>
      </c>
      <c r="C1371" s="53" t="s">
        <v>2428</v>
      </c>
      <c r="D1371" s="53" t="s">
        <v>1722</v>
      </c>
    </row>
    <row r="1372" spans="1:4">
      <c r="A1372" s="53" t="s">
        <v>869</v>
      </c>
      <c r="B1372" s="53" t="s">
        <v>4082</v>
      </c>
      <c r="C1372" s="53" t="s">
        <v>2429</v>
      </c>
      <c r="D1372" s="53" t="s">
        <v>1723</v>
      </c>
    </row>
    <row r="1373" spans="1:4">
      <c r="A1373" s="53" t="s">
        <v>869</v>
      </c>
      <c r="B1373" s="53" t="s">
        <v>4082</v>
      </c>
      <c r="C1373" s="53" t="s">
        <v>2430</v>
      </c>
      <c r="D1373" s="53" t="s">
        <v>872</v>
      </c>
    </row>
    <row r="1374" spans="1:4">
      <c r="A1374" s="53" t="s">
        <v>869</v>
      </c>
      <c r="B1374" s="53" t="s">
        <v>4082</v>
      </c>
      <c r="C1374" s="53" t="s">
        <v>2431</v>
      </c>
      <c r="D1374" s="53" t="s">
        <v>873</v>
      </c>
    </row>
    <row r="1375" spans="1:4">
      <c r="A1375" s="53" t="s">
        <v>869</v>
      </c>
      <c r="B1375" s="53" t="s">
        <v>4082</v>
      </c>
      <c r="C1375" s="53" t="s">
        <v>2432</v>
      </c>
      <c r="D1375" s="53" t="s">
        <v>874</v>
      </c>
    </row>
    <row r="1376" spans="1:4">
      <c r="A1376" s="53" t="s">
        <v>869</v>
      </c>
      <c r="B1376" s="53" t="s">
        <v>4082</v>
      </c>
      <c r="C1376" s="53" t="s">
        <v>1961</v>
      </c>
      <c r="D1376" s="53" t="s">
        <v>875</v>
      </c>
    </row>
    <row r="1377" spans="1:4">
      <c r="A1377" s="53" t="s">
        <v>869</v>
      </c>
      <c r="B1377" s="53" t="s">
        <v>4082</v>
      </c>
      <c r="C1377" s="53" t="s">
        <v>1962</v>
      </c>
      <c r="D1377" s="53" t="s">
        <v>876</v>
      </c>
    </row>
    <row r="1378" spans="1:4">
      <c r="A1378" s="53" t="s">
        <v>869</v>
      </c>
      <c r="B1378" s="53" t="s">
        <v>4082</v>
      </c>
      <c r="C1378" s="53" t="s">
        <v>1482</v>
      </c>
      <c r="D1378" s="53" t="s">
        <v>4235</v>
      </c>
    </row>
    <row r="1379" spans="1:4">
      <c r="A1379" s="53" t="s">
        <v>869</v>
      </c>
      <c r="B1379" s="53" t="s">
        <v>4082</v>
      </c>
      <c r="C1379" s="53" t="s">
        <v>1483</v>
      </c>
      <c r="D1379" s="53" t="s">
        <v>4236</v>
      </c>
    </row>
    <row r="1380" spans="1:4">
      <c r="A1380" s="53" t="s">
        <v>869</v>
      </c>
      <c r="B1380" s="53" t="s">
        <v>4082</v>
      </c>
      <c r="C1380" s="53" t="s">
        <v>278</v>
      </c>
      <c r="D1380" s="53" t="s">
        <v>4386</v>
      </c>
    </row>
    <row r="1381" spans="1:4">
      <c r="A1381" s="53" t="s">
        <v>869</v>
      </c>
      <c r="B1381" s="53" t="s">
        <v>4082</v>
      </c>
      <c r="C1381" s="53" t="s">
        <v>3501</v>
      </c>
      <c r="D1381" s="53" t="s">
        <v>4387</v>
      </c>
    </row>
    <row r="1382" spans="1:4">
      <c r="A1382" s="53" t="s">
        <v>869</v>
      </c>
      <c r="B1382" s="53" t="s">
        <v>4082</v>
      </c>
      <c r="C1382" s="53" t="s">
        <v>3503</v>
      </c>
      <c r="D1382" s="53" t="s">
        <v>4396</v>
      </c>
    </row>
    <row r="1383" spans="1:4">
      <c r="A1383" s="53" t="s">
        <v>4397</v>
      </c>
      <c r="B1383" s="53" t="s">
        <v>4398</v>
      </c>
      <c r="C1383" s="53" t="s">
        <v>3354</v>
      </c>
      <c r="D1383" s="53" t="s">
        <v>4399</v>
      </c>
    </row>
    <row r="1384" spans="1:4">
      <c r="A1384" s="53" t="s">
        <v>4397</v>
      </c>
      <c r="B1384" s="53" t="s">
        <v>4398</v>
      </c>
      <c r="C1384" s="53" t="s">
        <v>1964</v>
      </c>
      <c r="D1384" s="53" t="s">
        <v>4231</v>
      </c>
    </row>
    <row r="1385" spans="1:4">
      <c r="A1385" s="53" t="s">
        <v>4397</v>
      </c>
      <c r="B1385" s="53" t="s">
        <v>4398</v>
      </c>
      <c r="C1385" s="53" t="s">
        <v>1965</v>
      </c>
      <c r="D1385" s="53" t="s">
        <v>4408</v>
      </c>
    </row>
    <row r="1386" spans="1:4">
      <c r="A1386" s="53" t="s">
        <v>4397</v>
      </c>
      <c r="B1386" s="53" t="s">
        <v>4398</v>
      </c>
      <c r="C1386" s="53" t="s">
        <v>1966</v>
      </c>
      <c r="D1386" s="53" t="s">
        <v>4409</v>
      </c>
    </row>
    <row r="1387" spans="1:4">
      <c r="A1387" s="53" t="s">
        <v>4397</v>
      </c>
      <c r="B1387" s="53" t="s">
        <v>4398</v>
      </c>
      <c r="C1387" s="53" t="s">
        <v>1967</v>
      </c>
      <c r="D1387" s="53" t="s">
        <v>4410</v>
      </c>
    </row>
    <row r="1388" spans="1:4">
      <c r="A1388" s="53" t="s">
        <v>4397</v>
      </c>
      <c r="B1388" s="53" t="s">
        <v>4398</v>
      </c>
      <c r="C1388" s="53" t="s">
        <v>1968</v>
      </c>
      <c r="D1388" s="53" t="s">
        <v>595</v>
      </c>
    </row>
    <row r="1389" spans="1:4">
      <c r="A1389" s="53" t="s">
        <v>4397</v>
      </c>
      <c r="B1389" s="53" t="s">
        <v>4398</v>
      </c>
      <c r="C1389" s="53" t="s">
        <v>1969</v>
      </c>
      <c r="D1389" s="53" t="s">
        <v>2570</v>
      </c>
    </row>
    <row r="1390" spans="1:4">
      <c r="A1390" s="53" t="s">
        <v>4397</v>
      </c>
      <c r="B1390" s="53" t="s">
        <v>4398</v>
      </c>
      <c r="C1390" s="53" t="s">
        <v>1970</v>
      </c>
      <c r="D1390" s="53" t="s">
        <v>844</v>
      </c>
    </row>
    <row r="1391" spans="1:4">
      <c r="A1391" s="53" t="s">
        <v>4397</v>
      </c>
      <c r="B1391" s="53" t="s">
        <v>4398</v>
      </c>
      <c r="C1391" s="53" t="s">
        <v>1971</v>
      </c>
      <c r="D1391" s="53" t="s">
        <v>845</v>
      </c>
    </row>
    <row r="1392" spans="1:4">
      <c r="A1392" s="53" t="s">
        <v>4397</v>
      </c>
      <c r="B1392" s="53" t="s">
        <v>4398</v>
      </c>
      <c r="C1392" s="53" t="s">
        <v>1972</v>
      </c>
      <c r="D1392" s="53" t="s">
        <v>3164</v>
      </c>
    </row>
    <row r="1393" spans="1:4">
      <c r="A1393" s="53" t="s">
        <v>4397</v>
      </c>
      <c r="B1393" s="53" t="s">
        <v>4398</v>
      </c>
      <c r="C1393" s="53" t="s">
        <v>1973</v>
      </c>
      <c r="D1393" s="53" t="s">
        <v>1119</v>
      </c>
    </row>
    <row r="1394" spans="1:4">
      <c r="A1394" s="53" t="s">
        <v>4397</v>
      </c>
      <c r="B1394" s="53" t="s">
        <v>4398</v>
      </c>
      <c r="C1394" s="53" t="s">
        <v>1974</v>
      </c>
      <c r="D1394" s="53" t="s">
        <v>1690</v>
      </c>
    </row>
    <row r="1395" spans="1:4">
      <c r="A1395" s="53" t="s">
        <v>4397</v>
      </c>
      <c r="B1395" s="53" t="s">
        <v>4398</v>
      </c>
      <c r="C1395" s="53" t="s">
        <v>1975</v>
      </c>
      <c r="D1395" s="53" t="s">
        <v>1691</v>
      </c>
    </row>
    <row r="1396" spans="1:4">
      <c r="A1396" s="53" t="s">
        <v>4397</v>
      </c>
      <c r="B1396" s="53" t="s">
        <v>4398</v>
      </c>
      <c r="C1396" s="53" t="s">
        <v>1976</v>
      </c>
      <c r="D1396" s="53" t="s">
        <v>1258</v>
      </c>
    </row>
    <row r="1397" spans="1:4">
      <c r="A1397" s="53" t="s">
        <v>4397</v>
      </c>
      <c r="B1397" s="53" t="s">
        <v>4398</v>
      </c>
      <c r="C1397" s="53" t="s">
        <v>1977</v>
      </c>
      <c r="D1397" s="53" t="s">
        <v>2744</v>
      </c>
    </row>
    <row r="1398" spans="1:4">
      <c r="A1398" s="53" t="s">
        <v>4397</v>
      </c>
      <c r="B1398" s="53" t="s">
        <v>4398</v>
      </c>
      <c r="C1398" s="53" t="s">
        <v>1978</v>
      </c>
      <c r="D1398" s="53" t="s">
        <v>2745</v>
      </c>
    </row>
    <row r="1399" spans="1:4">
      <c r="A1399" s="53" t="s">
        <v>4397</v>
      </c>
      <c r="B1399" s="53" t="s">
        <v>4398</v>
      </c>
      <c r="C1399" s="53" t="s">
        <v>1979</v>
      </c>
      <c r="D1399" s="53" t="s">
        <v>2746</v>
      </c>
    </row>
    <row r="1400" spans="1:4">
      <c r="A1400" s="53" t="s">
        <v>4397</v>
      </c>
      <c r="B1400" s="53" t="s">
        <v>4398</v>
      </c>
      <c r="C1400" s="53" t="s">
        <v>1980</v>
      </c>
      <c r="D1400" s="53" t="s">
        <v>3841</v>
      </c>
    </row>
    <row r="1401" spans="1:4">
      <c r="A1401" s="53" t="s">
        <v>4397</v>
      </c>
      <c r="B1401" s="53" t="s">
        <v>4398</v>
      </c>
      <c r="C1401" s="53" t="s">
        <v>1981</v>
      </c>
      <c r="D1401" s="53" t="s">
        <v>3842</v>
      </c>
    </row>
    <row r="1402" spans="1:4">
      <c r="A1402" s="53" t="s">
        <v>4397</v>
      </c>
      <c r="B1402" s="53" t="s">
        <v>4398</v>
      </c>
      <c r="C1402" s="53" t="s">
        <v>1982</v>
      </c>
      <c r="D1402" s="53" t="s">
        <v>2544</v>
      </c>
    </row>
    <row r="1403" spans="1:4">
      <c r="A1403" s="53" t="s">
        <v>2545</v>
      </c>
      <c r="B1403" s="53" t="s">
        <v>4311</v>
      </c>
      <c r="C1403" s="53" t="s">
        <v>3354</v>
      </c>
      <c r="D1403" s="53" t="s">
        <v>4312</v>
      </c>
    </row>
    <row r="1404" spans="1:4">
      <c r="A1404" s="53" t="s">
        <v>2545</v>
      </c>
      <c r="B1404" s="53" t="s">
        <v>4311</v>
      </c>
      <c r="C1404" s="53" t="s">
        <v>1964</v>
      </c>
      <c r="D1404" s="53" t="s">
        <v>4313</v>
      </c>
    </row>
    <row r="1405" spans="1:4">
      <c r="A1405" s="53" t="s">
        <v>2545</v>
      </c>
      <c r="B1405" s="53" t="s">
        <v>4311</v>
      </c>
      <c r="C1405" s="53" t="s">
        <v>1965</v>
      </c>
      <c r="D1405" s="53" t="s">
        <v>1667</v>
      </c>
    </row>
    <row r="1406" spans="1:4">
      <c r="A1406" s="53" t="s">
        <v>2545</v>
      </c>
      <c r="B1406" s="53" t="s">
        <v>4311</v>
      </c>
      <c r="C1406" s="53" t="s">
        <v>1966</v>
      </c>
      <c r="D1406" s="53" t="s">
        <v>1812</v>
      </c>
    </row>
    <row r="1407" spans="1:4">
      <c r="A1407" s="53" t="s">
        <v>2545</v>
      </c>
      <c r="B1407" s="53" t="s">
        <v>4311</v>
      </c>
      <c r="C1407" s="53" t="s">
        <v>1967</v>
      </c>
      <c r="D1407" s="53" t="s">
        <v>1813</v>
      </c>
    </row>
    <row r="1408" spans="1:4">
      <c r="A1408" s="53" t="s">
        <v>2545</v>
      </c>
      <c r="B1408" s="53" t="s">
        <v>4311</v>
      </c>
      <c r="C1408" s="53" t="s">
        <v>1968</v>
      </c>
      <c r="D1408" s="53" t="s">
        <v>702</v>
      </c>
    </row>
    <row r="1409" spans="1:4">
      <c r="A1409" s="53" t="s">
        <v>2545</v>
      </c>
      <c r="B1409" s="53" t="s">
        <v>4311</v>
      </c>
      <c r="C1409" s="53" t="s">
        <v>1969</v>
      </c>
      <c r="D1409" s="53" t="s">
        <v>703</v>
      </c>
    </row>
    <row r="1410" spans="1:4">
      <c r="A1410" s="53" t="s">
        <v>2545</v>
      </c>
      <c r="B1410" s="53" t="s">
        <v>4311</v>
      </c>
      <c r="C1410" s="53" t="s">
        <v>1970</v>
      </c>
      <c r="D1410" s="53" t="s">
        <v>704</v>
      </c>
    </row>
    <row r="1411" spans="1:4">
      <c r="A1411" s="53" t="s">
        <v>2545</v>
      </c>
      <c r="B1411" s="53" t="s">
        <v>4311</v>
      </c>
      <c r="C1411" s="53" t="s">
        <v>1971</v>
      </c>
      <c r="D1411" s="53" t="s">
        <v>705</v>
      </c>
    </row>
    <row r="1412" spans="1:4">
      <c r="A1412" s="53" t="s">
        <v>2545</v>
      </c>
      <c r="B1412" s="53" t="s">
        <v>4311</v>
      </c>
      <c r="C1412" s="53" t="s">
        <v>1972</v>
      </c>
      <c r="D1412" s="53" t="s">
        <v>706</v>
      </c>
    </row>
    <row r="1413" spans="1:4">
      <c r="A1413" s="53" t="s">
        <v>2545</v>
      </c>
      <c r="B1413" s="53" t="s">
        <v>4311</v>
      </c>
      <c r="C1413" s="53" t="s">
        <v>1973</v>
      </c>
      <c r="D1413" s="53" t="s">
        <v>707</v>
      </c>
    </row>
    <row r="1414" spans="1:4">
      <c r="A1414" s="53" t="s">
        <v>2545</v>
      </c>
      <c r="B1414" s="53" t="s">
        <v>4311</v>
      </c>
      <c r="C1414" s="53" t="s">
        <v>1974</v>
      </c>
      <c r="D1414" s="53" t="s">
        <v>635</v>
      </c>
    </row>
    <row r="1415" spans="1:4">
      <c r="A1415" s="53" t="s">
        <v>2545</v>
      </c>
      <c r="B1415" s="53" t="s">
        <v>4311</v>
      </c>
      <c r="C1415" s="53" t="s">
        <v>1975</v>
      </c>
      <c r="D1415" s="53" t="s">
        <v>3129</v>
      </c>
    </row>
    <row r="1416" spans="1:4">
      <c r="A1416" s="53" t="s">
        <v>2545</v>
      </c>
      <c r="B1416" s="53" t="s">
        <v>4311</v>
      </c>
      <c r="C1416" s="53" t="s">
        <v>1976</v>
      </c>
      <c r="D1416" s="53" t="s">
        <v>639</v>
      </c>
    </row>
    <row r="1417" spans="1:4">
      <c r="A1417" s="53" t="s">
        <v>640</v>
      </c>
      <c r="B1417" s="53" t="s">
        <v>3127</v>
      </c>
      <c r="C1417" s="53" t="s">
        <v>3354</v>
      </c>
      <c r="D1417" s="53" t="s">
        <v>3128</v>
      </c>
    </row>
    <row r="1418" spans="1:4">
      <c r="A1418" s="53" t="s">
        <v>640</v>
      </c>
      <c r="B1418" s="53" t="s">
        <v>3127</v>
      </c>
      <c r="C1418" s="53" t="s">
        <v>1964</v>
      </c>
      <c r="D1418" s="53" t="s">
        <v>2364</v>
      </c>
    </row>
    <row r="1419" spans="1:4">
      <c r="A1419" s="53" t="s">
        <v>640</v>
      </c>
      <c r="B1419" s="53" t="s">
        <v>3127</v>
      </c>
      <c r="C1419" s="53" t="s">
        <v>1965</v>
      </c>
      <c r="D1419" s="53" t="s">
        <v>2365</v>
      </c>
    </row>
    <row r="1420" spans="1:4">
      <c r="A1420" s="53" t="s">
        <v>640</v>
      </c>
      <c r="B1420" s="53" t="s">
        <v>3127</v>
      </c>
      <c r="C1420" s="53" t="s">
        <v>1966</v>
      </c>
      <c r="D1420" s="53" t="s">
        <v>2366</v>
      </c>
    </row>
    <row r="1421" spans="1:4">
      <c r="A1421" s="53" t="s">
        <v>640</v>
      </c>
      <c r="B1421" s="53" t="s">
        <v>3127</v>
      </c>
      <c r="C1421" s="53" t="s">
        <v>1967</v>
      </c>
      <c r="D1421" s="53" t="s">
        <v>2367</v>
      </c>
    </row>
    <row r="1422" spans="1:4">
      <c r="A1422" s="53" t="s">
        <v>640</v>
      </c>
      <c r="B1422" s="53" t="s">
        <v>3127</v>
      </c>
      <c r="C1422" s="53" t="s">
        <v>1968</v>
      </c>
      <c r="D1422" s="53" t="s">
        <v>128</v>
      </c>
    </row>
    <row r="1423" spans="1:4">
      <c r="A1423" s="53" t="s">
        <v>640</v>
      </c>
      <c r="B1423" s="53" t="s">
        <v>3127</v>
      </c>
      <c r="C1423" s="53" t="s">
        <v>1969</v>
      </c>
      <c r="D1423" s="53" t="s">
        <v>3945</v>
      </c>
    </row>
    <row r="1424" spans="1:4">
      <c r="A1424" s="53" t="s">
        <v>640</v>
      </c>
      <c r="B1424" s="53" t="s">
        <v>3127</v>
      </c>
      <c r="C1424" s="53" t="s">
        <v>1970</v>
      </c>
      <c r="D1424" s="53" t="s">
        <v>3373</v>
      </c>
    </row>
    <row r="1425" spans="1:4">
      <c r="A1425" s="53" t="s">
        <v>640</v>
      </c>
      <c r="B1425" s="53" t="s">
        <v>3127</v>
      </c>
      <c r="C1425" s="53" t="s">
        <v>1971</v>
      </c>
      <c r="D1425" s="53" t="s">
        <v>731</v>
      </c>
    </row>
    <row r="1426" spans="1:4">
      <c r="A1426" s="53" t="s">
        <v>640</v>
      </c>
      <c r="B1426" s="53" t="s">
        <v>3127</v>
      </c>
      <c r="C1426" s="53" t="s">
        <v>1972</v>
      </c>
      <c r="D1426" s="53" t="s">
        <v>732</v>
      </c>
    </row>
    <row r="1427" spans="1:4">
      <c r="A1427" s="53" t="s">
        <v>640</v>
      </c>
      <c r="B1427" s="53" t="s">
        <v>3127</v>
      </c>
      <c r="C1427" s="53" t="s">
        <v>1973</v>
      </c>
      <c r="D1427" s="53" t="s">
        <v>733</v>
      </c>
    </row>
    <row r="1428" spans="1:4">
      <c r="A1428" s="53" t="s">
        <v>640</v>
      </c>
      <c r="B1428" s="53" t="s">
        <v>3127</v>
      </c>
      <c r="C1428" s="53" t="s">
        <v>1974</v>
      </c>
      <c r="D1428" s="53" t="s">
        <v>734</v>
      </c>
    </row>
    <row r="1429" spans="1:4">
      <c r="A1429" s="53" t="s">
        <v>640</v>
      </c>
      <c r="B1429" s="53" t="s">
        <v>3127</v>
      </c>
      <c r="C1429" s="53" t="s">
        <v>1975</v>
      </c>
      <c r="D1429" s="53" t="s">
        <v>735</v>
      </c>
    </row>
    <row r="1430" spans="1:4">
      <c r="A1430" s="53" t="s">
        <v>640</v>
      </c>
      <c r="B1430" s="53" t="s">
        <v>3127</v>
      </c>
      <c r="C1430" s="53" t="s">
        <v>1976</v>
      </c>
      <c r="D1430" s="53" t="s">
        <v>736</v>
      </c>
    </row>
    <row r="1431" spans="1:4">
      <c r="A1431" s="53" t="s">
        <v>640</v>
      </c>
      <c r="B1431" s="53" t="s">
        <v>3127</v>
      </c>
      <c r="C1431" s="53" t="s">
        <v>1977</v>
      </c>
      <c r="D1431" s="53" t="s">
        <v>1790</v>
      </c>
    </row>
    <row r="1432" spans="1:4">
      <c r="A1432" s="53" t="s">
        <v>640</v>
      </c>
      <c r="B1432" s="53" t="s">
        <v>3127</v>
      </c>
      <c r="C1432" s="53" t="s">
        <v>1978</v>
      </c>
      <c r="D1432" s="53" t="s">
        <v>1028</v>
      </c>
    </row>
    <row r="1433" spans="1:4">
      <c r="A1433" s="53" t="s">
        <v>640</v>
      </c>
      <c r="B1433" s="53" t="s">
        <v>3127</v>
      </c>
      <c r="C1433" s="53" t="s">
        <v>1979</v>
      </c>
      <c r="D1433" s="53" t="s">
        <v>1029</v>
      </c>
    </row>
    <row r="1434" spans="1:4">
      <c r="A1434" s="53" t="s">
        <v>640</v>
      </c>
      <c r="B1434" s="53" t="s">
        <v>3127</v>
      </c>
      <c r="C1434" s="53" t="s">
        <v>1980</v>
      </c>
      <c r="D1434" s="53" t="s">
        <v>1030</v>
      </c>
    </row>
    <row r="1435" spans="1:4">
      <c r="A1435" s="53" t="s">
        <v>640</v>
      </c>
      <c r="B1435" s="53" t="s">
        <v>3127</v>
      </c>
      <c r="C1435" s="53" t="s">
        <v>1981</v>
      </c>
      <c r="D1435" s="53" t="s">
        <v>1031</v>
      </c>
    </row>
    <row r="1436" spans="1:4">
      <c r="A1436" s="53" t="s">
        <v>640</v>
      </c>
      <c r="B1436" s="53" t="s">
        <v>3127</v>
      </c>
      <c r="C1436" s="53" t="s">
        <v>1982</v>
      </c>
      <c r="D1436" s="53" t="s">
        <v>1921</v>
      </c>
    </row>
    <row r="1437" spans="1:4">
      <c r="A1437" s="53" t="s">
        <v>640</v>
      </c>
      <c r="B1437" s="53" t="s">
        <v>3127</v>
      </c>
      <c r="C1437" s="53" t="s">
        <v>4150</v>
      </c>
      <c r="D1437" s="53" t="s">
        <v>1922</v>
      </c>
    </row>
    <row r="1438" spans="1:4">
      <c r="A1438" s="53" t="s">
        <v>640</v>
      </c>
      <c r="B1438" s="53" t="s">
        <v>3127</v>
      </c>
      <c r="C1438" s="53" t="s">
        <v>4151</v>
      </c>
      <c r="D1438" s="53" t="s">
        <v>1923</v>
      </c>
    </row>
    <row r="1439" spans="1:4">
      <c r="A1439" s="53" t="s">
        <v>640</v>
      </c>
      <c r="B1439" s="53" t="s">
        <v>3127</v>
      </c>
      <c r="C1439" s="53" t="s">
        <v>4152</v>
      </c>
      <c r="D1439" s="53" t="s">
        <v>2767</v>
      </c>
    </row>
    <row r="1440" spans="1:4">
      <c r="A1440" s="53" t="s">
        <v>2768</v>
      </c>
      <c r="B1440" s="53" t="s">
        <v>2769</v>
      </c>
      <c r="C1440" s="53" t="s">
        <v>3354</v>
      </c>
      <c r="D1440" s="53" t="s">
        <v>2770</v>
      </c>
    </row>
    <row r="1441" spans="1:4">
      <c r="A1441" s="53" t="s">
        <v>2768</v>
      </c>
      <c r="B1441" s="53" t="s">
        <v>2769</v>
      </c>
      <c r="C1441" s="53" t="s">
        <v>1964</v>
      </c>
      <c r="D1441" s="53" t="s">
        <v>2771</v>
      </c>
    </row>
    <row r="1442" spans="1:4">
      <c r="A1442" s="53" t="s">
        <v>2768</v>
      </c>
      <c r="B1442" s="53" t="s">
        <v>2769</v>
      </c>
      <c r="C1442" s="53" t="s">
        <v>1965</v>
      </c>
      <c r="D1442" s="53" t="s">
        <v>2772</v>
      </c>
    </row>
    <row r="1443" spans="1:4">
      <c r="A1443" s="53" t="s">
        <v>2768</v>
      </c>
      <c r="B1443" s="53" t="s">
        <v>2769</v>
      </c>
      <c r="C1443" s="53" t="s">
        <v>1966</v>
      </c>
      <c r="D1443" s="53" t="s">
        <v>2773</v>
      </c>
    </row>
    <row r="1444" spans="1:4">
      <c r="A1444" s="53" t="s">
        <v>2768</v>
      </c>
      <c r="B1444" s="53" t="s">
        <v>2769</v>
      </c>
      <c r="C1444" s="53" t="s">
        <v>1967</v>
      </c>
      <c r="D1444" s="53" t="s">
        <v>2774</v>
      </c>
    </row>
    <row r="1445" spans="1:4">
      <c r="A1445" s="53" t="s">
        <v>2768</v>
      </c>
      <c r="B1445" s="53" t="s">
        <v>2769</v>
      </c>
      <c r="C1445" s="53" t="s">
        <v>1968</v>
      </c>
      <c r="D1445" s="53" t="s">
        <v>2582</v>
      </c>
    </row>
    <row r="1446" spans="1:4">
      <c r="A1446" s="53" t="s">
        <v>2768</v>
      </c>
      <c r="B1446" s="53" t="s">
        <v>2769</v>
      </c>
      <c r="C1446" s="53" t="s">
        <v>1969</v>
      </c>
      <c r="D1446" s="53" t="s">
        <v>2583</v>
      </c>
    </row>
    <row r="1447" spans="1:4">
      <c r="A1447" s="53" t="s">
        <v>2768</v>
      </c>
      <c r="B1447" s="53" t="s">
        <v>2769</v>
      </c>
      <c r="C1447" s="53" t="s">
        <v>1970</v>
      </c>
      <c r="D1447" s="53" t="s">
        <v>2584</v>
      </c>
    </row>
    <row r="1448" spans="1:4">
      <c r="A1448" s="53" t="s">
        <v>2768</v>
      </c>
      <c r="B1448" s="53" t="s">
        <v>2769</v>
      </c>
      <c r="C1448" s="53" t="s">
        <v>1971</v>
      </c>
      <c r="D1448" s="53" t="s">
        <v>2585</v>
      </c>
    </row>
    <row r="1449" spans="1:4">
      <c r="A1449" s="53" t="s">
        <v>2768</v>
      </c>
      <c r="B1449" s="53" t="s">
        <v>2769</v>
      </c>
      <c r="C1449" s="53" t="s">
        <v>1972</v>
      </c>
      <c r="D1449" s="53" t="s">
        <v>129</v>
      </c>
    </row>
    <row r="1450" spans="1:4">
      <c r="A1450" s="53" t="s">
        <v>2768</v>
      </c>
      <c r="B1450" s="53" t="s">
        <v>2769</v>
      </c>
      <c r="C1450" s="53" t="s">
        <v>1973</v>
      </c>
      <c r="D1450" s="53" t="s">
        <v>130</v>
      </c>
    </row>
    <row r="1451" spans="1:4">
      <c r="A1451" s="53" t="s">
        <v>2768</v>
      </c>
      <c r="B1451" s="53" t="s">
        <v>2769</v>
      </c>
      <c r="C1451" s="53" t="s">
        <v>1974</v>
      </c>
      <c r="D1451" s="53" t="s">
        <v>131</v>
      </c>
    </row>
    <row r="1452" spans="1:4">
      <c r="A1452" s="53" t="s">
        <v>2768</v>
      </c>
      <c r="B1452" s="53" t="s">
        <v>2769</v>
      </c>
      <c r="C1452" s="53" t="s">
        <v>1975</v>
      </c>
      <c r="D1452" s="53" t="s">
        <v>603</v>
      </c>
    </row>
    <row r="1453" spans="1:4">
      <c r="A1453" s="53" t="s">
        <v>2768</v>
      </c>
      <c r="B1453" s="53" t="s">
        <v>2769</v>
      </c>
      <c r="C1453" s="53" t="s">
        <v>1976</v>
      </c>
      <c r="D1453" s="53" t="s">
        <v>604</v>
      </c>
    </row>
    <row r="1454" spans="1:4">
      <c r="A1454" s="53" t="s">
        <v>2768</v>
      </c>
      <c r="B1454" s="53" t="s">
        <v>2769</v>
      </c>
      <c r="C1454" s="53" t="s">
        <v>1977</v>
      </c>
      <c r="D1454" s="53" t="s">
        <v>3669</v>
      </c>
    </row>
    <row r="1455" spans="1:4">
      <c r="A1455" s="53" t="s">
        <v>3670</v>
      </c>
      <c r="B1455" s="53" t="s">
        <v>155</v>
      </c>
      <c r="C1455" s="53" t="s">
        <v>3354</v>
      </c>
      <c r="D1455" s="53" t="s">
        <v>156</v>
      </c>
    </row>
    <row r="1456" spans="1:4">
      <c r="A1456" s="53" t="s">
        <v>3670</v>
      </c>
      <c r="B1456" s="53" t="s">
        <v>155</v>
      </c>
      <c r="C1456" s="53" t="s">
        <v>1964</v>
      </c>
      <c r="D1456" s="53" t="s">
        <v>157</v>
      </c>
    </row>
    <row r="1457" spans="1:4">
      <c r="A1457" s="53" t="s">
        <v>3670</v>
      </c>
      <c r="B1457" s="53" t="s">
        <v>155</v>
      </c>
      <c r="C1457" s="53" t="s">
        <v>1965</v>
      </c>
      <c r="D1457" s="53" t="s">
        <v>158</v>
      </c>
    </row>
    <row r="1458" spans="1:4">
      <c r="A1458" s="53" t="s">
        <v>3670</v>
      </c>
      <c r="B1458" s="53" t="s">
        <v>155</v>
      </c>
      <c r="C1458" s="53" t="s">
        <v>1966</v>
      </c>
      <c r="D1458" s="53" t="s">
        <v>3896</v>
      </c>
    </row>
    <row r="1459" spans="1:4">
      <c r="A1459" s="53" t="s">
        <v>3670</v>
      </c>
      <c r="B1459" s="53" t="s">
        <v>155</v>
      </c>
      <c r="C1459" s="53" t="s">
        <v>1967</v>
      </c>
      <c r="D1459" s="53" t="s">
        <v>855</v>
      </c>
    </row>
    <row r="1460" spans="1:4">
      <c r="A1460" s="53" t="s">
        <v>3670</v>
      </c>
      <c r="B1460" s="53" t="s">
        <v>155</v>
      </c>
      <c r="C1460" s="53" t="s">
        <v>1968</v>
      </c>
      <c r="D1460" s="53" t="s">
        <v>856</v>
      </c>
    </row>
    <row r="1461" spans="1:4">
      <c r="A1461" s="53" t="s">
        <v>3670</v>
      </c>
      <c r="B1461" s="53" t="s">
        <v>155</v>
      </c>
      <c r="C1461" s="53" t="s">
        <v>1969</v>
      </c>
      <c r="D1461" s="53" t="s">
        <v>857</v>
      </c>
    </row>
    <row r="1462" spans="1:4">
      <c r="A1462" s="53" t="s">
        <v>3670</v>
      </c>
      <c r="B1462" s="53" t="s">
        <v>155</v>
      </c>
      <c r="C1462" s="53" t="s">
        <v>1970</v>
      </c>
      <c r="D1462" s="53" t="s">
        <v>858</v>
      </c>
    </row>
    <row r="1463" spans="1:4">
      <c r="A1463" s="53" t="s">
        <v>3670</v>
      </c>
      <c r="B1463" s="53" t="s">
        <v>155</v>
      </c>
      <c r="C1463" s="53" t="s">
        <v>1971</v>
      </c>
      <c r="D1463" s="53" t="s">
        <v>1928</v>
      </c>
    </row>
    <row r="1464" spans="1:4">
      <c r="A1464" s="53" t="s">
        <v>3670</v>
      </c>
      <c r="B1464" s="53" t="s">
        <v>155</v>
      </c>
      <c r="C1464" s="53" t="s">
        <v>1972</v>
      </c>
      <c r="D1464" s="53" t="s">
        <v>1929</v>
      </c>
    </row>
    <row r="1465" spans="1:4">
      <c r="A1465" s="53" t="s">
        <v>3670</v>
      </c>
      <c r="B1465" s="53" t="s">
        <v>155</v>
      </c>
      <c r="C1465" s="53" t="s">
        <v>1973</v>
      </c>
      <c r="D1465" s="53" t="s">
        <v>1930</v>
      </c>
    </row>
    <row r="1466" spans="1:4">
      <c r="A1466" s="53" t="s">
        <v>3670</v>
      </c>
      <c r="B1466" s="53" t="s">
        <v>155</v>
      </c>
      <c r="C1466" s="53" t="s">
        <v>1974</v>
      </c>
      <c r="D1466" s="53" t="s">
        <v>375</v>
      </c>
    </row>
    <row r="1467" spans="1:4">
      <c r="A1467" s="53" t="s">
        <v>3670</v>
      </c>
      <c r="B1467" s="53" t="s">
        <v>155</v>
      </c>
      <c r="C1467" s="53" t="s">
        <v>1975</v>
      </c>
      <c r="D1467" s="53" t="s">
        <v>376</v>
      </c>
    </row>
    <row r="1468" spans="1:4">
      <c r="A1468" s="53" t="s">
        <v>3670</v>
      </c>
      <c r="B1468" s="53" t="s">
        <v>155</v>
      </c>
      <c r="C1468" s="53" t="s">
        <v>1976</v>
      </c>
      <c r="D1468" s="53" t="s">
        <v>377</v>
      </c>
    </row>
    <row r="1469" spans="1:4">
      <c r="A1469" s="53" t="s">
        <v>3670</v>
      </c>
      <c r="B1469" s="53" t="s">
        <v>155</v>
      </c>
      <c r="C1469" s="53" t="s">
        <v>1977</v>
      </c>
      <c r="D1469" s="53" t="s">
        <v>378</v>
      </c>
    </row>
    <row r="1470" spans="1:4">
      <c r="A1470" s="53" t="s">
        <v>3670</v>
      </c>
      <c r="B1470" s="53" t="s">
        <v>155</v>
      </c>
      <c r="C1470" s="53" t="s">
        <v>1978</v>
      </c>
      <c r="D1470" s="53" t="s">
        <v>739</v>
      </c>
    </row>
    <row r="1471" spans="1:4">
      <c r="A1471" s="53" t="s">
        <v>3670</v>
      </c>
      <c r="B1471" s="53" t="s">
        <v>155</v>
      </c>
      <c r="C1471" s="53" t="s">
        <v>1979</v>
      </c>
      <c r="D1471" s="53" t="s">
        <v>740</v>
      </c>
    </row>
    <row r="1472" spans="1:4">
      <c r="A1472" s="53" t="s">
        <v>3670</v>
      </c>
      <c r="B1472" s="53" t="s">
        <v>155</v>
      </c>
      <c r="C1472" s="53" t="s">
        <v>1980</v>
      </c>
      <c r="D1472" s="53" t="s">
        <v>741</v>
      </c>
    </row>
    <row r="1473" spans="1:4">
      <c r="A1473" s="53" t="s">
        <v>3670</v>
      </c>
      <c r="B1473" s="53" t="s">
        <v>155</v>
      </c>
      <c r="C1473" s="53" t="s">
        <v>1981</v>
      </c>
      <c r="D1473" s="53" t="s">
        <v>815</v>
      </c>
    </row>
    <row r="1474" spans="1:4">
      <c r="A1474" s="53" t="s">
        <v>3670</v>
      </c>
      <c r="B1474" s="53" t="s">
        <v>155</v>
      </c>
      <c r="C1474" s="53" t="s">
        <v>1982</v>
      </c>
      <c r="D1474" s="53" t="s">
        <v>709</v>
      </c>
    </row>
    <row r="1475" spans="1:4">
      <c r="A1475" s="53" t="s">
        <v>3670</v>
      </c>
      <c r="B1475" s="53" t="s">
        <v>155</v>
      </c>
      <c r="C1475" s="53" t="s">
        <v>4150</v>
      </c>
      <c r="D1475" s="53" t="s">
        <v>710</v>
      </c>
    </row>
    <row r="1476" spans="1:4">
      <c r="A1476" s="53" t="s">
        <v>3670</v>
      </c>
      <c r="B1476" s="53" t="s">
        <v>155</v>
      </c>
      <c r="C1476" s="53" t="s">
        <v>4151</v>
      </c>
      <c r="D1476" s="53" t="s">
        <v>711</v>
      </c>
    </row>
    <row r="1477" spans="1:4">
      <c r="A1477" s="53" t="s">
        <v>3670</v>
      </c>
      <c r="B1477" s="53" t="s">
        <v>155</v>
      </c>
      <c r="C1477" s="53" t="s">
        <v>4152</v>
      </c>
      <c r="D1477" s="53" t="s">
        <v>712</v>
      </c>
    </row>
    <row r="1478" spans="1:4">
      <c r="A1478" s="53" t="s">
        <v>3670</v>
      </c>
      <c r="B1478" s="53" t="s">
        <v>155</v>
      </c>
      <c r="C1478" s="53" t="s">
        <v>4153</v>
      </c>
      <c r="D1478" s="53" t="s">
        <v>713</v>
      </c>
    </row>
    <row r="1479" spans="1:4">
      <c r="A1479" s="53" t="s">
        <v>3670</v>
      </c>
      <c r="B1479" s="53" t="s">
        <v>155</v>
      </c>
      <c r="C1479" s="53" t="s">
        <v>4154</v>
      </c>
      <c r="D1479" s="53" t="s">
        <v>714</v>
      </c>
    </row>
    <row r="1480" spans="1:4">
      <c r="A1480" s="53" t="s">
        <v>3670</v>
      </c>
      <c r="B1480" s="53" t="s">
        <v>155</v>
      </c>
      <c r="C1480" s="53" t="s">
        <v>4155</v>
      </c>
      <c r="D1480" s="53" t="s">
        <v>715</v>
      </c>
    </row>
    <row r="1481" spans="1:4">
      <c r="A1481" s="53" t="s">
        <v>3670</v>
      </c>
      <c r="B1481" s="53" t="s">
        <v>155</v>
      </c>
      <c r="C1481" s="53" t="s">
        <v>4156</v>
      </c>
      <c r="D1481" s="53" t="s">
        <v>716</v>
      </c>
    </row>
    <row r="1482" spans="1:4">
      <c r="A1482" s="53" t="s">
        <v>3670</v>
      </c>
      <c r="B1482" s="53" t="s">
        <v>155</v>
      </c>
      <c r="C1482" s="53" t="s">
        <v>4157</v>
      </c>
      <c r="D1482" s="53" t="s">
        <v>814</v>
      </c>
    </row>
    <row r="1483" spans="1:4">
      <c r="A1483" s="53" t="s">
        <v>3670</v>
      </c>
      <c r="B1483" s="53" t="s">
        <v>155</v>
      </c>
      <c r="C1483" s="53" t="s">
        <v>4158</v>
      </c>
      <c r="D1483" s="53" t="s">
        <v>2067</v>
      </c>
    </row>
    <row r="1484" spans="1:4">
      <c r="A1484" s="53" t="s">
        <v>3670</v>
      </c>
      <c r="B1484" s="53" t="s">
        <v>155</v>
      </c>
      <c r="C1484" s="53" t="s">
        <v>4159</v>
      </c>
      <c r="D1484" s="53" t="s">
        <v>3492</v>
      </c>
    </row>
    <row r="1485" spans="1:4">
      <c r="A1485" s="53" t="s">
        <v>3670</v>
      </c>
      <c r="B1485" s="53" t="s">
        <v>155</v>
      </c>
      <c r="C1485" s="53" t="s">
        <v>2424</v>
      </c>
      <c r="D1485" s="53" t="s">
        <v>3493</v>
      </c>
    </row>
    <row r="1486" spans="1:4">
      <c r="A1486" s="53" t="s">
        <v>3670</v>
      </c>
      <c r="B1486" s="53" t="s">
        <v>155</v>
      </c>
      <c r="C1486" s="53" t="s">
        <v>2425</v>
      </c>
      <c r="D1486" s="53" t="s">
        <v>699</v>
      </c>
    </row>
    <row r="1487" spans="1:4">
      <c r="A1487" s="53" t="s">
        <v>3670</v>
      </c>
      <c r="B1487" s="53" t="s">
        <v>155</v>
      </c>
      <c r="C1487" s="53" t="s">
        <v>2426</v>
      </c>
      <c r="D1487" s="53" t="s">
        <v>4028</v>
      </c>
    </row>
    <row r="1488" spans="1:4">
      <c r="A1488" s="53" t="s">
        <v>3670</v>
      </c>
      <c r="B1488" s="53" t="s">
        <v>155</v>
      </c>
      <c r="C1488" s="53" t="s">
        <v>2427</v>
      </c>
      <c r="D1488" s="53" t="s">
        <v>3725</v>
      </c>
    </row>
    <row r="1489" spans="1:4">
      <c r="A1489" s="53" t="s">
        <v>3670</v>
      </c>
      <c r="B1489" s="53" t="s">
        <v>155</v>
      </c>
      <c r="C1489" s="53" t="s">
        <v>2428</v>
      </c>
      <c r="D1489" s="53" t="s">
        <v>3726</v>
      </c>
    </row>
    <row r="1490" spans="1:4">
      <c r="A1490" s="53" t="s">
        <v>3670</v>
      </c>
      <c r="B1490" s="53" t="s">
        <v>155</v>
      </c>
      <c r="C1490" s="53" t="s">
        <v>2429</v>
      </c>
      <c r="D1490" s="53" t="s">
        <v>3727</v>
      </c>
    </row>
    <row r="1491" spans="1:4">
      <c r="A1491" s="53" t="s">
        <v>3670</v>
      </c>
      <c r="B1491" s="53" t="s">
        <v>155</v>
      </c>
      <c r="C1491" s="53" t="s">
        <v>2430</v>
      </c>
      <c r="D1491" s="53" t="s">
        <v>3728</v>
      </c>
    </row>
    <row r="1492" spans="1:4">
      <c r="A1492" s="53" t="s">
        <v>3670</v>
      </c>
      <c r="B1492" s="53" t="s">
        <v>155</v>
      </c>
      <c r="C1492" s="53" t="s">
        <v>2431</v>
      </c>
      <c r="D1492" s="53" t="s">
        <v>3729</v>
      </c>
    </row>
    <row r="1493" spans="1:4">
      <c r="A1493" s="53" t="s">
        <v>3670</v>
      </c>
      <c r="B1493" s="53" t="s">
        <v>155</v>
      </c>
      <c r="C1493" s="53" t="s">
        <v>2432</v>
      </c>
      <c r="D1493" s="53" t="s">
        <v>3730</v>
      </c>
    </row>
    <row r="1494" spans="1:4">
      <c r="A1494" s="53" t="s">
        <v>3670</v>
      </c>
      <c r="B1494" s="53" t="s">
        <v>155</v>
      </c>
      <c r="C1494" s="53" t="s">
        <v>1961</v>
      </c>
      <c r="D1494" s="53" t="s">
        <v>2689</v>
      </c>
    </row>
    <row r="1495" spans="1:4">
      <c r="A1495" s="53" t="s">
        <v>3670</v>
      </c>
      <c r="B1495" s="53" t="s">
        <v>155</v>
      </c>
      <c r="C1495" s="53" t="s">
        <v>1962</v>
      </c>
      <c r="D1495" s="53" t="s">
        <v>3518</v>
      </c>
    </row>
    <row r="1496" spans="1:4">
      <c r="A1496" s="53" t="s">
        <v>3670</v>
      </c>
      <c r="B1496" s="53" t="s">
        <v>155</v>
      </c>
      <c r="C1496" s="53" t="s">
        <v>1482</v>
      </c>
      <c r="D1496" s="53" t="s">
        <v>3731</v>
      </c>
    </row>
    <row r="1497" spans="1:4">
      <c r="A1497" s="53" t="s">
        <v>3670</v>
      </c>
      <c r="B1497" s="53" t="s">
        <v>155</v>
      </c>
      <c r="C1497" s="53" t="s">
        <v>1483</v>
      </c>
      <c r="D1497" s="53" t="s">
        <v>3732</v>
      </c>
    </row>
    <row r="1498" spans="1:4">
      <c r="A1498" s="53" t="s">
        <v>3670</v>
      </c>
      <c r="B1498" s="53" t="s">
        <v>155</v>
      </c>
      <c r="C1498" s="53" t="s">
        <v>278</v>
      </c>
      <c r="D1498" s="53" t="s">
        <v>3733</v>
      </c>
    </row>
    <row r="1499" spans="1:4">
      <c r="A1499" s="53" t="s">
        <v>3670</v>
      </c>
      <c r="B1499" s="53" t="s">
        <v>155</v>
      </c>
      <c r="C1499" s="53" t="s">
        <v>3501</v>
      </c>
      <c r="D1499" s="53" t="s">
        <v>568</v>
      </c>
    </row>
    <row r="1500" spans="1:4">
      <c r="A1500" s="53" t="s">
        <v>3670</v>
      </c>
      <c r="B1500" s="53" t="s">
        <v>155</v>
      </c>
      <c r="C1500" s="53" t="s">
        <v>3503</v>
      </c>
      <c r="D1500" s="53" t="s">
        <v>569</v>
      </c>
    </row>
    <row r="1501" spans="1:4">
      <c r="A1501" s="53" t="s">
        <v>3670</v>
      </c>
      <c r="B1501" s="53" t="s">
        <v>155</v>
      </c>
      <c r="C1501" s="53" t="s">
        <v>3505</v>
      </c>
      <c r="D1501" s="53" t="s">
        <v>570</v>
      </c>
    </row>
    <row r="1502" spans="1:4">
      <c r="A1502" s="53" t="s">
        <v>3670</v>
      </c>
      <c r="B1502" s="53" t="s">
        <v>155</v>
      </c>
      <c r="C1502" s="53" t="s">
        <v>3507</v>
      </c>
      <c r="D1502" s="53" t="s">
        <v>1505</v>
      </c>
    </row>
    <row r="1503" spans="1:4">
      <c r="A1503" s="53" t="s">
        <v>3670</v>
      </c>
      <c r="B1503" s="53" t="s">
        <v>155</v>
      </c>
      <c r="C1503" s="53" t="s">
        <v>1144</v>
      </c>
      <c r="D1503" s="53" t="s">
        <v>1506</v>
      </c>
    </row>
    <row r="1504" spans="1:4">
      <c r="A1504" s="53" t="s">
        <v>3670</v>
      </c>
      <c r="B1504" s="53" t="s">
        <v>155</v>
      </c>
      <c r="C1504" s="53" t="s">
        <v>1146</v>
      </c>
      <c r="D1504" s="53" t="s">
        <v>1507</v>
      </c>
    </row>
    <row r="1505" spans="1:4">
      <c r="A1505" s="53" t="s">
        <v>1508</v>
      </c>
      <c r="B1505" s="53" t="s">
        <v>1245</v>
      </c>
      <c r="C1505" s="53" t="s">
        <v>3354</v>
      </c>
      <c r="D1505" s="53" t="s">
        <v>2679</v>
      </c>
    </row>
    <row r="1506" spans="1:4">
      <c r="A1506" s="53" t="s">
        <v>1508</v>
      </c>
      <c r="B1506" s="53" t="s">
        <v>1245</v>
      </c>
      <c r="C1506" s="53" t="s">
        <v>1964</v>
      </c>
      <c r="D1506" s="53" t="s">
        <v>2680</v>
      </c>
    </row>
    <row r="1507" spans="1:4">
      <c r="A1507" s="53" t="s">
        <v>1508</v>
      </c>
      <c r="B1507" s="53" t="s">
        <v>1245</v>
      </c>
      <c r="C1507" s="53" t="s">
        <v>1965</v>
      </c>
      <c r="D1507" s="53" t="s">
        <v>2681</v>
      </c>
    </row>
    <row r="1508" spans="1:4">
      <c r="A1508" s="53" t="s">
        <v>1508</v>
      </c>
      <c r="B1508" s="53" t="s">
        <v>1245</v>
      </c>
      <c r="C1508" s="53" t="s">
        <v>1966</v>
      </c>
      <c r="D1508" s="53" t="s">
        <v>2682</v>
      </c>
    </row>
    <row r="1509" spans="1:4">
      <c r="A1509" s="53" t="s">
        <v>2683</v>
      </c>
      <c r="B1509" s="53" t="s">
        <v>2684</v>
      </c>
      <c r="C1509" s="53" t="s">
        <v>3354</v>
      </c>
      <c r="D1509" s="53" t="s">
        <v>2685</v>
      </c>
    </row>
    <row r="1510" spans="1:4">
      <c r="A1510" s="53" t="s">
        <v>2683</v>
      </c>
      <c r="B1510" s="53" t="s">
        <v>2684</v>
      </c>
      <c r="C1510" s="53" t="s">
        <v>1964</v>
      </c>
      <c r="D1510" s="53" t="s">
        <v>3929</v>
      </c>
    </row>
    <row r="1511" spans="1:4">
      <c r="A1511" s="53" t="s">
        <v>2683</v>
      </c>
      <c r="B1511" s="53" t="s">
        <v>2684</v>
      </c>
      <c r="C1511" s="53" t="s">
        <v>1965</v>
      </c>
      <c r="D1511" s="53" t="s">
        <v>3930</v>
      </c>
    </row>
    <row r="1512" spans="1:4">
      <c r="A1512" s="53" t="s">
        <v>2683</v>
      </c>
      <c r="B1512" s="53" t="s">
        <v>2684</v>
      </c>
      <c r="C1512" s="53" t="s">
        <v>1966</v>
      </c>
      <c r="D1512" s="53" t="s">
        <v>3872</v>
      </c>
    </row>
    <row r="1513" spans="1:4">
      <c r="A1513" s="53" t="s">
        <v>2683</v>
      </c>
      <c r="B1513" s="53" t="s">
        <v>2684</v>
      </c>
      <c r="C1513" s="53" t="s">
        <v>1967</v>
      </c>
      <c r="D1513" s="53" t="s">
        <v>3873</v>
      </c>
    </row>
    <row r="1514" spans="1:4">
      <c r="A1514" s="53" t="s">
        <v>2683</v>
      </c>
      <c r="B1514" s="53" t="s">
        <v>2684</v>
      </c>
      <c r="C1514" s="53" t="s">
        <v>1968</v>
      </c>
      <c r="D1514" s="53" t="s">
        <v>2179</v>
      </c>
    </row>
    <row r="1515" spans="1:4">
      <c r="A1515" s="53" t="s">
        <v>2683</v>
      </c>
      <c r="B1515" s="53" t="s">
        <v>2684</v>
      </c>
      <c r="C1515" s="53" t="s">
        <v>1969</v>
      </c>
      <c r="D1515" s="53" t="s">
        <v>2180</v>
      </c>
    </row>
    <row r="1516" spans="1:4">
      <c r="A1516" s="53" t="s">
        <v>2683</v>
      </c>
      <c r="B1516" s="53" t="s">
        <v>2684</v>
      </c>
      <c r="C1516" s="53" t="s">
        <v>1970</v>
      </c>
      <c r="D1516" s="53" t="s">
        <v>2181</v>
      </c>
    </row>
    <row r="1517" spans="1:4">
      <c r="A1517" s="53" t="s">
        <v>2683</v>
      </c>
      <c r="B1517" s="53" t="s">
        <v>2684</v>
      </c>
      <c r="C1517" s="53" t="s">
        <v>1971</v>
      </c>
      <c r="D1517" s="53" t="s">
        <v>659</v>
      </c>
    </row>
    <row r="1518" spans="1:4">
      <c r="A1518" s="53" t="s">
        <v>2683</v>
      </c>
      <c r="B1518" s="53" t="s">
        <v>2684</v>
      </c>
      <c r="C1518" s="53" t="s">
        <v>1972</v>
      </c>
      <c r="D1518" s="53" t="s">
        <v>3075</v>
      </c>
    </row>
    <row r="1519" spans="1:4">
      <c r="A1519" s="53" t="s">
        <v>2683</v>
      </c>
      <c r="B1519" s="53" t="s">
        <v>2684</v>
      </c>
      <c r="C1519" s="53" t="s">
        <v>1973</v>
      </c>
      <c r="D1519" s="53" t="s">
        <v>3076</v>
      </c>
    </row>
    <row r="1520" spans="1:4">
      <c r="A1520" s="53" t="s">
        <v>2683</v>
      </c>
      <c r="B1520" s="53" t="s">
        <v>2684</v>
      </c>
      <c r="C1520" s="53" t="s">
        <v>1974</v>
      </c>
      <c r="D1520" s="53" t="s">
        <v>3077</v>
      </c>
    </row>
    <row r="1521" spans="1:4">
      <c r="A1521" s="53" t="s">
        <v>2683</v>
      </c>
      <c r="B1521" s="53" t="s">
        <v>2684</v>
      </c>
      <c r="C1521" s="53" t="s">
        <v>1975</v>
      </c>
      <c r="D1521" s="53" t="s">
        <v>3078</v>
      </c>
    </row>
    <row r="1522" spans="1:4">
      <c r="A1522" s="53" t="s">
        <v>2683</v>
      </c>
      <c r="B1522" s="53" t="s">
        <v>2684</v>
      </c>
      <c r="C1522" s="53" t="s">
        <v>1976</v>
      </c>
      <c r="D1522" s="53" t="s">
        <v>3079</v>
      </c>
    </row>
    <row r="1523" spans="1:4">
      <c r="A1523" s="53" t="s">
        <v>2683</v>
      </c>
      <c r="B1523" s="53" t="s">
        <v>2684</v>
      </c>
      <c r="C1523" s="53" t="s">
        <v>1977</v>
      </c>
      <c r="D1523" s="53" t="s">
        <v>3080</v>
      </c>
    </row>
    <row r="1524" spans="1:4">
      <c r="A1524" s="53" t="s">
        <v>2683</v>
      </c>
      <c r="B1524" s="53" t="s">
        <v>2684</v>
      </c>
      <c r="C1524" s="53" t="s">
        <v>1978</v>
      </c>
      <c r="D1524" s="53" t="s">
        <v>1337</v>
      </c>
    </row>
    <row r="1525" spans="1:4">
      <c r="A1525" s="53" t="s">
        <v>2683</v>
      </c>
      <c r="B1525" s="53" t="s">
        <v>2684</v>
      </c>
      <c r="C1525" s="53" t="s">
        <v>1979</v>
      </c>
      <c r="D1525" s="53" t="s">
        <v>3083</v>
      </c>
    </row>
    <row r="1526" spans="1:4">
      <c r="A1526" s="53" t="s">
        <v>2683</v>
      </c>
      <c r="B1526" s="53" t="s">
        <v>2684</v>
      </c>
      <c r="C1526" s="53" t="s">
        <v>1980</v>
      </c>
      <c r="D1526" s="53" t="s">
        <v>3084</v>
      </c>
    </row>
    <row r="1527" spans="1:4">
      <c r="A1527" s="53" t="s">
        <v>2683</v>
      </c>
      <c r="B1527" s="53" t="s">
        <v>2684</v>
      </c>
      <c r="C1527" s="53" t="s">
        <v>1981</v>
      </c>
      <c r="D1527" s="53" t="s">
        <v>2256</v>
      </c>
    </row>
    <row r="1528" spans="1:4">
      <c r="A1528" s="53" t="s">
        <v>2683</v>
      </c>
      <c r="B1528" s="53" t="s">
        <v>2684</v>
      </c>
      <c r="C1528" s="53" t="s">
        <v>1982</v>
      </c>
      <c r="D1528" s="53" t="s">
        <v>2257</v>
      </c>
    </row>
    <row r="1529" spans="1:4">
      <c r="A1529" s="53" t="s">
        <v>2683</v>
      </c>
      <c r="B1529" s="53" t="s">
        <v>2684</v>
      </c>
      <c r="C1529" s="53" t="s">
        <v>4150</v>
      </c>
      <c r="D1529" s="53" t="s">
        <v>1954</v>
      </c>
    </row>
    <row r="1530" spans="1:4">
      <c r="A1530" s="53" t="s">
        <v>2683</v>
      </c>
      <c r="B1530" s="53" t="s">
        <v>2684</v>
      </c>
      <c r="C1530" s="53" t="s">
        <v>4151</v>
      </c>
      <c r="D1530" s="53" t="s">
        <v>1955</v>
      </c>
    </row>
    <row r="1531" spans="1:4">
      <c r="A1531" s="53" t="s">
        <v>2683</v>
      </c>
      <c r="B1531" s="53" t="s">
        <v>2684</v>
      </c>
      <c r="C1531" s="53" t="s">
        <v>4152</v>
      </c>
      <c r="D1531" s="53" t="s">
        <v>1956</v>
      </c>
    </row>
    <row r="1532" spans="1:4">
      <c r="A1532" s="53" t="s">
        <v>2683</v>
      </c>
      <c r="B1532" s="53" t="s">
        <v>2684</v>
      </c>
      <c r="C1532" s="53" t="s">
        <v>4153</v>
      </c>
      <c r="D1532" s="53" t="s">
        <v>1957</v>
      </c>
    </row>
    <row r="1533" spans="1:4">
      <c r="A1533" s="53" t="s">
        <v>2683</v>
      </c>
      <c r="B1533" s="53" t="s">
        <v>2684</v>
      </c>
      <c r="C1533" s="53" t="s">
        <v>4154</v>
      </c>
      <c r="D1533" s="53" t="s">
        <v>1958</v>
      </c>
    </row>
    <row r="1534" spans="1:4">
      <c r="A1534" s="53" t="s">
        <v>2683</v>
      </c>
      <c r="B1534" s="53" t="s">
        <v>2684</v>
      </c>
      <c r="C1534" s="53" t="s">
        <v>4155</v>
      </c>
      <c r="D1534" s="53" t="s">
        <v>1959</v>
      </c>
    </row>
    <row r="1535" spans="1:4">
      <c r="A1535" s="53" t="s">
        <v>2683</v>
      </c>
      <c r="B1535" s="53" t="s">
        <v>2684</v>
      </c>
      <c r="C1535" s="53" t="s">
        <v>4156</v>
      </c>
      <c r="D1535" s="53" t="s">
        <v>351</v>
      </c>
    </row>
    <row r="1536" spans="1:4">
      <c r="A1536" s="53" t="s">
        <v>2683</v>
      </c>
      <c r="B1536" s="53" t="s">
        <v>2684</v>
      </c>
      <c r="C1536" s="53" t="s">
        <v>4157</v>
      </c>
      <c r="D1536" s="53" t="s">
        <v>137</v>
      </c>
    </row>
    <row r="1537" spans="1:4">
      <c r="A1537" s="53" t="s">
        <v>138</v>
      </c>
      <c r="B1537" s="53" t="s">
        <v>139</v>
      </c>
      <c r="C1537" s="53" t="s">
        <v>3354</v>
      </c>
      <c r="D1537" s="53" t="s">
        <v>140</v>
      </c>
    </row>
    <row r="1538" spans="1:4">
      <c r="A1538" s="53" t="s">
        <v>138</v>
      </c>
      <c r="B1538" s="53" t="s">
        <v>139</v>
      </c>
      <c r="C1538" s="53" t="s">
        <v>1964</v>
      </c>
      <c r="D1538" s="53" t="s">
        <v>141</v>
      </c>
    </row>
    <row r="1539" spans="1:4">
      <c r="A1539" s="53" t="s">
        <v>138</v>
      </c>
      <c r="B1539" s="53" t="s">
        <v>139</v>
      </c>
      <c r="C1539" s="53" t="s">
        <v>1965</v>
      </c>
      <c r="D1539" s="53" t="s">
        <v>142</v>
      </c>
    </row>
    <row r="1540" spans="1:4">
      <c r="A1540" s="53" t="s">
        <v>138</v>
      </c>
      <c r="B1540" s="53" t="s">
        <v>139</v>
      </c>
      <c r="C1540" s="53" t="s">
        <v>1966</v>
      </c>
      <c r="D1540" s="53" t="s">
        <v>143</v>
      </c>
    </row>
    <row r="1541" spans="1:4">
      <c r="A1541" s="53" t="s">
        <v>138</v>
      </c>
      <c r="B1541" s="53" t="s">
        <v>139</v>
      </c>
      <c r="C1541" s="53" t="s">
        <v>1967</v>
      </c>
      <c r="D1541" s="53" t="s">
        <v>144</v>
      </c>
    </row>
    <row r="1542" spans="1:4">
      <c r="A1542" s="53" t="s">
        <v>138</v>
      </c>
      <c r="B1542" s="53" t="s">
        <v>139</v>
      </c>
      <c r="C1542" s="53" t="s">
        <v>1968</v>
      </c>
      <c r="D1542" s="53" t="s">
        <v>145</v>
      </c>
    </row>
    <row r="1543" spans="1:4">
      <c r="A1543" s="53" t="s">
        <v>138</v>
      </c>
      <c r="B1543" s="53" t="s">
        <v>139</v>
      </c>
      <c r="C1543" s="53" t="s">
        <v>1969</v>
      </c>
      <c r="D1543" s="53" t="s">
        <v>146</v>
      </c>
    </row>
    <row r="1544" spans="1:4">
      <c r="A1544" s="53" t="s">
        <v>138</v>
      </c>
      <c r="B1544" s="53" t="s">
        <v>139</v>
      </c>
      <c r="C1544" s="53" t="s">
        <v>1970</v>
      </c>
      <c r="D1544" s="53" t="s">
        <v>147</v>
      </c>
    </row>
    <row r="1545" spans="1:4">
      <c r="A1545" s="53" t="s">
        <v>138</v>
      </c>
      <c r="B1545" s="53" t="s">
        <v>139</v>
      </c>
      <c r="C1545" s="53" t="s">
        <v>1971</v>
      </c>
      <c r="D1545" s="53" t="s">
        <v>148</v>
      </c>
    </row>
    <row r="1546" spans="1:4">
      <c r="A1546" s="53" t="s">
        <v>138</v>
      </c>
      <c r="B1546" s="53" t="s">
        <v>139</v>
      </c>
      <c r="C1546" s="53" t="s">
        <v>1972</v>
      </c>
      <c r="D1546" s="53" t="s">
        <v>1880</v>
      </c>
    </row>
    <row r="1547" spans="1:4">
      <c r="A1547" s="53" t="s">
        <v>1888</v>
      </c>
      <c r="B1547" s="53" t="s">
        <v>1889</v>
      </c>
      <c r="C1547" s="53" t="s">
        <v>3354</v>
      </c>
      <c r="D1547" s="53" t="s">
        <v>1890</v>
      </c>
    </row>
    <row r="1548" spans="1:4">
      <c r="A1548" s="53" t="s">
        <v>1888</v>
      </c>
      <c r="B1548" s="53" t="s">
        <v>1889</v>
      </c>
      <c r="C1548" s="53" t="s">
        <v>1964</v>
      </c>
      <c r="D1548" s="53" t="s">
        <v>1891</v>
      </c>
    </row>
    <row r="1549" spans="1:4">
      <c r="A1549" s="53" t="s">
        <v>1888</v>
      </c>
      <c r="B1549" s="53" t="s">
        <v>1889</v>
      </c>
      <c r="C1549" s="53" t="s">
        <v>1965</v>
      </c>
      <c r="D1549" s="53" t="s">
        <v>1892</v>
      </c>
    </row>
    <row r="1550" spans="1:4">
      <c r="A1550" s="53" t="s">
        <v>1888</v>
      </c>
      <c r="B1550" s="53" t="s">
        <v>1889</v>
      </c>
      <c r="C1550" s="53" t="s">
        <v>1966</v>
      </c>
      <c r="D1550" s="53" t="s">
        <v>28</v>
      </c>
    </row>
    <row r="1551" spans="1:4">
      <c r="A1551" s="53" t="s">
        <v>1888</v>
      </c>
      <c r="B1551" s="53" t="s">
        <v>1889</v>
      </c>
      <c r="C1551" s="53" t="s">
        <v>1967</v>
      </c>
      <c r="D1551" s="53" t="s">
        <v>1561</v>
      </c>
    </row>
    <row r="1552" spans="1:4">
      <c r="A1552" s="53" t="s">
        <v>1888</v>
      </c>
      <c r="B1552" s="53" t="s">
        <v>1889</v>
      </c>
      <c r="C1552" s="53" t="s">
        <v>1968</v>
      </c>
      <c r="D1552" s="53" t="s">
        <v>1789</v>
      </c>
    </row>
    <row r="1553" spans="1:4">
      <c r="A1553" s="53" t="s">
        <v>1888</v>
      </c>
      <c r="B1553" s="53" t="s">
        <v>1889</v>
      </c>
      <c r="C1553" s="53" t="s">
        <v>1969</v>
      </c>
      <c r="D1553" s="53" t="s">
        <v>3761</v>
      </c>
    </row>
    <row r="1554" spans="1:4">
      <c r="A1554" s="53" t="s">
        <v>1888</v>
      </c>
      <c r="B1554" s="53" t="s">
        <v>1889</v>
      </c>
      <c r="C1554" s="53" t="s">
        <v>1970</v>
      </c>
      <c r="D1554" s="53" t="s">
        <v>3762</v>
      </c>
    </row>
    <row r="1555" spans="1:4">
      <c r="A1555" s="53" t="s">
        <v>1888</v>
      </c>
      <c r="B1555" s="53" t="s">
        <v>1889</v>
      </c>
      <c r="C1555" s="53" t="s">
        <v>1971</v>
      </c>
      <c r="D1555" s="53" t="s">
        <v>4048</v>
      </c>
    </row>
    <row r="1556" spans="1:4">
      <c r="A1556" s="53" t="s">
        <v>1888</v>
      </c>
      <c r="B1556" s="53" t="s">
        <v>1889</v>
      </c>
      <c r="C1556" s="53" t="s">
        <v>1972</v>
      </c>
      <c r="D1556" s="53" t="s">
        <v>4049</v>
      </c>
    </row>
    <row r="1557" spans="1:4">
      <c r="A1557" s="53" t="s">
        <v>1888</v>
      </c>
      <c r="B1557" s="53" t="s">
        <v>1889</v>
      </c>
      <c r="C1557" s="53" t="s">
        <v>1973</v>
      </c>
      <c r="D1557" s="53" t="s">
        <v>4050</v>
      </c>
    </row>
    <row r="1558" spans="1:4">
      <c r="A1558" s="53" t="s">
        <v>1888</v>
      </c>
      <c r="B1558" s="53" t="s">
        <v>1889</v>
      </c>
      <c r="C1558" s="53" t="s">
        <v>1974</v>
      </c>
      <c r="D1558" s="53" t="s">
        <v>4051</v>
      </c>
    </row>
    <row r="1559" spans="1:4">
      <c r="A1559" s="53" t="s">
        <v>1888</v>
      </c>
      <c r="B1559" s="53" t="s">
        <v>1889</v>
      </c>
      <c r="C1559" s="53" t="s">
        <v>1975</v>
      </c>
      <c r="D1559" s="53" t="s">
        <v>4052</v>
      </c>
    </row>
    <row r="1560" spans="1:4">
      <c r="A1560" s="53" t="s">
        <v>1888</v>
      </c>
      <c r="B1560" s="53" t="s">
        <v>1889</v>
      </c>
      <c r="C1560" s="53" t="s">
        <v>1976</v>
      </c>
      <c r="D1560" s="53" t="s">
        <v>708</v>
      </c>
    </row>
    <row r="1561" spans="1:4">
      <c r="A1561" s="53" t="s">
        <v>1888</v>
      </c>
      <c r="B1561" s="53" t="s">
        <v>1889</v>
      </c>
      <c r="C1561" s="53" t="s">
        <v>1977</v>
      </c>
      <c r="D1561" s="53" t="s">
        <v>492</v>
      </c>
    </row>
    <row r="1562" spans="1:4">
      <c r="A1562" s="53" t="s">
        <v>1888</v>
      </c>
      <c r="B1562" s="53" t="s">
        <v>1889</v>
      </c>
      <c r="C1562" s="53" t="s">
        <v>1978</v>
      </c>
      <c r="D1562" s="53" t="s">
        <v>3379</v>
      </c>
    </row>
    <row r="1563" spans="1:4">
      <c r="A1563" s="53" t="s">
        <v>1888</v>
      </c>
      <c r="B1563" s="53" t="s">
        <v>1889</v>
      </c>
      <c r="C1563" s="53" t="s">
        <v>1979</v>
      </c>
      <c r="D1563" s="53" t="s">
        <v>4252</v>
      </c>
    </row>
    <row r="1564" spans="1:4">
      <c r="A1564" s="53" t="s">
        <v>1888</v>
      </c>
      <c r="B1564" s="53" t="s">
        <v>1889</v>
      </c>
      <c r="C1564" s="53" t="s">
        <v>1980</v>
      </c>
      <c r="D1564" s="53" t="s">
        <v>4253</v>
      </c>
    </row>
    <row r="1565" spans="1:4">
      <c r="A1565" s="53" t="s">
        <v>1888</v>
      </c>
      <c r="B1565" s="53" t="s">
        <v>1889</v>
      </c>
      <c r="C1565" s="53" t="s">
        <v>1981</v>
      </c>
      <c r="D1565" s="53" t="s">
        <v>770</v>
      </c>
    </row>
    <row r="1566" spans="1:4">
      <c r="A1566" s="53" t="s">
        <v>771</v>
      </c>
      <c r="B1566" s="53" t="s">
        <v>435</v>
      </c>
      <c r="C1566" s="53" t="s">
        <v>3354</v>
      </c>
      <c r="D1566" s="53" t="s">
        <v>1412</v>
      </c>
    </row>
    <row r="1567" spans="1:4">
      <c r="A1567" s="53" t="s">
        <v>771</v>
      </c>
      <c r="B1567" s="53" t="s">
        <v>435</v>
      </c>
      <c r="C1567" s="53" t="s">
        <v>1964</v>
      </c>
      <c r="D1567" s="53" t="s">
        <v>1413</v>
      </c>
    </row>
    <row r="1568" spans="1:4">
      <c r="A1568" s="53" t="s">
        <v>771</v>
      </c>
      <c r="B1568" s="53" t="s">
        <v>435</v>
      </c>
      <c r="C1568" s="53" t="s">
        <v>1965</v>
      </c>
      <c r="D1568" s="53" t="s">
        <v>1414</v>
      </c>
    </row>
    <row r="1569" spans="1:4">
      <c r="A1569" s="53" t="s">
        <v>771</v>
      </c>
      <c r="B1569" s="53" t="s">
        <v>435</v>
      </c>
      <c r="C1569" s="53" t="s">
        <v>1966</v>
      </c>
      <c r="D1569" s="53" t="s">
        <v>1415</v>
      </c>
    </row>
    <row r="1570" spans="1:4">
      <c r="A1570" s="53" t="s">
        <v>771</v>
      </c>
      <c r="B1570" s="53" t="s">
        <v>435</v>
      </c>
      <c r="C1570" s="53" t="s">
        <v>1967</v>
      </c>
      <c r="D1570" s="53" t="s">
        <v>1416</v>
      </c>
    </row>
    <row r="1571" spans="1:4">
      <c r="A1571" s="53" t="s">
        <v>771</v>
      </c>
      <c r="B1571" s="53" t="s">
        <v>435</v>
      </c>
      <c r="C1571" s="53" t="s">
        <v>1968</v>
      </c>
      <c r="D1571" s="53" t="s">
        <v>1417</v>
      </c>
    </row>
    <row r="1572" spans="1:4">
      <c r="A1572" s="53" t="s">
        <v>771</v>
      </c>
      <c r="B1572" s="53" t="s">
        <v>435</v>
      </c>
      <c r="C1572" s="53" t="s">
        <v>1969</v>
      </c>
      <c r="D1572" s="53" t="s">
        <v>1418</v>
      </c>
    </row>
    <row r="1573" spans="1:4">
      <c r="A1573" s="53" t="s">
        <v>771</v>
      </c>
      <c r="B1573" s="53" t="s">
        <v>435</v>
      </c>
      <c r="C1573" s="53" t="s">
        <v>1970</v>
      </c>
      <c r="D1573" s="53" t="s">
        <v>1419</v>
      </c>
    </row>
    <row r="1574" spans="1:4">
      <c r="A1574" s="53" t="s">
        <v>771</v>
      </c>
      <c r="B1574" s="53" t="s">
        <v>435</v>
      </c>
      <c r="C1574" s="53" t="s">
        <v>1971</v>
      </c>
      <c r="D1574" s="53" t="s">
        <v>3052</v>
      </c>
    </row>
    <row r="1575" spans="1:4">
      <c r="A1575" s="53" t="s">
        <v>771</v>
      </c>
      <c r="B1575" s="53" t="s">
        <v>435</v>
      </c>
      <c r="C1575" s="53" t="s">
        <v>1972</v>
      </c>
      <c r="D1575" s="53" t="s">
        <v>3053</v>
      </c>
    </row>
    <row r="1576" spans="1:4">
      <c r="A1576" s="53" t="s">
        <v>771</v>
      </c>
      <c r="B1576" s="53" t="s">
        <v>435</v>
      </c>
      <c r="C1576" s="53" t="s">
        <v>1973</v>
      </c>
      <c r="D1576" s="53" t="s">
        <v>2706</v>
      </c>
    </row>
    <row r="1577" spans="1:4">
      <c r="A1577" s="53" t="s">
        <v>771</v>
      </c>
      <c r="B1577" s="53" t="s">
        <v>435</v>
      </c>
      <c r="C1577" s="53" t="s">
        <v>1974</v>
      </c>
      <c r="D1577" s="53" t="s">
        <v>2515</v>
      </c>
    </row>
    <row r="1578" spans="1:4">
      <c r="A1578" s="53" t="s">
        <v>771</v>
      </c>
      <c r="B1578" s="53" t="s">
        <v>435</v>
      </c>
      <c r="C1578" s="53" t="s">
        <v>1975</v>
      </c>
      <c r="D1578" s="53" t="s">
        <v>2516</v>
      </c>
    </row>
    <row r="1579" spans="1:4">
      <c r="A1579" s="53" t="s">
        <v>771</v>
      </c>
      <c r="B1579" s="53" t="s">
        <v>435</v>
      </c>
      <c r="C1579" s="53" t="s">
        <v>1976</v>
      </c>
      <c r="D1579" s="53" t="s">
        <v>2517</v>
      </c>
    </row>
    <row r="1580" spans="1:4">
      <c r="A1580" s="53" t="s">
        <v>2518</v>
      </c>
      <c r="B1580" s="53" t="s">
        <v>2519</v>
      </c>
      <c r="C1580" s="53" t="s">
        <v>3354</v>
      </c>
      <c r="D1580" s="53" t="s">
        <v>2520</v>
      </c>
    </row>
    <row r="1581" spans="1:4">
      <c r="A1581" s="53" t="s">
        <v>2518</v>
      </c>
      <c r="B1581" s="53" t="s">
        <v>2519</v>
      </c>
      <c r="C1581" s="53" t="s">
        <v>1964</v>
      </c>
      <c r="D1581" s="53" t="s">
        <v>2521</v>
      </c>
    </row>
    <row r="1582" spans="1:4">
      <c r="A1582" s="53" t="s">
        <v>2518</v>
      </c>
      <c r="B1582" s="53" t="s">
        <v>2519</v>
      </c>
      <c r="C1582" s="53" t="s">
        <v>1965</v>
      </c>
      <c r="D1582" s="53" t="s">
        <v>1817</v>
      </c>
    </row>
    <row r="1583" spans="1:4">
      <c r="A1583" s="53" t="s">
        <v>2518</v>
      </c>
      <c r="B1583" s="53" t="s">
        <v>2519</v>
      </c>
      <c r="C1583" s="53" t="s">
        <v>1966</v>
      </c>
      <c r="D1583" s="53" t="s">
        <v>1818</v>
      </c>
    </row>
    <row r="1584" spans="1:4">
      <c r="A1584" s="53" t="s">
        <v>2518</v>
      </c>
      <c r="B1584" s="53" t="s">
        <v>2519</v>
      </c>
      <c r="C1584" s="53" t="s">
        <v>1967</v>
      </c>
      <c r="D1584" s="53" t="s">
        <v>4417</v>
      </c>
    </row>
    <row r="1585" spans="1:4">
      <c r="A1585" s="53" t="s">
        <v>2518</v>
      </c>
      <c r="B1585" s="53" t="s">
        <v>2519</v>
      </c>
      <c r="C1585" s="53" t="s">
        <v>1968</v>
      </c>
      <c r="D1585" s="53" t="s">
        <v>4418</v>
      </c>
    </row>
    <row r="1586" spans="1:4">
      <c r="A1586" s="53" t="s">
        <v>2518</v>
      </c>
      <c r="B1586" s="53" t="s">
        <v>2519</v>
      </c>
      <c r="C1586" s="53" t="s">
        <v>1969</v>
      </c>
      <c r="D1586" s="53" t="s">
        <v>57</v>
      </c>
    </row>
    <row r="1587" spans="1:4">
      <c r="A1587" s="53" t="s">
        <v>2518</v>
      </c>
      <c r="B1587" s="53" t="s">
        <v>2519</v>
      </c>
      <c r="C1587" s="53" t="s">
        <v>1970</v>
      </c>
      <c r="D1587" s="53" t="s">
        <v>58</v>
      </c>
    </row>
    <row r="1588" spans="1:4">
      <c r="A1588" s="53" t="s">
        <v>2518</v>
      </c>
      <c r="B1588" s="53" t="s">
        <v>2519</v>
      </c>
      <c r="C1588" s="53" t="s">
        <v>1971</v>
      </c>
      <c r="D1588" s="53" t="s">
        <v>1032</v>
      </c>
    </row>
    <row r="1589" spans="1:4">
      <c r="A1589" s="53" t="s">
        <v>2518</v>
      </c>
      <c r="B1589" s="53" t="s">
        <v>2519</v>
      </c>
      <c r="C1589" s="53" t="s">
        <v>1972</v>
      </c>
      <c r="D1589" s="53" t="s">
        <v>1033</v>
      </c>
    </row>
    <row r="1590" spans="1:4">
      <c r="A1590" s="53" t="s">
        <v>2518</v>
      </c>
      <c r="B1590" s="53" t="s">
        <v>2519</v>
      </c>
      <c r="C1590" s="53" t="s">
        <v>1973</v>
      </c>
      <c r="D1590" s="53" t="s">
        <v>1060</v>
      </c>
    </row>
    <row r="1591" spans="1:4">
      <c r="A1591" s="53" t="s">
        <v>2518</v>
      </c>
      <c r="B1591" s="53" t="s">
        <v>2519</v>
      </c>
      <c r="C1591" s="53" t="s">
        <v>1974</v>
      </c>
      <c r="D1591" s="53" t="s">
        <v>1570</v>
      </c>
    </row>
    <row r="1592" spans="1:4">
      <c r="A1592" s="53" t="s">
        <v>2518</v>
      </c>
      <c r="B1592" s="53" t="s">
        <v>2519</v>
      </c>
      <c r="C1592" s="53" t="s">
        <v>1975</v>
      </c>
      <c r="D1592" s="53" t="s">
        <v>2072</v>
      </c>
    </row>
    <row r="1593" spans="1:4">
      <c r="A1593" s="53" t="s">
        <v>2518</v>
      </c>
      <c r="B1593" s="53" t="s">
        <v>2519</v>
      </c>
      <c r="C1593" s="53" t="s">
        <v>1976</v>
      </c>
      <c r="D1593" s="53" t="s">
        <v>4088</v>
      </c>
    </row>
    <row r="1594" spans="1:4">
      <c r="A1594" s="53" t="s">
        <v>4089</v>
      </c>
      <c r="B1594" s="53" t="s">
        <v>4090</v>
      </c>
      <c r="C1594" s="53" t="s">
        <v>3354</v>
      </c>
      <c r="D1594" s="53" t="s">
        <v>4091</v>
      </c>
    </row>
    <row r="1595" spans="1:4">
      <c r="A1595" s="53" t="s">
        <v>4089</v>
      </c>
      <c r="B1595" s="53" t="s">
        <v>4090</v>
      </c>
      <c r="C1595" s="53" t="s">
        <v>1964</v>
      </c>
      <c r="D1595" s="53" t="s">
        <v>4092</v>
      </c>
    </row>
    <row r="1596" spans="1:4">
      <c r="A1596" s="53" t="s">
        <v>4089</v>
      </c>
      <c r="B1596" s="53" t="s">
        <v>4090</v>
      </c>
      <c r="C1596" s="53" t="s">
        <v>1965</v>
      </c>
      <c r="D1596" s="53" t="s">
        <v>2762</v>
      </c>
    </row>
    <row r="1597" spans="1:4">
      <c r="A1597" s="53" t="s">
        <v>4089</v>
      </c>
      <c r="B1597" s="53" t="s">
        <v>4090</v>
      </c>
      <c r="C1597" s="53" t="s">
        <v>1966</v>
      </c>
      <c r="D1597" s="53" t="s">
        <v>1780</v>
      </c>
    </row>
    <row r="1598" spans="1:4">
      <c r="A1598" s="53" t="s">
        <v>4089</v>
      </c>
      <c r="B1598" s="53" t="s">
        <v>4090</v>
      </c>
      <c r="C1598" s="53" t="s">
        <v>1967</v>
      </c>
      <c r="D1598" s="53" t="s">
        <v>1842</v>
      </c>
    </row>
    <row r="1599" spans="1:4">
      <c r="A1599" s="53" t="s">
        <v>4089</v>
      </c>
      <c r="B1599" s="53" t="s">
        <v>4090</v>
      </c>
      <c r="C1599" s="53" t="s">
        <v>1968</v>
      </c>
      <c r="D1599" s="53" t="s">
        <v>1843</v>
      </c>
    </row>
    <row r="1600" spans="1:4">
      <c r="A1600" s="53" t="s">
        <v>4089</v>
      </c>
      <c r="B1600" s="53" t="s">
        <v>4090</v>
      </c>
      <c r="C1600" s="53" t="s">
        <v>1969</v>
      </c>
      <c r="D1600" s="53" t="s">
        <v>1820</v>
      </c>
    </row>
    <row r="1601" spans="1:4">
      <c r="A1601" s="53" t="s">
        <v>4089</v>
      </c>
      <c r="B1601" s="53" t="s">
        <v>4090</v>
      </c>
      <c r="C1601" s="53" t="s">
        <v>1970</v>
      </c>
      <c r="D1601" s="53" t="s">
        <v>1749</v>
      </c>
    </row>
    <row r="1602" spans="1:4">
      <c r="A1602" s="53" t="s">
        <v>4089</v>
      </c>
      <c r="B1602" s="53" t="s">
        <v>4090</v>
      </c>
      <c r="C1602" s="53" t="s">
        <v>1971</v>
      </c>
      <c r="D1602" s="53" t="s">
        <v>1372</v>
      </c>
    </row>
    <row r="1603" spans="1:4">
      <c r="A1603" s="53" t="s">
        <v>4089</v>
      </c>
      <c r="B1603" s="53" t="s">
        <v>4090</v>
      </c>
      <c r="C1603" s="53" t="s">
        <v>1972</v>
      </c>
      <c r="D1603" s="53" t="s">
        <v>1373</v>
      </c>
    </row>
    <row r="1604" spans="1:4">
      <c r="A1604" s="53" t="s">
        <v>4089</v>
      </c>
      <c r="B1604" s="53" t="s">
        <v>4090</v>
      </c>
      <c r="C1604" s="53" t="s">
        <v>1973</v>
      </c>
      <c r="D1604" s="53" t="s">
        <v>1374</v>
      </c>
    </row>
    <row r="1605" spans="1:4">
      <c r="A1605" s="53" t="s">
        <v>4089</v>
      </c>
      <c r="B1605" s="53" t="s">
        <v>4090</v>
      </c>
      <c r="C1605" s="53" t="s">
        <v>1974</v>
      </c>
      <c r="D1605" s="53" t="s">
        <v>3881</v>
      </c>
    </row>
    <row r="1606" spans="1:4">
      <c r="A1606" s="53" t="s">
        <v>4089</v>
      </c>
      <c r="B1606" s="53" t="s">
        <v>4090</v>
      </c>
      <c r="C1606" s="53" t="s">
        <v>1975</v>
      </c>
      <c r="D1606" s="53" t="s">
        <v>3882</v>
      </c>
    </row>
    <row r="1607" spans="1:4">
      <c r="A1607" s="53" t="s">
        <v>4089</v>
      </c>
      <c r="B1607" s="53" t="s">
        <v>4090</v>
      </c>
      <c r="C1607" s="53" t="s">
        <v>1976</v>
      </c>
      <c r="D1607" s="53" t="s">
        <v>3883</v>
      </c>
    </row>
    <row r="1608" spans="1:4">
      <c r="A1608" s="53" t="s">
        <v>4089</v>
      </c>
      <c r="B1608" s="53" t="s">
        <v>4090</v>
      </c>
      <c r="C1608" s="53" t="s">
        <v>1977</v>
      </c>
      <c r="D1608" s="53" t="s">
        <v>3884</v>
      </c>
    </row>
    <row r="1609" spans="1:4">
      <c r="A1609" s="53" t="s">
        <v>4089</v>
      </c>
      <c r="B1609" s="53" t="s">
        <v>4090</v>
      </c>
      <c r="C1609" s="53" t="s">
        <v>1978</v>
      </c>
      <c r="D1609" s="53" t="s">
        <v>2701</v>
      </c>
    </row>
    <row r="1610" spans="1:4">
      <c r="A1610" s="53" t="s">
        <v>4089</v>
      </c>
      <c r="B1610" s="53" t="s">
        <v>4090</v>
      </c>
      <c r="C1610" s="53" t="s">
        <v>1979</v>
      </c>
      <c r="D1610" s="53" t="s">
        <v>292</v>
      </c>
    </row>
    <row r="1611" spans="1:4">
      <c r="A1611" s="53" t="s">
        <v>4089</v>
      </c>
      <c r="B1611" s="53" t="s">
        <v>4090</v>
      </c>
      <c r="C1611" s="53" t="s">
        <v>1980</v>
      </c>
      <c r="D1611" s="53" t="s">
        <v>2991</v>
      </c>
    </row>
    <row r="1612" spans="1:4">
      <c r="A1612" s="53" t="s">
        <v>4089</v>
      </c>
      <c r="B1612" s="53" t="s">
        <v>4090</v>
      </c>
      <c r="C1612" s="53" t="s">
        <v>1981</v>
      </c>
      <c r="D1612" s="53" t="s">
        <v>2992</v>
      </c>
    </row>
    <row r="1613" spans="1:4">
      <c r="A1613" s="53" t="s">
        <v>4089</v>
      </c>
      <c r="B1613" s="53" t="s">
        <v>4090</v>
      </c>
      <c r="C1613" s="53" t="s">
        <v>1982</v>
      </c>
      <c r="D1613" s="53" t="s">
        <v>2993</v>
      </c>
    </row>
    <row r="1614" spans="1:4">
      <c r="A1614" s="53" t="s">
        <v>2994</v>
      </c>
      <c r="B1614" s="53" t="s">
        <v>3002</v>
      </c>
      <c r="C1614" s="53" t="s">
        <v>3354</v>
      </c>
      <c r="D1614" s="53" t="s">
        <v>3003</v>
      </c>
    </row>
    <row r="1615" spans="1:4">
      <c r="A1615" s="53" t="s">
        <v>2994</v>
      </c>
      <c r="B1615" s="53" t="s">
        <v>3002</v>
      </c>
      <c r="C1615" s="53" t="s">
        <v>1964</v>
      </c>
      <c r="D1615" s="53" t="s">
        <v>3004</v>
      </c>
    </row>
    <row r="1616" spans="1:4">
      <c r="A1616" s="53" t="s">
        <v>2994</v>
      </c>
      <c r="B1616" s="53" t="s">
        <v>3002</v>
      </c>
      <c r="C1616" s="53" t="s">
        <v>1965</v>
      </c>
      <c r="D1616" s="53" t="s">
        <v>3005</v>
      </c>
    </row>
    <row r="1617" spans="1:4">
      <c r="A1617" s="53" t="s">
        <v>2994</v>
      </c>
      <c r="B1617" s="53" t="s">
        <v>3002</v>
      </c>
      <c r="C1617" s="53" t="s">
        <v>1966</v>
      </c>
      <c r="D1617" s="53" t="s">
        <v>2995</v>
      </c>
    </row>
    <row r="1618" spans="1:4">
      <c r="A1618" s="53" t="s">
        <v>2994</v>
      </c>
      <c r="B1618" s="53" t="s">
        <v>3002</v>
      </c>
      <c r="C1618" s="53" t="s">
        <v>1967</v>
      </c>
      <c r="D1618" s="53" t="s">
        <v>2996</v>
      </c>
    </row>
    <row r="1619" spans="1:4">
      <c r="A1619" s="53" t="s">
        <v>2994</v>
      </c>
      <c r="B1619" s="53" t="s">
        <v>3002</v>
      </c>
      <c r="C1619" s="53" t="s">
        <v>1968</v>
      </c>
      <c r="D1619" s="53" t="s">
        <v>2997</v>
      </c>
    </row>
    <row r="1620" spans="1:4">
      <c r="A1620" s="53" t="s">
        <v>2994</v>
      </c>
      <c r="B1620" s="53" t="s">
        <v>3002</v>
      </c>
      <c r="C1620" s="53" t="s">
        <v>1969</v>
      </c>
      <c r="D1620" s="53" t="s">
        <v>2998</v>
      </c>
    </row>
    <row r="1621" spans="1:4">
      <c r="A1621" s="53" t="s">
        <v>2994</v>
      </c>
      <c r="B1621" s="53" t="s">
        <v>3002</v>
      </c>
      <c r="C1621" s="53" t="s">
        <v>1970</v>
      </c>
      <c r="D1621" s="53" t="s">
        <v>2999</v>
      </c>
    </row>
    <row r="1622" spans="1:4">
      <c r="A1622" s="53" t="s">
        <v>2994</v>
      </c>
      <c r="B1622" s="53" t="s">
        <v>3002</v>
      </c>
      <c r="C1622" s="53" t="s">
        <v>1971</v>
      </c>
      <c r="D1622" s="53" t="s">
        <v>1693</v>
      </c>
    </row>
    <row r="1623" spans="1:4">
      <c r="A1623" s="53" t="s">
        <v>2994</v>
      </c>
      <c r="B1623" s="53" t="s">
        <v>3002</v>
      </c>
      <c r="C1623" s="53" t="s">
        <v>1972</v>
      </c>
      <c r="D1623" s="53" t="s">
        <v>3542</v>
      </c>
    </row>
    <row r="1624" spans="1:4">
      <c r="A1624" s="53" t="s">
        <v>2994</v>
      </c>
      <c r="B1624" s="53" t="s">
        <v>3002</v>
      </c>
      <c r="C1624" s="53" t="s">
        <v>1973</v>
      </c>
      <c r="D1624" s="53" t="s">
        <v>162</v>
      </c>
    </row>
    <row r="1625" spans="1:4">
      <c r="A1625" s="53" t="s">
        <v>2994</v>
      </c>
      <c r="B1625" s="53" t="s">
        <v>3002</v>
      </c>
      <c r="C1625" s="53" t="s">
        <v>1974</v>
      </c>
      <c r="D1625" s="53" t="s">
        <v>163</v>
      </c>
    </row>
    <row r="1626" spans="1:4">
      <c r="A1626" s="53" t="s">
        <v>2994</v>
      </c>
      <c r="B1626" s="53" t="s">
        <v>3002</v>
      </c>
      <c r="C1626" s="53" t="s">
        <v>1975</v>
      </c>
      <c r="D1626" s="53" t="s">
        <v>3638</v>
      </c>
    </row>
    <row r="1627" spans="1:4">
      <c r="A1627" s="53" t="s">
        <v>2994</v>
      </c>
      <c r="B1627" s="53" t="s">
        <v>3002</v>
      </c>
      <c r="C1627" s="53" t="s">
        <v>1976</v>
      </c>
      <c r="D1627" s="53" t="s">
        <v>3639</v>
      </c>
    </row>
    <row r="1628" spans="1:4">
      <c r="A1628" s="53" t="s">
        <v>2994</v>
      </c>
      <c r="B1628" s="53" t="s">
        <v>3002</v>
      </c>
      <c r="C1628" s="53" t="s">
        <v>1976</v>
      </c>
      <c r="D1628" s="53" t="s">
        <v>3640</v>
      </c>
    </row>
    <row r="1629" spans="1:4">
      <c r="A1629" s="53" t="s">
        <v>3641</v>
      </c>
      <c r="B1629" s="53" t="s">
        <v>3642</v>
      </c>
      <c r="C1629" s="53" t="s">
        <v>3354</v>
      </c>
      <c r="D1629" s="53" t="s">
        <v>2287</v>
      </c>
    </row>
    <row r="1630" spans="1:4">
      <c r="A1630" s="53" t="s">
        <v>3641</v>
      </c>
      <c r="B1630" s="53" t="s">
        <v>3642</v>
      </c>
      <c r="C1630" s="53" t="s">
        <v>1964</v>
      </c>
      <c r="D1630" s="53" t="s">
        <v>2288</v>
      </c>
    </row>
    <row r="1631" spans="1:4">
      <c r="A1631" s="53" t="s">
        <v>3641</v>
      </c>
      <c r="B1631" s="53" t="s">
        <v>3642</v>
      </c>
      <c r="C1631" s="53" t="s">
        <v>1965</v>
      </c>
      <c r="D1631" s="53" t="s">
        <v>2289</v>
      </c>
    </row>
    <row r="1632" spans="1:4">
      <c r="A1632" s="53" t="s">
        <v>3641</v>
      </c>
      <c r="B1632" s="53" t="s">
        <v>3642</v>
      </c>
      <c r="C1632" s="53" t="s">
        <v>1966</v>
      </c>
      <c r="D1632" s="53" t="s">
        <v>2269</v>
      </c>
    </row>
    <row r="1633" spans="1:4">
      <c r="A1633" s="53" t="s">
        <v>3641</v>
      </c>
      <c r="B1633" s="53" t="s">
        <v>3642</v>
      </c>
      <c r="C1633" s="53" t="s">
        <v>1967</v>
      </c>
      <c r="D1633" s="53" t="s">
        <v>2270</v>
      </c>
    </row>
    <row r="1634" spans="1:4">
      <c r="A1634" s="53" t="s">
        <v>3641</v>
      </c>
      <c r="B1634" s="53" t="s">
        <v>3642</v>
      </c>
      <c r="C1634" s="53" t="s">
        <v>1968</v>
      </c>
      <c r="D1634" s="53" t="s">
        <v>2271</v>
      </c>
    </row>
    <row r="1635" spans="1:4">
      <c r="A1635" s="53" t="s">
        <v>3641</v>
      </c>
      <c r="B1635" s="53" t="s">
        <v>3642</v>
      </c>
      <c r="C1635" s="53" t="s">
        <v>1969</v>
      </c>
      <c r="D1635" s="53" t="s">
        <v>2272</v>
      </c>
    </row>
    <row r="1636" spans="1:4">
      <c r="A1636" s="53" t="s">
        <v>3641</v>
      </c>
      <c r="B1636" s="53" t="s">
        <v>3642</v>
      </c>
      <c r="C1636" s="53" t="s">
        <v>1970</v>
      </c>
      <c r="D1636" s="53" t="s">
        <v>2273</v>
      </c>
    </row>
    <row r="1637" spans="1:4">
      <c r="A1637" s="53" t="s">
        <v>3641</v>
      </c>
      <c r="B1637" s="53" t="s">
        <v>3642</v>
      </c>
      <c r="C1637" s="53" t="s">
        <v>1971</v>
      </c>
      <c r="D1637" s="53" t="s">
        <v>2274</v>
      </c>
    </row>
    <row r="1638" spans="1:4">
      <c r="A1638" s="53" t="s">
        <v>3641</v>
      </c>
      <c r="B1638" s="53" t="s">
        <v>3642</v>
      </c>
      <c r="C1638" s="53" t="s">
        <v>1972</v>
      </c>
      <c r="D1638" s="53" t="s">
        <v>2275</v>
      </c>
    </row>
    <row r="1639" spans="1:4">
      <c r="A1639" s="53" t="s">
        <v>3641</v>
      </c>
      <c r="B1639" s="53" t="s">
        <v>3642</v>
      </c>
      <c r="C1639" s="53" t="s">
        <v>1973</v>
      </c>
      <c r="D1639" s="53" t="s">
        <v>2276</v>
      </c>
    </row>
    <row r="1640" spans="1:4">
      <c r="A1640" s="53" t="s">
        <v>3641</v>
      </c>
      <c r="B1640" s="53" t="s">
        <v>3642</v>
      </c>
      <c r="C1640" s="53" t="s">
        <v>1974</v>
      </c>
      <c r="D1640" s="53" t="s">
        <v>2277</v>
      </c>
    </row>
    <row r="1641" spans="1:4">
      <c r="A1641" s="53" t="s">
        <v>3641</v>
      </c>
      <c r="B1641" s="53" t="s">
        <v>3642</v>
      </c>
      <c r="C1641" s="53" t="s">
        <v>1975</v>
      </c>
      <c r="D1641" s="53" t="s">
        <v>2541</v>
      </c>
    </row>
    <row r="1642" spans="1:4">
      <c r="A1642" s="53" t="s">
        <v>3641</v>
      </c>
      <c r="B1642" s="53" t="s">
        <v>3642</v>
      </c>
      <c r="C1642" s="53" t="s">
        <v>1976</v>
      </c>
      <c r="D1642" s="53" t="s">
        <v>2542</v>
      </c>
    </row>
    <row r="1643" spans="1:4">
      <c r="A1643" s="53" t="s">
        <v>3641</v>
      </c>
      <c r="B1643" s="53" t="s">
        <v>3642</v>
      </c>
      <c r="C1643" s="53" t="s">
        <v>1977</v>
      </c>
      <c r="D1643" s="53" t="s">
        <v>2543</v>
      </c>
    </row>
    <row r="1644" spans="1:4">
      <c r="A1644" s="53" t="s">
        <v>3641</v>
      </c>
      <c r="B1644" s="53" t="s">
        <v>3642</v>
      </c>
      <c r="C1644" s="53" t="s">
        <v>1978</v>
      </c>
      <c r="D1644" s="53" t="s">
        <v>3664</v>
      </c>
    </row>
    <row r="1645" spans="1:4">
      <c r="A1645" s="53" t="s">
        <v>3641</v>
      </c>
      <c r="B1645" s="53" t="s">
        <v>3642</v>
      </c>
      <c r="C1645" s="53" t="s">
        <v>1979</v>
      </c>
      <c r="D1645" s="53" t="s">
        <v>4294</v>
      </c>
    </row>
    <row r="1646" spans="1:4">
      <c r="A1646" s="53" t="s">
        <v>3641</v>
      </c>
      <c r="B1646" s="53" t="s">
        <v>3642</v>
      </c>
      <c r="C1646" s="53" t="s">
        <v>1980</v>
      </c>
      <c r="D1646" s="53" t="s">
        <v>4295</v>
      </c>
    </row>
    <row r="1647" spans="1:4">
      <c r="A1647" s="53" t="s">
        <v>3641</v>
      </c>
      <c r="B1647" s="53" t="s">
        <v>3642</v>
      </c>
      <c r="C1647" s="53" t="s">
        <v>1981</v>
      </c>
      <c r="D1647" s="53" t="s">
        <v>4296</v>
      </c>
    </row>
    <row r="1648" spans="1:4">
      <c r="A1648" s="53" t="s">
        <v>3641</v>
      </c>
      <c r="B1648" s="53" t="s">
        <v>3642</v>
      </c>
      <c r="C1648" s="53" t="s">
        <v>1982</v>
      </c>
      <c r="D1648" s="53" t="s">
        <v>3311</v>
      </c>
    </row>
    <row r="1649" spans="1:4">
      <c r="A1649" s="53" t="s">
        <v>3641</v>
      </c>
      <c r="B1649" s="53" t="s">
        <v>3642</v>
      </c>
      <c r="C1649" s="53" t="s">
        <v>4150</v>
      </c>
      <c r="D1649" s="53" t="s">
        <v>3312</v>
      </c>
    </row>
    <row r="1650" spans="1:4">
      <c r="A1650" s="53" t="s">
        <v>3641</v>
      </c>
      <c r="B1650" s="53" t="s">
        <v>3642</v>
      </c>
      <c r="C1650" s="53" t="s">
        <v>4151</v>
      </c>
      <c r="D1650" s="53" t="s">
        <v>2894</v>
      </c>
    </row>
    <row r="1651" spans="1:4">
      <c r="A1651" s="53" t="s">
        <v>3641</v>
      </c>
      <c r="B1651" s="53" t="s">
        <v>3642</v>
      </c>
      <c r="C1651" s="53" t="s">
        <v>4152</v>
      </c>
      <c r="D1651" s="53" t="s">
        <v>2087</v>
      </c>
    </row>
    <row r="1652" spans="1:4">
      <c r="A1652" s="53" t="s">
        <v>3641</v>
      </c>
      <c r="B1652" s="53" t="s">
        <v>3642</v>
      </c>
      <c r="C1652" s="53" t="s">
        <v>4153</v>
      </c>
      <c r="D1652" s="53" t="s">
        <v>2935</v>
      </c>
    </row>
    <row r="1653" spans="1:4">
      <c r="A1653" s="53" t="s">
        <v>3641</v>
      </c>
      <c r="B1653" s="53" t="s">
        <v>3642</v>
      </c>
      <c r="C1653" s="53" t="s">
        <v>4154</v>
      </c>
      <c r="D1653" s="53" t="s">
        <v>2936</v>
      </c>
    </row>
    <row r="1654" spans="1:4">
      <c r="A1654" s="53" t="s">
        <v>3641</v>
      </c>
      <c r="B1654" s="53" t="s">
        <v>3642</v>
      </c>
      <c r="C1654" s="53" t="s">
        <v>4155</v>
      </c>
      <c r="D1654" s="53" t="s">
        <v>2937</v>
      </c>
    </row>
    <row r="1655" spans="1:4">
      <c r="A1655" s="53" t="s">
        <v>3641</v>
      </c>
      <c r="B1655" s="53" t="s">
        <v>3642</v>
      </c>
      <c r="C1655" s="53" t="s">
        <v>4156</v>
      </c>
      <c r="D1655" s="53" t="s">
        <v>2938</v>
      </c>
    </row>
    <row r="1656" spans="1:4">
      <c r="A1656" s="53" t="s">
        <v>2939</v>
      </c>
      <c r="B1656" s="53" t="s">
        <v>2940</v>
      </c>
      <c r="C1656" s="53" t="s">
        <v>3354</v>
      </c>
      <c r="D1656" s="53" t="s">
        <v>3869</v>
      </c>
    </row>
    <row r="1657" spans="1:4">
      <c r="A1657" s="53" t="s">
        <v>2939</v>
      </c>
      <c r="B1657" s="53" t="s">
        <v>2940</v>
      </c>
      <c r="C1657" s="53" t="s">
        <v>1964</v>
      </c>
      <c r="D1657" s="53" t="s">
        <v>3870</v>
      </c>
    </row>
    <row r="1658" spans="1:4">
      <c r="A1658" s="53" t="s">
        <v>2939</v>
      </c>
      <c r="B1658" s="53" t="s">
        <v>2940</v>
      </c>
      <c r="C1658" s="53" t="s">
        <v>1965</v>
      </c>
      <c r="D1658" s="53" t="s">
        <v>459</v>
      </c>
    </row>
    <row r="1659" spans="1:4">
      <c r="A1659" s="53" t="s">
        <v>2939</v>
      </c>
      <c r="B1659" s="53" t="s">
        <v>2940</v>
      </c>
      <c r="C1659" s="53" t="s">
        <v>1966</v>
      </c>
      <c r="D1659" s="53" t="s">
        <v>2374</v>
      </c>
    </row>
    <row r="1660" spans="1:4">
      <c r="A1660" s="53" t="s">
        <v>2939</v>
      </c>
      <c r="B1660" s="53" t="s">
        <v>2940</v>
      </c>
      <c r="C1660" s="53" t="s">
        <v>1967</v>
      </c>
      <c r="D1660" s="53" t="s">
        <v>4250</v>
      </c>
    </row>
    <row r="1661" spans="1:4">
      <c r="A1661" s="53" t="s">
        <v>2939</v>
      </c>
      <c r="B1661" s="53" t="s">
        <v>2940</v>
      </c>
      <c r="C1661" s="53" t="s">
        <v>1968</v>
      </c>
      <c r="D1661" s="53" t="s">
        <v>4251</v>
      </c>
    </row>
    <row r="1662" spans="1:4">
      <c r="A1662" s="53" t="s">
        <v>2939</v>
      </c>
      <c r="B1662" s="53" t="s">
        <v>2940</v>
      </c>
      <c r="C1662" s="53" t="s">
        <v>1969</v>
      </c>
      <c r="D1662" s="53" t="s">
        <v>364</v>
      </c>
    </row>
    <row r="1663" spans="1:4">
      <c r="A1663" s="53" t="s">
        <v>2939</v>
      </c>
      <c r="B1663" s="53" t="s">
        <v>2940</v>
      </c>
      <c r="C1663" s="53" t="s">
        <v>1970</v>
      </c>
      <c r="D1663" s="53" t="s">
        <v>365</v>
      </c>
    </row>
    <row r="1664" spans="1:4">
      <c r="A1664" s="53" t="s">
        <v>2939</v>
      </c>
      <c r="B1664" s="53" t="s">
        <v>2940</v>
      </c>
      <c r="C1664" s="53" t="s">
        <v>1971</v>
      </c>
      <c r="D1664" s="53" t="s">
        <v>366</v>
      </c>
    </row>
    <row r="1665" spans="1:4">
      <c r="A1665" s="53" t="s">
        <v>2939</v>
      </c>
      <c r="B1665" s="53" t="s">
        <v>2940</v>
      </c>
      <c r="C1665" s="53" t="s">
        <v>1972</v>
      </c>
      <c r="D1665" s="53" t="s">
        <v>367</v>
      </c>
    </row>
    <row r="1666" spans="1:4">
      <c r="A1666" s="53" t="s">
        <v>2939</v>
      </c>
      <c r="B1666" s="53" t="s">
        <v>2940</v>
      </c>
      <c r="C1666" s="53" t="s">
        <v>1973</v>
      </c>
      <c r="D1666" s="53" t="s">
        <v>368</v>
      </c>
    </row>
    <row r="1667" spans="1:4">
      <c r="A1667" s="53" t="s">
        <v>2939</v>
      </c>
      <c r="B1667" s="53" t="s">
        <v>2940</v>
      </c>
      <c r="C1667" s="53" t="s">
        <v>1974</v>
      </c>
      <c r="D1667" s="53" t="s">
        <v>369</v>
      </c>
    </row>
    <row r="1668" spans="1:4">
      <c r="A1668" s="53" t="s">
        <v>2939</v>
      </c>
      <c r="B1668" s="53" t="s">
        <v>2940</v>
      </c>
      <c r="C1668" s="53" t="s">
        <v>1975</v>
      </c>
      <c r="D1668" s="53" t="s">
        <v>370</v>
      </c>
    </row>
    <row r="1669" spans="1:4">
      <c r="A1669" s="53" t="s">
        <v>2939</v>
      </c>
      <c r="B1669" s="53" t="s">
        <v>2940</v>
      </c>
      <c r="C1669" s="53" t="s">
        <v>1976</v>
      </c>
      <c r="D1669" s="53" t="s">
        <v>371</v>
      </c>
    </row>
    <row r="1670" spans="1:4">
      <c r="A1670" s="53" t="s">
        <v>2939</v>
      </c>
      <c r="B1670" s="53" t="s">
        <v>2940</v>
      </c>
      <c r="C1670" s="53" t="s">
        <v>1977</v>
      </c>
      <c r="D1670" s="53" t="s">
        <v>2008</v>
      </c>
    </row>
    <row r="1671" spans="1:4">
      <c r="A1671" s="53" t="s">
        <v>2939</v>
      </c>
      <c r="B1671" s="53" t="s">
        <v>2940</v>
      </c>
      <c r="C1671" s="53" t="s">
        <v>1978</v>
      </c>
      <c r="D1671" s="53" t="s">
        <v>2009</v>
      </c>
    </row>
    <row r="1672" spans="1:4">
      <c r="A1672" s="53" t="s">
        <v>2939</v>
      </c>
      <c r="B1672" s="53" t="s">
        <v>2940</v>
      </c>
      <c r="C1672" s="53" t="s">
        <v>1979</v>
      </c>
      <c r="D1672" s="53" t="s">
        <v>2010</v>
      </c>
    </row>
    <row r="1673" spans="1:4">
      <c r="A1673" s="53" t="s">
        <v>2939</v>
      </c>
      <c r="B1673" s="53" t="s">
        <v>2940</v>
      </c>
      <c r="C1673" s="53" t="s">
        <v>1980</v>
      </c>
      <c r="D1673" s="53" t="s">
        <v>1799</v>
      </c>
    </row>
    <row r="1674" spans="1:4">
      <c r="A1674" s="53" t="s">
        <v>2939</v>
      </c>
      <c r="B1674" s="53" t="s">
        <v>2940</v>
      </c>
      <c r="C1674" s="53" t="s">
        <v>1981</v>
      </c>
      <c r="D1674" s="53" t="s">
        <v>1800</v>
      </c>
    </row>
    <row r="1675" spans="1:4">
      <c r="A1675" s="53" t="s">
        <v>2939</v>
      </c>
      <c r="B1675" s="53" t="s">
        <v>2940</v>
      </c>
      <c r="C1675" s="53" t="s">
        <v>1982</v>
      </c>
      <c r="D1675" s="53" t="s">
        <v>1801</v>
      </c>
    </row>
    <row r="1676" spans="1:4">
      <c r="A1676" s="53" t="s">
        <v>2939</v>
      </c>
      <c r="B1676" s="53" t="s">
        <v>2940</v>
      </c>
      <c r="C1676" s="53" t="s">
        <v>4150</v>
      </c>
      <c r="D1676" s="53" t="s">
        <v>1802</v>
      </c>
    </row>
    <row r="1677" spans="1:4">
      <c r="A1677" s="53" t="s">
        <v>2939</v>
      </c>
      <c r="B1677" s="53" t="s">
        <v>2940</v>
      </c>
      <c r="C1677" s="53" t="s">
        <v>4151</v>
      </c>
      <c r="D1677" s="53" t="s">
        <v>1803</v>
      </c>
    </row>
    <row r="1678" spans="1:4">
      <c r="A1678" s="53" t="s">
        <v>2939</v>
      </c>
      <c r="B1678" s="53" t="s">
        <v>2940</v>
      </c>
      <c r="C1678" s="53" t="s">
        <v>4152</v>
      </c>
      <c r="D1678" s="53" t="s">
        <v>1804</v>
      </c>
    </row>
    <row r="1679" spans="1:4">
      <c r="A1679" s="53" t="s">
        <v>2939</v>
      </c>
      <c r="B1679" s="53" t="s">
        <v>2940</v>
      </c>
      <c r="C1679" s="53" t="s">
        <v>4153</v>
      </c>
      <c r="D1679" s="53" t="s">
        <v>1056</v>
      </c>
    </row>
    <row r="1680" spans="1:4">
      <c r="A1680" s="53" t="s">
        <v>2939</v>
      </c>
      <c r="B1680" s="53" t="s">
        <v>2940</v>
      </c>
      <c r="C1680" s="53" t="s">
        <v>4154</v>
      </c>
      <c r="D1680" s="53" t="s">
        <v>1057</v>
      </c>
    </row>
    <row r="1681" spans="1:4">
      <c r="A1681" s="53" t="s">
        <v>2939</v>
      </c>
      <c r="B1681" s="53" t="s">
        <v>2940</v>
      </c>
      <c r="C1681" s="53" t="s">
        <v>4155</v>
      </c>
      <c r="D1681" s="53" t="s">
        <v>1058</v>
      </c>
    </row>
    <row r="1682" spans="1:4">
      <c r="A1682" s="53" t="s">
        <v>2939</v>
      </c>
      <c r="B1682" s="53" t="s">
        <v>2940</v>
      </c>
      <c r="C1682" s="53" t="s">
        <v>4156</v>
      </c>
      <c r="D1682" s="53" t="s">
        <v>1059</v>
      </c>
    </row>
    <row r="1683" spans="1:4">
      <c r="A1683" s="53" t="s">
        <v>2939</v>
      </c>
      <c r="B1683" s="53" t="s">
        <v>2940</v>
      </c>
      <c r="C1683" s="53" t="s">
        <v>4157</v>
      </c>
      <c r="D1683" s="53" t="s">
        <v>2741</v>
      </c>
    </row>
    <row r="1684" spans="1:4">
      <c r="A1684" s="53" t="s">
        <v>2742</v>
      </c>
      <c r="B1684" s="53" t="s">
        <v>1352</v>
      </c>
      <c r="C1684" s="53" t="s">
        <v>3354</v>
      </c>
      <c r="D1684" s="53" t="s">
        <v>1353</v>
      </c>
    </row>
    <row r="1685" spans="1:4">
      <c r="A1685" s="53" t="s">
        <v>2742</v>
      </c>
      <c r="B1685" s="53" t="s">
        <v>1352</v>
      </c>
      <c r="C1685" s="53" t="s">
        <v>1964</v>
      </c>
      <c r="D1685" s="53" t="s">
        <v>1354</v>
      </c>
    </row>
    <row r="1686" spans="1:4">
      <c r="A1686" s="53" t="s">
        <v>2742</v>
      </c>
      <c r="B1686" s="53" t="s">
        <v>1352</v>
      </c>
      <c r="C1686" s="53" t="s">
        <v>1965</v>
      </c>
      <c r="D1686" s="53" t="s">
        <v>2571</v>
      </c>
    </row>
    <row r="1687" spans="1:4">
      <c r="A1687" s="53" t="s">
        <v>2742</v>
      </c>
      <c r="B1687" s="53" t="s">
        <v>1352</v>
      </c>
      <c r="C1687" s="53" t="s">
        <v>1966</v>
      </c>
      <c r="D1687" s="53" t="s">
        <v>2572</v>
      </c>
    </row>
    <row r="1688" spans="1:4">
      <c r="A1688" s="53" t="s">
        <v>2742</v>
      </c>
      <c r="B1688" s="53" t="s">
        <v>1352</v>
      </c>
      <c r="C1688" s="53" t="s">
        <v>1967</v>
      </c>
      <c r="D1688" s="53" t="s">
        <v>2573</v>
      </c>
    </row>
    <row r="1689" spans="1:4">
      <c r="A1689" s="53" t="s">
        <v>2742</v>
      </c>
      <c r="B1689" s="53" t="s">
        <v>1352</v>
      </c>
      <c r="C1689" s="53" t="s">
        <v>1968</v>
      </c>
      <c r="D1689" s="53" t="s">
        <v>105</v>
      </c>
    </row>
    <row r="1690" spans="1:4">
      <c r="A1690" s="53" t="s">
        <v>106</v>
      </c>
      <c r="B1690" s="53" t="s">
        <v>271</v>
      </c>
      <c r="C1690" s="53" t="s">
        <v>3354</v>
      </c>
      <c r="D1690" s="53" t="s">
        <v>611</v>
      </c>
    </row>
    <row r="1691" spans="1:4">
      <c r="A1691" s="53" t="s">
        <v>106</v>
      </c>
      <c r="B1691" s="53" t="s">
        <v>271</v>
      </c>
      <c r="C1691" s="53" t="s">
        <v>1964</v>
      </c>
      <c r="D1691" s="53" t="s">
        <v>612</v>
      </c>
    </row>
    <row r="1692" spans="1:4">
      <c r="A1692" s="53" t="s">
        <v>106</v>
      </c>
      <c r="B1692" s="53" t="s">
        <v>271</v>
      </c>
      <c r="C1692" s="53" t="s">
        <v>1965</v>
      </c>
      <c r="D1692" s="53" t="s">
        <v>613</v>
      </c>
    </row>
    <row r="1693" spans="1:4">
      <c r="A1693" s="53" t="s">
        <v>106</v>
      </c>
      <c r="B1693" s="53" t="s">
        <v>271</v>
      </c>
      <c r="C1693" s="53" t="s">
        <v>1966</v>
      </c>
      <c r="D1693" s="53" t="s">
        <v>614</v>
      </c>
    </row>
    <row r="1694" spans="1:4">
      <c r="A1694" s="53" t="s">
        <v>106</v>
      </c>
      <c r="B1694" s="53" t="s">
        <v>271</v>
      </c>
      <c r="C1694" s="53" t="s">
        <v>1967</v>
      </c>
      <c r="D1694" s="53" t="s">
        <v>3709</v>
      </c>
    </row>
    <row r="1695" spans="1:4">
      <c r="A1695" s="53" t="s">
        <v>106</v>
      </c>
      <c r="B1695" s="53" t="s">
        <v>271</v>
      </c>
      <c r="C1695" s="53" t="s">
        <v>1968</v>
      </c>
      <c r="D1695" s="53" t="s">
        <v>3710</v>
      </c>
    </row>
    <row r="1696" spans="1:4">
      <c r="A1696" s="53" t="s">
        <v>106</v>
      </c>
      <c r="B1696" s="53" t="s">
        <v>271</v>
      </c>
      <c r="C1696" s="53" t="s">
        <v>1969</v>
      </c>
      <c r="D1696" s="53" t="s">
        <v>3711</v>
      </c>
    </row>
    <row r="1697" spans="1:4">
      <c r="A1697" s="53" t="s">
        <v>106</v>
      </c>
      <c r="B1697" s="53" t="s">
        <v>271</v>
      </c>
      <c r="C1697" s="53" t="s">
        <v>1970</v>
      </c>
      <c r="D1697" s="53" t="s">
        <v>29</v>
      </c>
    </row>
    <row r="1698" spans="1:4">
      <c r="A1698" s="53" t="s">
        <v>30</v>
      </c>
      <c r="B1698" s="53" t="s">
        <v>4057</v>
      </c>
      <c r="C1698" s="53" t="s">
        <v>3354</v>
      </c>
      <c r="D1698" s="53" t="s">
        <v>4058</v>
      </c>
    </row>
    <row r="1699" spans="1:4">
      <c r="A1699" s="53" t="s">
        <v>30</v>
      </c>
      <c r="B1699" s="53" t="s">
        <v>4057</v>
      </c>
      <c r="C1699" s="53" t="s">
        <v>1964</v>
      </c>
      <c r="D1699" s="53" t="s">
        <v>4059</v>
      </c>
    </row>
    <row r="1700" spans="1:4">
      <c r="A1700" s="53" t="s">
        <v>30</v>
      </c>
      <c r="B1700" s="53" t="s">
        <v>4057</v>
      </c>
      <c r="C1700" s="53" t="s">
        <v>1965</v>
      </c>
      <c r="D1700" s="53" t="s">
        <v>4060</v>
      </c>
    </row>
    <row r="1701" spans="1:4">
      <c r="A1701" s="53" t="s">
        <v>30</v>
      </c>
      <c r="B1701" s="53" t="s">
        <v>4057</v>
      </c>
      <c r="C1701" s="53" t="s">
        <v>1966</v>
      </c>
      <c r="D1701" s="53" t="s">
        <v>4061</v>
      </c>
    </row>
    <row r="1702" spans="1:4">
      <c r="A1702" s="53" t="s">
        <v>30</v>
      </c>
      <c r="B1702" s="53" t="s">
        <v>4057</v>
      </c>
      <c r="C1702" s="53" t="s">
        <v>1967</v>
      </c>
      <c r="D1702" s="53" t="s">
        <v>4062</v>
      </c>
    </row>
    <row r="1703" spans="1:4">
      <c r="A1703" s="53" t="s">
        <v>30</v>
      </c>
      <c r="B1703" s="53" t="s">
        <v>4057</v>
      </c>
      <c r="C1703" s="53" t="s">
        <v>1968</v>
      </c>
      <c r="D1703" s="53" t="s">
        <v>4063</v>
      </c>
    </row>
    <row r="1704" spans="1:4">
      <c r="A1704" s="53" t="s">
        <v>30</v>
      </c>
      <c r="B1704" s="53" t="s">
        <v>4057</v>
      </c>
      <c r="C1704" s="53" t="s">
        <v>1969</v>
      </c>
      <c r="D1704" s="53" t="s">
        <v>4064</v>
      </c>
    </row>
    <row r="1705" spans="1:4">
      <c r="A1705" s="53" t="s">
        <v>30</v>
      </c>
      <c r="B1705" s="53" t="s">
        <v>4057</v>
      </c>
      <c r="C1705" s="53" t="s">
        <v>1970</v>
      </c>
      <c r="D1705" s="53" t="s">
        <v>585</v>
      </c>
    </row>
    <row r="1706" spans="1:4">
      <c r="A1706" s="53" t="s">
        <v>30</v>
      </c>
      <c r="B1706" s="53" t="s">
        <v>4057</v>
      </c>
      <c r="C1706" s="53" t="s">
        <v>1971</v>
      </c>
      <c r="D1706" s="53" t="s">
        <v>586</v>
      </c>
    </row>
    <row r="1707" spans="1:4">
      <c r="A1707" s="53" t="s">
        <v>30</v>
      </c>
      <c r="B1707" s="53" t="s">
        <v>4057</v>
      </c>
      <c r="C1707" s="53" t="s">
        <v>1972</v>
      </c>
      <c r="D1707" s="53" t="s">
        <v>587</v>
      </c>
    </row>
    <row r="1708" spans="1:4">
      <c r="A1708" s="53" t="s">
        <v>30</v>
      </c>
      <c r="B1708" s="53" t="s">
        <v>4057</v>
      </c>
      <c r="C1708" s="53" t="s">
        <v>1973</v>
      </c>
      <c r="D1708" s="53" t="s">
        <v>588</v>
      </c>
    </row>
    <row r="1709" spans="1:4">
      <c r="A1709" s="53" t="s">
        <v>30</v>
      </c>
      <c r="B1709" s="53" t="s">
        <v>4057</v>
      </c>
      <c r="C1709" s="53" t="s">
        <v>1974</v>
      </c>
      <c r="D1709" s="53" t="s">
        <v>3532</v>
      </c>
    </row>
    <row r="1710" spans="1:4">
      <c r="A1710" s="53" t="s">
        <v>3533</v>
      </c>
      <c r="B1710" s="53" t="s">
        <v>3534</v>
      </c>
      <c r="C1710" s="53" t="s">
        <v>3354</v>
      </c>
      <c r="D1710" s="53" t="s">
        <v>3535</v>
      </c>
    </row>
    <row r="1711" spans="1:4">
      <c r="A1711" s="53" t="s">
        <v>3533</v>
      </c>
      <c r="B1711" s="53" t="s">
        <v>3534</v>
      </c>
      <c r="C1711" s="53" t="s">
        <v>1964</v>
      </c>
      <c r="D1711" s="53" t="s">
        <v>3836</v>
      </c>
    </row>
    <row r="1712" spans="1:4">
      <c r="A1712" s="53" t="s">
        <v>3533</v>
      </c>
      <c r="B1712" s="53" t="s">
        <v>3534</v>
      </c>
      <c r="C1712" s="53" t="s">
        <v>1965</v>
      </c>
      <c r="D1712" s="53" t="s">
        <v>3837</v>
      </c>
    </row>
    <row r="1713" spans="1:4">
      <c r="A1713" s="53" t="s">
        <v>3533</v>
      </c>
      <c r="B1713" s="53" t="s">
        <v>3534</v>
      </c>
      <c r="C1713" s="53" t="s">
        <v>1966</v>
      </c>
      <c r="D1713" s="53" t="s">
        <v>3838</v>
      </c>
    </row>
    <row r="1714" spans="1:4">
      <c r="A1714" s="53" t="s">
        <v>3533</v>
      </c>
      <c r="B1714" s="53" t="s">
        <v>3534</v>
      </c>
      <c r="C1714" s="53" t="s">
        <v>1967</v>
      </c>
      <c r="D1714" s="53" t="s">
        <v>3839</v>
      </c>
    </row>
    <row r="1715" spans="1:4">
      <c r="A1715" s="53" t="s">
        <v>3533</v>
      </c>
      <c r="B1715" s="53" t="s">
        <v>3534</v>
      </c>
      <c r="C1715" s="53" t="s">
        <v>1968</v>
      </c>
      <c r="D1715" s="53" t="s">
        <v>3840</v>
      </c>
    </row>
    <row r="1716" spans="1:4">
      <c r="A1716" s="53" t="s">
        <v>3533</v>
      </c>
      <c r="B1716" s="53" t="s">
        <v>3534</v>
      </c>
      <c r="C1716" s="53" t="s">
        <v>1969</v>
      </c>
      <c r="D1716" s="53" t="s">
        <v>3230</v>
      </c>
    </row>
    <row r="1717" spans="1:4">
      <c r="A1717" s="53" t="s">
        <v>3533</v>
      </c>
      <c r="B1717" s="53" t="s">
        <v>3534</v>
      </c>
      <c r="C1717" s="53" t="s">
        <v>1970</v>
      </c>
      <c r="D1717" s="53" t="s">
        <v>3643</v>
      </c>
    </row>
    <row r="1718" spans="1:4">
      <c r="A1718" s="53" t="s">
        <v>3533</v>
      </c>
      <c r="B1718" s="53" t="s">
        <v>3534</v>
      </c>
      <c r="C1718" s="53" t="s">
        <v>1971</v>
      </c>
      <c r="D1718" s="53" t="s">
        <v>3644</v>
      </c>
    </row>
    <row r="1719" spans="1:4">
      <c r="A1719" s="53" t="s">
        <v>3533</v>
      </c>
      <c r="B1719" s="53" t="s">
        <v>3534</v>
      </c>
      <c r="C1719" s="53" t="s">
        <v>1972</v>
      </c>
      <c r="D1719" s="53" t="s">
        <v>3645</v>
      </c>
    </row>
    <row r="1720" spans="1:4">
      <c r="A1720" s="53" t="s">
        <v>3533</v>
      </c>
      <c r="B1720" s="53" t="s">
        <v>3534</v>
      </c>
      <c r="C1720" s="53" t="s">
        <v>1973</v>
      </c>
      <c r="D1720" s="53" t="s">
        <v>3646</v>
      </c>
    </row>
    <row r="1721" spans="1:4">
      <c r="A1721" s="53" t="s">
        <v>3647</v>
      </c>
      <c r="B1721" s="53" t="s">
        <v>3648</v>
      </c>
      <c r="C1721" s="53" t="s">
        <v>3354</v>
      </c>
      <c r="D1721" s="53" t="s">
        <v>4086</v>
      </c>
    </row>
    <row r="1722" spans="1:4">
      <c r="A1722" s="53" t="s">
        <v>3647</v>
      </c>
      <c r="B1722" s="53" t="s">
        <v>3648</v>
      </c>
      <c r="C1722" s="53" t="s">
        <v>1964</v>
      </c>
      <c r="D1722" s="53" t="s">
        <v>1404</v>
      </c>
    </row>
    <row r="1723" spans="1:4">
      <c r="A1723" s="53" t="s">
        <v>3647</v>
      </c>
      <c r="B1723" s="53" t="s">
        <v>3648</v>
      </c>
      <c r="C1723" s="53" t="s">
        <v>1965</v>
      </c>
      <c r="D1723" s="53" t="s">
        <v>1405</v>
      </c>
    </row>
    <row r="1724" spans="1:4">
      <c r="A1724" s="53" t="s">
        <v>3647</v>
      </c>
      <c r="B1724" s="53" t="s">
        <v>3648</v>
      </c>
      <c r="C1724" s="53" t="s">
        <v>1966</v>
      </c>
      <c r="D1724" s="53" t="s">
        <v>523</v>
      </c>
    </row>
    <row r="1725" spans="1:4">
      <c r="A1725" s="53" t="s">
        <v>3647</v>
      </c>
      <c r="B1725" s="53" t="s">
        <v>3648</v>
      </c>
      <c r="C1725" s="53" t="s">
        <v>1967</v>
      </c>
      <c r="D1725" s="53" t="s">
        <v>524</v>
      </c>
    </row>
    <row r="1726" spans="1:4">
      <c r="A1726" s="53" t="s">
        <v>3647</v>
      </c>
      <c r="B1726" s="53" t="s">
        <v>3648</v>
      </c>
      <c r="C1726" s="53" t="s">
        <v>1968</v>
      </c>
      <c r="D1726" s="53" t="s">
        <v>361</v>
      </c>
    </row>
    <row r="1727" spans="1:4">
      <c r="A1727" s="53" t="s">
        <v>3647</v>
      </c>
      <c r="B1727" s="53" t="s">
        <v>3648</v>
      </c>
      <c r="C1727" s="53" t="s">
        <v>1969</v>
      </c>
      <c r="D1727" s="53" t="s">
        <v>362</v>
      </c>
    </row>
    <row r="1728" spans="1:4">
      <c r="A1728" s="53" t="s">
        <v>3647</v>
      </c>
      <c r="B1728" s="53" t="s">
        <v>3648</v>
      </c>
      <c r="C1728" s="53" t="s">
        <v>1970</v>
      </c>
      <c r="D1728" s="53" t="s">
        <v>3989</v>
      </c>
    </row>
    <row r="1729" spans="1:4">
      <c r="A1729" s="53" t="s">
        <v>3647</v>
      </c>
      <c r="B1729" s="53" t="s">
        <v>3648</v>
      </c>
      <c r="C1729" s="53" t="s">
        <v>1971</v>
      </c>
      <c r="D1729" s="53" t="s">
        <v>1010</v>
      </c>
    </row>
    <row r="1730" spans="1:4">
      <c r="A1730" s="53" t="s">
        <v>3647</v>
      </c>
      <c r="B1730" s="53" t="s">
        <v>3648</v>
      </c>
      <c r="C1730" s="53" t="s">
        <v>1972</v>
      </c>
      <c r="D1730" s="53" t="s">
        <v>1011</v>
      </c>
    </row>
    <row r="1731" spans="1:4">
      <c r="A1731" s="53" t="s">
        <v>3647</v>
      </c>
      <c r="B1731" s="53" t="s">
        <v>3648</v>
      </c>
      <c r="C1731" s="53" t="s">
        <v>1973</v>
      </c>
      <c r="D1731" s="53" t="s">
        <v>1012</v>
      </c>
    </row>
    <row r="1732" spans="1:4">
      <c r="A1732" s="53" t="s">
        <v>3647</v>
      </c>
      <c r="B1732" s="53" t="s">
        <v>3648</v>
      </c>
      <c r="C1732" s="53" t="s">
        <v>1974</v>
      </c>
      <c r="D1732" s="53" t="s">
        <v>1013</v>
      </c>
    </row>
    <row r="1733" spans="1:4">
      <c r="A1733" s="53" t="s">
        <v>3647</v>
      </c>
      <c r="B1733" s="53" t="s">
        <v>3648</v>
      </c>
      <c r="C1733" s="53" t="s">
        <v>1975</v>
      </c>
      <c r="D1733" s="53" t="s">
        <v>1127</v>
      </c>
    </row>
    <row r="1734" spans="1:4">
      <c r="A1734" s="53" t="s">
        <v>3647</v>
      </c>
      <c r="B1734" s="53" t="s">
        <v>3648</v>
      </c>
      <c r="C1734" s="53" t="s">
        <v>1976</v>
      </c>
      <c r="D1734" s="53" t="s">
        <v>1128</v>
      </c>
    </row>
    <row r="1735" spans="1:4">
      <c r="A1735" s="53" t="s">
        <v>3647</v>
      </c>
      <c r="B1735" s="53" t="s">
        <v>3648</v>
      </c>
      <c r="C1735" s="53" t="s">
        <v>1977</v>
      </c>
      <c r="D1735" s="53" t="s">
        <v>1118</v>
      </c>
    </row>
    <row r="1736" spans="1:4">
      <c r="A1736" s="53" t="s">
        <v>3647</v>
      </c>
      <c r="B1736" s="53" t="s">
        <v>3648</v>
      </c>
      <c r="C1736" s="53" t="s">
        <v>1978</v>
      </c>
      <c r="D1736" s="53" t="s">
        <v>2875</v>
      </c>
    </row>
    <row r="1737" spans="1:4">
      <c r="A1737" s="53" t="s">
        <v>3647</v>
      </c>
      <c r="B1737" s="53" t="s">
        <v>3648</v>
      </c>
      <c r="C1737" s="53" t="s">
        <v>1979</v>
      </c>
      <c r="D1737" s="53" t="s">
        <v>2150</v>
      </c>
    </row>
    <row r="1738" spans="1:4">
      <c r="A1738" s="53" t="s">
        <v>3647</v>
      </c>
      <c r="B1738" s="53" t="s">
        <v>3648</v>
      </c>
      <c r="C1738" s="53" t="s">
        <v>1980</v>
      </c>
      <c r="D1738" s="53" t="s">
        <v>1632</v>
      </c>
    </row>
    <row r="1739" spans="1:4">
      <c r="A1739" s="53" t="s">
        <v>3647</v>
      </c>
      <c r="B1739" s="53" t="s">
        <v>3648</v>
      </c>
      <c r="C1739" s="53" t="s">
        <v>1981</v>
      </c>
      <c r="D1739" s="53" t="s">
        <v>1633</v>
      </c>
    </row>
    <row r="1740" spans="1:4">
      <c r="A1740" s="53" t="s">
        <v>3647</v>
      </c>
      <c r="B1740" s="53" t="s">
        <v>3648</v>
      </c>
      <c r="C1740" s="53" t="s">
        <v>1982</v>
      </c>
      <c r="D1740" s="53" t="s">
        <v>1634</v>
      </c>
    </row>
    <row r="1741" spans="1:4">
      <c r="A1741" s="53" t="s">
        <v>3647</v>
      </c>
      <c r="B1741" s="53" t="s">
        <v>3648</v>
      </c>
      <c r="C1741" s="53" t="s">
        <v>4150</v>
      </c>
      <c r="D1741" s="53" t="s">
        <v>1635</v>
      </c>
    </row>
    <row r="1742" spans="1:4">
      <c r="A1742" s="53" t="s">
        <v>3647</v>
      </c>
      <c r="B1742" s="53" t="s">
        <v>3648</v>
      </c>
      <c r="C1742" s="53" t="s">
        <v>4151</v>
      </c>
      <c r="D1742" s="53" t="s">
        <v>1636</v>
      </c>
    </row>
    <row r="1743" spans="1:4">
      <c r="A1743" s="53" t="s">
        <v>1637</v>
      </c>
      <c r="B1743" s="53" t="s">
        <v>672</v>
      </c>
      <c r="C1743" s="53" t="s">
        <v>3354</v>
      </c>
      <c r="D1743" s="53" t="s">
        <v>673</v>
      </c>
    </row>
    <row r="1744" spans="1:4">
      <c r="A1744" s="53" t="s">
        <v>1637</v>
      </c>
      <c r="B1744" s="53" t="s">
        <v>672</v>
      </c>
      <c r="C1744" s="53" t="s">
        <v>1964</v>
      </c>
      <c r="D1744" s="53" t="s">
        <v>674</v>
      </c>
    </row>
    <row r="1745" spans="1:4">
      <c r="A1745" s="53" t="s">
        <v>1637</v>
      </c>
      <c r="B1745" s="53" t="s">
        <v>672</v>
      </c>
      <c r="C1745" s="53" t="s">
        <v>1965</v>
      </c>
      <c r="D1745" s="53" t="s">
        <v>675</v>
      </c>
    </row>
    <row r="1746" spans="1:4">
      <c r="A1746" s="53" t="s">
        <v>1637</v>
      </c>
      <c r="B1746" s="53" t="s">
        <v>672</v>
      </c>
      <c r="C1746" s="53" t="s">
        <v>1966</v>
      </c>
      <c r="D1746" s="53" t="s">
        <v>676</v>
      </c>
    </row>
    <row r="1747" spans="1:4">
      <c r="A1747" s="53" t="s">
        <v>1637</v>
      </c>
      <c r="B1747" s="53" t="s">
        <v>672</v>
      </c>
      <c r="C1747" s="53" t="s">
        <v>1967</v>
      </c>
      <c r="D1747" s="53" t="s">
        <v>677</v>
      </c>
    </row>
    <row r="1748" spans="1:4">
      <c r="A1748" s="53" t="s">
        <v>1637</v>
      </c>
      <c r="B1748" s="53" t="s">
        <v>672</v>
      </c>
      <c r="C1748" s="53" t="s">
        <v>1968</v>
      </c>
      <c r="D1748" s="53" t="s">
        <v>678</v>
      </c>
    </row>
    <row r="1749" spans="1:4">
      <c r="A1749" s="53" t="s">
        <v>1637</v>
      </c>
      <c r="B1749" s="53" t="s">
        <v>672</v>
      </c>
      <c r="C1749" s="53" t="s">
        <v>1969</v>
      </c>
      <c r="D1749" s="53" t="s">
        <v>679</v>
      </c>
    </row>
    <row r="1750" spans="1:4">
      <c r="A1750" s="53" t="s">
        <v>1637</v>
      </c>
      <c r="B1750" s="53" t="s">
        <v>672</v>
      </c>
      <c r="C1750" s="53" t="s">
        <v>1970</v>
      </c>
      <c r="D1750" s="53" t="s">
        <v>680</v>
      </c>
    </row>
    <row r="1751" spans="1:4">
      <c r="A1751" s="53" t="s">
        <v>1637</v>
      </c>
      <c r="B1751" s="53" t="s">
        <v>672</v>
      </c>
      <c r="C1751" s="53" t="s">
        <v>1971</v>
      </c>
      <c r="D1751" s="53" t="s">
        <v>681</v>
      </c>
    </row>
    <row r="1752" spans="1:4">
      <c r="A1752" s="53" t="s">
        <v>1637</v>
      </c>
      <c r="B1752" s="53" t="s">
        <v>672</v>
      </c>
      <c r="C1752" s="53" t="s">
        <v>1972</v>
      </c>
      <c r="D1752" s="53" t="s">
        <v>682</v>
      </c>
    </row>
    <row r="1753" spans="1:4">
      <c r="A1753" s="53" t="s">
        <v>1637</v>
      </c>
      <c r="B1753" s="53" t="s">
        <v>672</v>
      </c>
      <c r="C1753" s="53" t="s">
        <v>1973</v>
      </c>
      <c r="D1753" s="53" t="s">
        <v>2260</v>
      </c>
    </row>
    <row r="1754" spans="1:4">
      <c r="A1754" s="53" t="s">
        <v>1637</v>
      </c>
      <c r="B1754" s="53" t="s">
        <v>672</v>
      </c>
      <c r="C1754" s="53" t="s">
        <v>1974</v>
      </c>
      <c r="D1754" s="53" t="s">
        <v>2261</v>
      </c>
    </row>
    <row r="1755" spans="1:4">
      <c r="A1755" s="53" t="s">
        <v>1637</v>
      </c>
      <c r="B1755" s="53" t="s">
        <v>672</v>
      </c>
      <c r="C1755" s="53" t="s">
        <v>1975</v>
      </c>
      <c r="D1755" s="53" t="s">
        <v>684</v>
      </c>
    </row>
    <row r="1756" spans="1:4">
      <c r="A1756" s="53" t="s">
        <v>1637</v>
      </c>
      <c r="B1756" s="53" t="s">
        <v>672</v>
      </c>
      <c r="C1756" s="53" t="s">
        <v>1976</v>
      </c>
      <c r="D1756" s="53" t="s">
        <v>685</v>
      </c>
    </row>
    <row r="1757" spans="1:4">
      <c r="A1757" s="53" t="s">
        <v>1637</v>
      </c>
      <c r="B1757" s="53" t="s">
        <v>672</v>
      </c>
      <c r="C1757" s="53" t="s">
        <v>1977</v>
      </c>
      <c r="D1757" s="53" t="s">
        <v>686</v>
      </c>
    </row>
    <row r="1758" spans="1:4">
      <c r="A1758" s="53" t="s">
        <v>1637</v>
      </c>
      <c r="B1758" s="53" t="s">
        <v>672</v>
      </c>
      <c r="C1758" s="53" t="s">
        <v>1978</v>
      </c>
      <c r="D1758" s="53" t="s">
        <v>687</v>
      </c>
    </row>
    <row r="1759" spans="1:4">
      <c r="A1759" s="53" t="s">
        <v>1637</v>
      </c>
      <c r="B1759" s="53" t="s">
        <v>672</v>
      </c>
      <c r="C1759" s="53" t="s">
        <v>1979</v>
      </c>
      <c r="D1759" s="53" t="s">
        <v>2489</v>
      </c>
    </row>
    <row r="1760" spans="1:4">
      <c r="A1760" s="53" t="s">
        <v>1637</v>
      </c>
      <c r="B1760" s="53" t="s">
        <v>672</v>
      </c>
      <c r="C1760" s="53" t="s">
        <v>1980</v>
      </c>
      <c r="D1760" s="53" t="s">
        <v>2059</v>
      </c>
    </row>
    <row r="1761" spans="1:4">
      <c r="A1761" s="53" t="s">
        <v>1637</v>
      </c>
      <c r="B1761" s="53" t="s">
        <v>672</v>
      </c>
      <c r="C1761" s="53" t="s">
        <v>1981</v>
      </c>
      <c r="D1761" s="53" t="s">
        <v>3308</v>
      </c>
    </row>
    <row r="1762" spans="1:4">
      <c r="A1762" s="53" t="s">
        <v>3309</v>
      </c>
      <c r="B1762" s="53" t="s">
        <v>3249</v>
      </c>
      <c r="C1762" s="53" t="s">
        <v>3354</v>
      </c>
      <c r="D1762" s="53" t="s">
        <v>3250</v>
      </c>
    </row>
    <row r="1763" spans="1:4">
      <c r="A1763" s="53" t="s">
        <v>3309</v>
      </c>
      <c r="B1763" s="53" t="s">
        <v>3249</v>
      </c>
      <c r="C1763" s="53" t="s">
        <v>1964</v>
      </c>
      <c r="D1763" s="53" t="s">
        <v>3251</v>
      </c>
    </row>
    <row r="1764" spans="1:4">
      <c r="A1764" s="53" t="s">
        <v>3309</v>
      </c>
      <c r="B1764" s="53" t="s">
        <v>3249</v>
      </c>
      <c r="C1764" s="53" t="s">
        <v>1965</v>
      </c>
      <c r="D1764" s="53" t="s">
        <v>3252</v>
      </c>
    </row>
    <row r="1765" spans="1:4">
      <c r="A1765" s="53" t="s">
        <v>3309</v>
      </c>
      <c r="B1765" s="53" t="s">
        <v>3249</v>
      </c>
      <c r="C1765" s="53" t="s">
        <v>1966</v>
      </c>
      <c r="D1765" s="53" t="s">
        <v>3253</v>
      </c>
    </row>
    <row r="1766" spans="1:4">
      <c r="A1766" s="53" t="s">
        <v>3309</v>
      </c>
      <c r="B1766" s="53" t="s">
        <v>3249</v>
      </c>
      <c r="C1766" s="53" t="s">
        <v>1967</v>
      </c>
      <c r="D1766" s="53" t="s">
        <v>3254</v>
      </c>
    </row>
    <row r="1767" spans="1:4">
      <c r="A1767" s="53" t="s">
        <v>3309</v>
      </c>
      <c r="B1767" s="53" t="s">
        <v>3249</v>
      </c>
      <c r="C1767" s="53" t="s">
        <v>1968</v>
      </c>
      <c r="D1767" s="53" t="s">
        <v>3255</v>
      </c>
    </row>
    <row r="1768" spans="1:4">
      <c r="A1768" s="53" t="s">
        <v>3309</v>
      </c>
      <c r="B1768" s="53" t="s">
        <v>3249</v>
      </c>
      <c r="C1768" s="53" t="s">
        <v>1969</v>
      </c>
      <c r="D1768" s="53" t="s">
        <v>3256</v>
      </c>
    </row>
    <row r="1769" spans="1:4">
      <c r="A1769" s="53" t="s">
        <v>3309</v>
      </c>
      <c r="B1769" s="53" t="s">
        <v>3249</v>
      </c>
      <c r="C1769" s="53" t="s">
        <v>1970</v>
      </c>
      <c r="D1769" s="53" t="s">
        <v>3257</v>
      </c>
    </row>
    <row r="1770" spans="1:4">
      <c r="A1770" s="53" t="s">
        <v>3309</v>
      </c>
      <c r="B1770" s="53" t="s">
        <v>3249</v>
      </c>
      <c r="C1770" s="53" t="s">
        <v>1971</v>
      </c>
      <c r="D1770" s="53" t="s">
        <v>3258</v>
      </c>
    </row>
    <row r="1771" spans="1:4">
      <c r="A1771" s="53" t="s">
        <v>3309</v>
      </c>
      <c r="B1771" s="53" t="s">
        <v>3249</v>
      </c>
      <c r="C1771" s="53" t="s">
        <v>1972</v>
      </c>
      <c r="D1771" s="53" t="s">
        <v>692</v>
      </c>
    </row>
    <row r="1772" spans="1:4">
      <c r="A1772" s="53" t="s">
        <v>3309</v>
      </c>
      <c r="B1772" s="53" t="s">
        <v>3249</v>
      </c>
      <c r="C1772" s="53" t="s">
        <v>1973</v>
      </c>
      <c r="D1772" s="53" t="s">
        <v>2208</v>
      </c>
    </row>
    <row r="1773" spans="1:4">
      <c r="A1773" s="53" t="s">
        <v>3309</v>
      </c>
      <c r="B1773" s="53" t="s">
        <v>3249</v>
      </c>
      <c r="C1773" s="53" t="s">
        <v>1974</v>
      </c>
      <c r="D1773" s="53" t="s">
        <v>2209</v>
      </c>
    </row>
    <row r="1774" spans="1:4">
      <c r="A1774" s="53" t="s">
        <v>3309</v>
      </c>
      <c r="B1774" s="53" t="s">
        <v>3249</v>
      </c>
      <c r="C1774" s="53" t="s">
        <v>1975</v>
      </c>
      <c r="D1774" s="53" t="s">
        <v>2210</v>
      </c>
    </row>
    <row r="1775" spans="1:4">
      <c r="A1775" s="53" t="s">
        <v>3309</v>
      </c>
      <c r="B1775" s="53" t="s">
        <v>3249</v>
      </c>
      <c r="C1775" s="53" t="s">
        <v>1976</v>
      </c>
      <c r="D1775" s="53" t="s">
        <v>2211</v>
      </c>
    </row>
    <row r="1776" spans="1:4">
      <c r="A1776" s="53" t="s">
        <v>3309</v>
      </c>
      <c r="B1776" s="53" t="s">
        <v>3249</v>
      </c>
      <c r="C1776" s="53" t="s">
        <v>1977</v>
      </c>
      <c r="D1776" s="53" t="s">
        <v>527</v>
      </c>
    </row>
    <row r="1777" spans="1:4">
      <c r="A1777" s="53" t="s">
        <v>1759</v>
      </c>
      <c r="B1777" s="53" t="s">
        <v>1760</v>
      </c>
      <c r="C1777" s="53" t="s">
        <v>3354</v>
      </c>
      <c r="D1777" s="53" t="s">
        <v>1761</v>
      </c>
    </row>
    <row r="1778" spans="1:4">
      <c r="A1778" s="53" t="s">
        <v>1759</v>
      </c>
      <c r="B1778" s="53" t="s">
        <v>1760</v>
      </c>
      <c r="C1778" s="53" t="s">
        <v>1964</v>
      </c>
      <c r="D1778" s="53" t="s">
        <v>1762</v>
      </c>
    </row>
    <row r="1779" spans="1:4">
      <c r="A1779" s="53" t="s">
        <v>1759</v>
      </c>
      <c r="B1779" s="53" t="s">
        <v>1760</v>
      </c>
      <c r="C1779" s="53" t="s">
        <v>1965</v>
      </c>
      <c r="D1779" s="53" t="s">
        <v>1763</v>
      </c>
    </row>
    <row r="1780" spans="1:4">
      <c r="A1780" s="53" t="s">
        <v>1759</v>
      </c>
      <c r="B1780" s="53" t="s">
        <v>1760</v>
      </c>
      <c r="C1780" s="53" t="s">
        <v>1966</v>
      </c>
      <c r="D1780" s="53" t="s">
        <v>1764</v>
      </c>
    </row>
    <row r="1781" spans="1:4">
      <c r="A1781" s="53" t="s">
        <v>1759</v>
      </c>
      <c r="B1781" s="53" t="s">
        <v>1760</v>
      </c>
      <c r="C1781" s="53" t="s">
        <v>1967</v>
      </c>
      <c r="D1781" s="53" t="s">
        <v>1765</v>
      </c>
    </row>
    <row r="1782" spans="1:4">
      <c r="A1782" s="53" t="s">
        <v>1759</v>
      </c>
      <c r="B1782" s="53" t="s">
        <v>1760</v>
      </c>
      <c r="C1782" s="53" t="s">
        <v>1968</v>
      </c>
      <c r="D1782" s="53" t="s">
        <v>1766</v>
      </c>
    </row>
    <row r="1783" spans="1:4">
      <c r="A1783" s="53" t="s">
        <v>1759</v>
      </c>
      <c r="B1783" s="53" t="s">
        <v>1760</v>
      </c>
      <c r="C1783" s="53" t="s">
        <v>1969</v>
      </c>
      <c r="D1783" s="53" t="s">
        <v>1767</v>
      </c>
    </row>
    <row r="1784" spans="1:4">
      <c r="A1784" s="53" t="s">
        <v>1759</v>
      </c>
      <c r="B1784" s="53" t="s">
        <v>1760</v>
      </c>
      <c r="C1784" s="53" t="s">
        <v>1970</v>
      </c>
      <c r="D1784" s="53" t="s">
        <v>1768</v>
      </c>
    </row>
    <row r="1785" spans="1:4">
      <c r="A1785" s="53" t="s">
        <v>1759</v>
      </c>
      <c r="B1785" s="53" t="s">
        <v>1760</v>
      </c>
      <c r="C1785" s="53" t="s">
        <v>1971</v>
      </c>
      <c r="D1785" s="53" t="s">
        <v>1769</v>
      </c>
    </row>
    <row r="1786" spans="1:4">
      <c r="A1786" s="53" t="s">
        <v>1759</v>
      </c>
      <c r="B1786" s="53" t="s">
        <v>1760</v>
      </c>
      <c r="C1786" s="53" t="s">
        <v>1972</v>
      </c>
      <c r="D1786" s="53" t="s">
        <v>1770</v>
      </c>
    </row>
    <row r="1787" spans="1:4">
      <c r="A1787" s="53" t="s">
        <v>1759</v>
      </c>
      <c r="B1787" s="53" t="s">
        <v>1760</v>
      </c>
      <c r="C1787" s="53" t="s">
        <v>1973</v>
      </c>
      <c r="D1787" s="53" t="s">
        <v>1771</v>
      </c>
    </row>
    <row r="1788" spans="1:4">
      <c r="A1788" s="53" t="s">
        <v>1759</v>
      </c>
      <c r="B1788" s="53" t="s">
        <v>1760</v>
      </c>
      <c r="C1788" s="53" t="s">
        <v>1974</v>
      </c>
      <c r="D1788" s="53" t="s">
        <v>3138</v>
      </c>
    </row>
    <row r="1789" spans="1:4">
      <c r="A1789" s="53" t="s">
        <v>3139</v>
      </c>
      <c r="B1789" s="53" t="s">
        <v>3140</v>
      </c>
      <c r="C1789" s="53" t="s">
        <v>3354</v>
      </c>
      <c r="D1789" s="53" t="s">
        <v>3141</v>
      </c>
    </row>
    <row r="1790" spans="1:4">
      <c r="A1790" s="53" t="s">
        <v>3139</v>
      </c>
      <c r="B1790" s="53" t="s">
        <v>3140</v>
      </c>
      <c r="C1790" s="53" t="s">
        <v>1964</v>
      </c>
      <c r="D1790" s="53" t="s">
        <v>3142</v>
      </c>
    </row>
    <row r="1791" spans="1:4">
      <c r="A1791" s="53" t="s">
        <v>3139</v>
      </c>
      <c r="B1791" s="53" t="s">
        <v>3140</v>
      </c>
      <c r="C1791" s="53" t="s">
        <v>1965</v>
      </c>
      <c r="D1791" s="53" t="s">
        <v>2095</v>
      </c>
    </row>
    <row r="1792" spans="1:4">
      <c r="A1792" s="53" t="s">
        <v>3139</v>
      </c>
      <c r="B1792" s="53" t="s">
        <v>3140</v>
      </c>
      <c r="C1792" s="53" t="s">
        <v>1966</v>
      </c>
      <c r="D1792" s="53" t="s">
        <v>497</v>
      </c>
    </row>
    <row r="1793" spans="1:4">
      <c r="A1793" s="53" t="s">
        <v>3139</v>
      </c>
      <c r="B1793" s="53" t="s">
        <v>3140</v>
      </c>
      <c r="C1793" s="53" t="s">
        <v>1967</v>
      </c>
      <c r="D1793" s="53" t="s">
        <v>498</v>
      </c>
    </row>
    <row r="1794" spans="1:4">
      <c r="A1794" s="53" t="s">
        <v>3139</v>
      </c>
      <c r="B1794" s="53" t="s">
        <v>3140</v>
      </c>
      <c r="C1794" s="53" t="s">
        <v>1968</v>
      </c>
      <c r="D1794" s="53" t="s">
        <v>499</v>
      </c>
    </row>
    <row r="1795" spans="1:4">
      <c r="A1795" s="53" t="s">
        <v>3139</v>
      </c>
      <c r="B1795" s="53" t="s">
        <v>3140</v>
      </c>
      <c r="C1795" s="53" t="s">
        <v>1969</v>
      </c>
      <c r="D1795" s="53" t="s">
        <v>500</v>
      </c>
    </row>
    <row r="1796" spans="1:4">
      <c r="A1796" s="53" t="s">
        <v>3139</v>
      </c>
      <c r="B1796" s="53" t="s">
        <v>3140</v>
      </c>
      <c r="C1796" s="53" t="s">
        <v>1970</v>
      </c>
      <c r="D1796" s="53" t="s">
        <v>501</v>
      </c>
    </row>
    <row r="1797" spans="1:4">
      <c r="A1797" s="53" t="s">
        <v>3139</v>
      </c>
      <c r="B1797" s="53" t="s">
        <v>3140</v>
      </c>
      <c r="C1797" s="53" t="s">
        <v>1971</v>
      </c>
      <c r="D1797" s="53" t="s">
        <v>502</v>
      </c>
    </row>
    <row r="1798" spans="1:4">
      <c r="A1798" s="53" t="s">
        <v>3139</v>
      </c>
      <c r="B1798" s="53" t="s">
        <v>3140</v>
      </c>
      <c r="C1798" s="53" t="s">
        <v>1972</v>
      </c>
      <c r="D1798" s="53" t="s">
        <v>503</v>
      </c>
    </row>
    <row r="1799" spans="1:4">
      <c r="A1799" s="53" t="s">
        <v>3139</v>
      </c>
      <c r="B1799" s="53" t="s">
        <v>3140</v>
      </c>
      <c r="C1799" s="53" t="s">
        <v>1973</v>
      </c>
      <c r="D1799" s="53" t="s">
        <v>1772</v>
      </c>
    </row>
    <row r="1800" spans="1:4">
      <c r="A1800" s="53" t="s">
        <v>3139</v>
      </c>
      <c r="B1800" s="53" t="s">
        <v>3140</v>
      </c>
      <c r="C1800" s="53" t="s">
        <v>1974</v>
      </c>
      <c r="D1800" s="53" t="s">
        <v>115</v>
      </c>
    </row>
    <row r="1801" spans="1:4">
      <c r="A1801" s="53" t="s">
        <v>3139</v>
      </c>
      <c r="B1801" s="53" t="s">
        <v>3140</v>
      </c>
      <c r="C1801" s="53" t="s">
        <v>1975</v>
      </c>
      <c r="D1801" s="53" t="s">
        <v>3649</v>
      </c>
    </row>
    <row r="1802" spans="1:4">
      <c r="A1802" s="53" t="s">
        <v>3139</v>
      </c>
      <c r="B1802" s="53" t="s">
        <v>3140</v>
      </c>
      <c r="C1802" s="53" t="s">
        <v>1976</v>
      </c>
      <c r="D1802" s="53" t="s">
        <v>3650</v>
      </c>
    </row>
    <row r="1803" spans="1:4">
      <c r="A1803" s="53" t="s">
        <v>3139</v>
      </c>
      <c r="B1803" s="53" t="s">
        <v>3140</v>
      </c>
      <c r="C1803" s="53" t="s">
        <v>1977</v>
      </c>
      <c r="D1803" s="53" t="s">
        <v>3651</v>
      </c>
    </row>
    <row r="1804" spans="1:4">
      <c r="A1804" s="53" t="s">
        <v>3139</v>
      </c>
      <c r="B1804" s="53" t="s">
        <v>3140</v>
      </c>
      <c r="C1804" s="53" t="s">
        <v>1978</v>
      </c>
      <c r="D1804" s="53" t="s">
        <v>3652</v>
      </c>
    </row>
    <row r="1805" spans="1:4">
      <c r="A1805" s="53" t="s">
        <v>3139</v>
      </c>
      <c r="B1805" s="53" t="s">
        <v>3140</v>
      </c>
      <c r="C1805" s="53" t="s">
        <v>1979</v>
      </c>
      <c r="D1805" s="53" t="s">
        <v>3653</v>
      </c>
    </row>
    <row r="1806" spans="1:4">
      <c r="A1806" s="53" t="s">
        <v>3139</v>
      </c>
      <c r="B1806" s="53" t="s">
        <v>3140</v>
      </c>
      <c r="C1806" s="53" t="s">
        <v>1980</v>
      </c>
      <c r="D1806" s="53" t="s">
        <v>688</v>
      </c>
    </row>
    <row r="1807" spans="1:4">
      <c r="A1807" s="53" t="s">
        <v>3139</v>
      </c>
      <c r="B1807" s="53" t="s">
        <v>3140</v>
      </c>
      <c r="C1807" s="53" t="s">
        <v>1981</v>
      </c>
      <c r="D1807" s="53" t="s">
        <v>689</v>
      </c>
    </row>
    <row r="1808" spans="1:4">
      <c r="A1808" s="53" t="s">
        <v>3139</v>
      </c>
      <c r="B1808" s="53" t="s">
        <v>3140</v>
      </c>
      <c r="C1808" s="53" t="s">
        <v>1982</v>
      </c>
      <c r="D1808" s="53" t="s">
        <v>690</v>
      </c>
    </row>
    <row r="1809" spans="1:4">
      <c r="A1809" s="53" t="s">
        <v>3139</v>
      </c>
      <c r="B1809" s="53" t="s">
        <v>3140</v>
      </c>
      <c r="C1809" s="53" t="s">
        <v>4150</v>
      </c>
      <c r="D1809" s="53" t="s">
        <v>870</v>
      </c>
    </row>
    <row r="1810" spans="1:4">
      <c r="A1810" s="53" t="s">
        <v>3139</v>
      </c>
      <c r="B1810" s="53" t="s">
        <v>3140</v>
      </c>
      <c r="C1810" s="53" t="s">
        <v>4151</v>
      </c>
      <c r="D1810" s="53" t="s">
        <v>871</v>
      </c>
    </row>
    <row r="1811" spans="1:4">
      <c r="A1811" s="53" t="s">
        <v>3139</v>
      </c>
      <c r="B1811" s="53" t="s">
        <v>3140</v>
      </c>
      <c r="C1811" s="53" t="s">
        <v>4152</v>
      </c>
      <c r="D1811" s="53" t="s">
        <v>663</v>
      </c>
    </row>
    <row r="1812" spans="1:4">
      <c r="A1812" s="53" t="s">
        <v>3139</v>
      </c>
      <c r="B1812" s="53" t="s">
        <v>3140</v>
      </c>
      <c r="C1812" s="53" t="s">
        <v>4153</v>
      </c>
      <c r="D1812" s="53" t="s">
        <v>4122</v>
      </c>
    </row>
    <row r="1813" spans="1:4">
      <c r="A1813" s="53" t="s">
        <v>3139</v>
      </c>
      <c r="B1813" s="53" t="s">
        <v>3140</v>
      </c>
      <c r="C1813" s="53" t="s">
        <v>4154</v>
      </c>
      <c r="D1813" s="53" t="s">
        <v>4123</v>
      </c>
    </row>
    <row r="1814" spans="1:4">
      <c r="A1814" s="53" t="s">
        <v>3139</v>
      </c>
      <c r="B1814" s="53" t="s">
        <v>3140</v>
      </c>
      <c r="C1814" s="53" t="s">
        <v>4155</v>
      </c>
      <c r="D1814" s="53" t="s">
        <v>4124</v>
      </c>
    </row>
    <row r="1815" spans="1:4">
      <c r="A1815" s="53" t="s">
        <v>3139</v>
      </c>
      <c r="B1815" s="53" t="s">
        <v>3140</v>
      </c>
      <c r="C1815" s="53" t="s">
        <v>4156</v>
      </c>
      <c r="D1815" s="53" t="s">
        <v>4125</v>
      </c>
    </row>
    <row r="1816" spans="1:4">
      <c r="A1816" s="53" t="s">
        <v>3139</v>
      </c>
      <c r="B1816" s="53" t="s">
        <v>3140</v>
      </c>
      <c r="C1816" s="53" t="s">
        <v>4157</v>
      </c>
      <c r="D1816" s="53" t="s">
        <v>4126</v>
      </c>
    </row>
    <row r="1817" spans="1:4">
      <c r="A1817" s="53" t="s">
        <v>3139</v>
      </c>
      <c r="B1817" s="53" t="s">
        <v>3140</v>
      </c>
      <c r="C1817" s="53" t="s">
        <v>4158</v>
      </c>
      <c r="D1817" s="53" t="s">
        <v>4127</v>
      </c>
    </row>
    <row r="1818" spans="1:4">
      <c r="A1818" s="53" t="s">
        <v>3139</v>
      </c>
      <c r="B1818" s="53" t="s">
        <v>3140</v>
      </c>
      <c r="C1818" s="53" t="s">
        <v>4159</v>
      </c>
      <c r="D1818" s="53" t="s">
        <v>4128</v>
      </c>
    </row>
    <row r="1819" spans="1:4">
      <c r="A1819" s="53" t="s">
        <v>3139</v>
      </c>
      <c r="B1819" s="53" t="s">
        <v>3140</v>
      </c>
      <c r="C1819" s="53" t="s">
        <v>2424</v>
      </c>
      <c r="D1819" s="53" t="s">
        <v>4129</v>
      </c>
    </row>
    <row r="1820" spans="1:4">
      <c r="A1820" s="53" t="s">
        <v>3139</v>
      </c>
      <c r="B1820" s="53" t="s">
        <v>3140</v>
      </c>
      <c r="C1820" s="53" t="s">
        <v>2425</v>
      </c>
      <c r="D1820" s="53" t="s">
        <v>3025</v>
      </c>
    </row>
    <row r="1821" spans="1:4">
      <c r="A1821" s="53" t="s">
        <v>3139</v>
      </c>
      <c r="B1821" s="53" t="s">
        <v>3140</v>
      </c>
      <c r="C1821" s="53" t="s">
        <v>2426</v>
      </c>
      <c r="D1821" s="53" t="s">
        <v>3026</v>
      </c>
    </row>
    <row r="1822" spans="1:4">
      <c r="A1822" s="53" t="s">
        <v>3139</v>
      </c>
      <c r="B1822" s="53" t="s">
        <v>3140</v>
      </c>
      <c r="C1822" s="53" t="s">
        <v>2427</v>
      </c>
      <c r="D1822" s="53" t="s">
        <v>3027</v>
      </c>
    </row>
    <row r="1823" spans="1:4">
      <c r="A1823" s="53" t="s">
        <v>3139</v>
      </c>
      <c r="B1823" s="53" t="s">
        <v>3140</v>
      </c>
      <c r="C1823" s="53" t="s">
        <v>2428</v>
      </c>
      <c r="D1823" s="53" t="s">
        <v>2574</v>
      </c>
    </row>
    <row r="1824" spans="1:4">
      <c r="A1824" s="53" t="s">
        <v>3139</v>
      </c>
      <c r="B1824" s="53" t="s">
        <v>3140</v>
      </c>
      <c r="C1824" s="53" t="s">
        <v>2429</v>
      </c>
      <c r="D1824" s="53" t="s">
        <v>2575</v>
      </c>
    </row>
    <row r="1825" spans="1:4">
      <c r="A1825" s="53" t="s">
        <v>3139</v>
      </c>
      <c r="B1825" s="53" t="s">
        <v>3140</v>
      </c>
      <c r="C1825" s="53" t="s">
        <v>2430</v>
      </c>
      <c r="D1825" s="53" t="s">
        <v>2576</v>
      </c>
    </row>
    <row r="1826" spans="1:4">
      <c r="A1826" s="53" t="s">
        <v>3139</v>
      </c>
      <c r="B1826" s="53" t="s">
        <v>3140</v>
      </c>
      <c r="C1826" s="53" t="s">
        <v>2431</v>
      </c>
      <c r="D1826" s="53" t="s">
        <v>436</v>
      </c>
    </row>
    <row r="1827" spans="1:4">
      <c r="A1827" s="53" t="s">
        <v>3139</v>
      </c>
      <c r="B1827" s="53" t="s">
        <v>3140</v>
      </c>
      <c r="C1827" s="53" t="s">
        <v>2432</v>
      </c>
      <c r="D1827" s="53" t="s">
        <v>3113</v>
      </c>
    </row>
    <row r="1828" spans="1:4">
      <c r="A1828" s="53" t="s">
        <v>3139</v>
      </c>
      <c r="B1828" s="53" t="s">
        <v>3140</v>
      </c>
      <c r="C1828" s="53" t="s">
        <v>1961</v>
      </c>
      <c r="D1828" s="53" t="s">
        <v>1731</v>
      </c>
    </row>
    <row r="1829" spans="1:4">
      <c r="A1829" s="53" t="s">
        <v>3139</v>
      </c>
      <c r="B1829" s="53" t="s">
        <v>3140</v>
      </c>
      <c r="C1829" s="53" t="s">
        <v>1962</v>
      </c>
      <c r="D1829" s="53" t="s">
        <v>2930</v>
      </c>
    </row>
    <row r="1830" spans="1:4">
      <c r="A1830" s="53" t="s">
        <v>3139</v>
      </c>
      <c r="B1830" s="53" t="s">
        <v>3140</v>
      </c>
      <c r="C1830" s="53" t="s">
        <v>1482</v>
      </c>
      <c r="D1830" s="53" t="s">
        <v>490</v>
      </c>
    </row>
    <row r="1831" spans="1:4">
      <c r="A1831" s="53" t="s">
        <v>3139</v>
      </c>
      <c r="B1831" s="53" t="s">
        <v>3140</v>
      </c>
      <c r="C1831" s="53" t="s">
        <v>1483</v>
      </c>
      <c r="D1831" s="53" t="s">
        <v>491</v>
      </c>
    </row>
    <row r="1832" spans="1:4">
      <c r="A1832" s="53" t="s">
        <v>3139</v>
      </c>
      <c r="B1832" s="53" t="s">
        <v>3140</v>
      </c>
      <c r="C1832" s="53" t="s">
        <v>278</v>
      </c>
      <c r="D1832" s="53" t="s">
        <v>809</v>
      </c>
    </row>
    <row r="1833" spans="1:4">
      <c r="A1833" s="53" t="s">
        <v>3139</v>
      </c>
      <c r="B1833" s="53" t="s">
        <v>3140</v>
      </c>
      <c r="C1833" s="53" t="s">
        <v>3501</v>
      </c>
      <c r="D1833" s="53" t="s">
        <v>810</v>
      </c>
    </row>
    <row r="1834" spans="1:4">
      <c r="A1834" s="53" t="s">
        <v>3139</v>
      </c>
      <c r="B1834" s="53" t="s">
        <v>3140</v>
      </c>
      <c r="C1834" s="53" t="s">
        <v>3503</v>
      </c>
      <c r="D1834" s="53" t="s">
        <v>811</v>
      </c>
    </row>
    <row r="1835" spans="1:4">
      <c r="A1835" s="53" t="s">
        <v>812</v>
      </c>
      <c r="B1835" s="53" t="s">
        <v>813</v>
      </c>
      <c r="C1835" s="53" t="s">
        <v>3354</v>
      </c>
      <c r="D1835" s="53" t="s">
        <v>1280</v>
      </c>
    </row>
    <row r="1836" spans="1:4">
      <c r="A1836" s="53" t="s">
        <v>812</v>
      </c>
      <c r="B1836" s="53" t="s">
        <v>813</v>
      </c>
      <c r="C1836" s="53" t="s">
        <v>1964</v>
      </c>
      <c r="D1836" s="53" t="s">
        <v>1281</v>
      </c>
    </row>
    <row r="1837" spans="1:4">
      <c r="A1837" s="53" t="s">
        <v>812</v>
      </c>
      <c r="B1837" s="53" t="s">
        <v>813</v>
      </c>
      <c r="C1837" s="53" t="s">
        <v>1965</v>
      </c>
      <c r="D1837" s="53" t="s">
        <v>4044</v>
      </c>
    </row>
    <row r="1838" spans="1:4">
      <c r="A1838" s="53" t="s">
        <v>812</v>
      </c>
      <c r="B1838" s="53" t="s">
        <v>813</v>
      </c>
      <c r="C1838" s="53" t="s">
        <v>1966</v>
      </c>
      <c r="D1838" s="53" t="s">
        <v>3334</v>
      </c>
    </row>
    <row r="1839" spans="1:4">
      <c r="A1839" s="53" t="s">
        <v>3335</v>
      </c>
      <c r="B1839" s="53" t="s">
        <v>4003</v>
      </c>
      <c r="C1839" s="53" t="s">
        <v>3354</v>
      </c>
      <c r="D1839" s="53" t="s">
        <v>1859</v>
      </c>
    </row>
    <row r="1840" spans="1:4">
      <c r="A1840" s="53" t="s">
        <v>3335</v>
      </c>
      <c r="B1840" s="53" t="s">
        <v>4003</v>
      </c>
      <c r="C1840" s="53" t="s">
        <v>1964</v>
      </c>
      <c r="D1840" s="53" t="s">
        <v>1860</v>
      </c>
    </row>
    <row r="1929" spans="1:3">
      <c r="B1929" s="53" t="s">
        <v>3350</v>
      </c>
      <c r="C1929" s="53" t="s">
        <v>3351</v>
      </c>
    </row>
    <row r="1930" spans="1:3">
      <c r="A1930" s="53">
        <v>1</v>
      </c>
      <c r="B1930" s="160" t="s">
        <v>2928</v>
      </c>
      <c r="C1930" s="53" t="s">
        <v>3238</v>
      </c>
    </row>
    <row r="1931" spans="1:3">
      <c r="A1931" s="53">
        <v>2</v>
      </c>
      <c r="B1931" s="53" t="s">
        <v>2852</v>
      </c>
      <c r="C1931" s="57" t="s">
        <v>1560</v>
      </c>
    </row>
    <row r="1932" spans="1:3">
      <c r="A1932" s="53">
        <v>3</v>
      </c>
      <c r="B1932" s="343">
        <v>1551</v>
      </c>
      <c r="C1932" s="53" t="s">
        <v>1785</v>
      </c>
    </row>
    <row r="1933" spans="1:3">
      <c r="A1933" s="53">
        <v>4</v>
      </c>
      <c r="B1933" s="343">
        <v>1552</v>
      </c>
      <c r="C1933" s="53" t="s">
        <v>3832</v>
      </c>
    </row>
    <row r="1934" spans="1:3">
      <c r="A1934" s="53">
        <v>5</v>
      </c>
      <c r="B1934" s="343">
        <v>1553</v>
      </c>
      <c r="C1934" s="53" t="s">
        <v>3865</v>
      </c>
    </row>
    <row r="1935" spans="1:3">
      <c r="A1935" s="53">
        <v>6</v>
      </c>
      <c r="B1935" s="343">
        <v>1554</v>
      </c>
      <c r="C1935" s="57" t="s">
        <v>3760</v>
      </c>
    </row>
    <row r="1936" spans="1:3">
      <c r="A1936" s="53">
        <v>7</v>
      </c>
      <c r="B1936" s="53" t="s">
        <v>2712</v>
      </c>
      <c r="C1936" s="57" t="s">
        <v>2368</v>
      </c>
    </row>
    <row r="1937" spans="1:3">
      <c r="A1937" s="53">
        <v>8</v>
      </c>
      <c r="B1937" s="53" t="s">
        <v>2077</v>
      </c>
      <c r="C1937" s="57" t="s">
        <v>2078</v>
      </c>
    </row>
    <row r="1938" spans="1:3">
      <c r="A1938" s="53">
        <v>9</v>
      </c>
      <c r="B1938" s="53" t="s">
        <v>1351</v>
      </c>
      <c r="C1938" s="57" t="s">
        <v>1375</v>
      </c>
    </row>
    <row r="1939" spans="1:3">
      <c r="A1939" s="53">
        <v>10</v>
      </c>
      <c r="B1939" s="53" t="s">
        <v>1651</v>
      </c>
      <c r="C1939" s="57" t="s">
        <v>1652</v>
      </c>
    </row>
    <row r="1940" spans="1:3">
      <c r="A1940" s="53">
        <v>11</v>
      </c>
      <c r="B1940" s="53" t="s">
        <v>936</v>
      </c>
      <c r="C1940" s="57" t="s">
        <v>937</v>
      </c>
    </row>
    <row r="1941" spans="1:3">
      <c r="A1941" s="53">
        <v>12</v>
      </c>
      <c r="B1941" s="53" t="s">
        <v>648</v>
      </c>
      <c r="C1941" s="57" t="s">
        <v>649</v>
      </c>
    </row>
    <row r="1942" spans="1:3">
      <c r="A1942" s="53">
        <v>13</v>
      </c>
      <c r="B1942" s="53" t="s">
        <v>3802</v>
      </c>
      <c r="C1942" s="57" t="s">
        <v>2750</v>
      </c>
    </row>
    <row r="1943" spans="1:3">
      <c r="A1943" s="53">
        <v>14</v>
      </c>
      <c r="B1943" s="53" t="s">
        <v>1321</v>
      </c>
      <c r="C1943" s="57" t="s">
        <v>1322</v>
      </c>
    </row>
    <row r="1944" spans="1:3">
      <c r="A1944" s="53">
        <v>15</v>
      </c>
      <c r="B1944" s="53" t="s">
        <v>3016</v>
      </c>
      <c r="C1944" s="57" t="s">
        <v>3017</v>
      </c>
    </row>
    <row r="1945" spans="1:3">
      <c r="A1945" s="53">
        <v>16</v>
      </c>
      <c r="B1945" s="53" t="s">
        <v>431</v>
      </c>
      <c r="C1945" s="57" t="s">
        <v>432</v>
      </c>
    </row>
    <row r="1946" spans="1:3">
      <c r="A1946" s="53">
        <v>17</v>
      </c>
      <c r="B1946" s="53" t="s">
        <v>359</v>
      </c>
      <c r="C1946" s="57" t="s">
        <v>270</v>
      </c>
    </row>
    <row r="1947" spans="1:3">
      <c r="A1947" s="53">
        <v>18</v>
      </c>
      <c r="B1947" s="53" t="s">
        <v>1548</v>
      </c>
      <c r="C1947" s="57" t="s">
        <v>1549</v>
      </c>
    </row>
    <row r="1948" spans="1:3">
      <c r="A1948" s="53">
        <v>19</v>
      </c>
      <c r="B1948" s="53" t="s">
        <v>3194</v>
      </c>
      <c r="C1948" s="57" t="s">
        <v>3195</v>
      </c>
    </row>
    <row r="1949" spans="1:3">
      <c r="A1949" s="53">
        <v>20</v>
      </c>
      <c r="B1949" s="53" t="s">
        <v>3766</v>
      </c>
      <c r="C1949" s="57" t="s">
        <v>3767</v>
      </c>
    </row>
    <row r="1950" spans="1:3">
      <c r="A1950" s="53">
        <v>21</v>
      </c>
      <c r="B1950" s="53" t="s">
        <v>3561</v>
      </c>
      <c r="C1950" s="57" t="s">
        <v>3562</v>
      </c>
    </row>
    <row r="1951" spans="1:3">
      <c r="A1951" s="53">
        <v>22</v>
      </c>
      <c r="B1951" s="53" t="s">
        <v>1365</v>
      </c>
      <c r="C1951" s="57" t="s">
        <v>1366</v>
      </c>
    </row>
    <row r="1952" spans="1:3">
      <c r="A1952" s="53">
        <v>23</v>
      </c>
      <c r="B1952" s="53" t="s">
        <v>457</v>
      </c>
      <c r="C1952" s="57" t="s">
        <v>2600</v>
      </c>
    </row>
    <row r="1953" spans="1:3">
      <c r="A1953" s="53">
        <v>24</v>
      </c>
      <c r="B1953" s="53" t="s">
        <v>1137</v>
      </c>
      <c r="C1953" s="57" t="s">
        <v>1138</v>
      </c>
    </row>
    <row r="1954" spans="1:3">
      <c r="A1954" s="53">
        <v>25</v>
      </c>
      <c r="B1954" s="53" t="s">
        <v>3314</v>
      </c>
      <c r="C1954" s="53" t="s">
        <v>3315</v>
      </c>
    </row>
    <row r="1955" spans="1:3">
      <c r="A1955" s="53">
        <v>26</v>
      </c>
      <c r="B1955" s="53" t="s">
        <v>1662</v>
      </c>
      <c r="C1955" s="57" t="s">
        <v>1317</v>
      </c>
    </row>
    <row r="1956" spans="1:3">
      <c r="A1956" s="53">
        <v>27</v>
      </c>
      <c r="B1956" s="53" t="s">
        <v>2091</v>
      </c>
      <c r="C1956" s="57" t="s">
        <v>2092</v>
      </c>
    </row>
    <row r="1957" spans="1:3">
      <c r="A1957" s="53">
        <v>28</v>
      </c>
      <c r="B1957" s="53" t="s">
        <v>3125</v>
      </c>
      <c r="C1957" s="57" t="s">
        <v>3126</v>
      </c>
    </row>
    <row r="1958" spans="1:3">
      <c r="A1958" s="53">
        <v>29</v>
      </c>
      <c r="B1958" s="53" t="s">
        <v>1445</v>
      </c>
      <c r="C1958" s="57" t="s">
        <v>2797</v>
      </c>
    </row>
    <row r="1959" spans="1:3">
      <c r="A1959" s="53">
        <v>30</v>
      </c>
      <c r="B1959" s="53" t="s">
        <v>2801</v>
      </c>
      <c r="C1959" s="57" t="s">
        <v>1236</v>
      </c>
    </row>
    <row r="1960" spans="1:3">
      <c r="A1960" s="53">
        <v>31</v>
      </c>
      <c r="B1960" s="53" t="s">
        <v>3108</v>
      </c>
      <c r="C1960" s="57" t="s">
        <v>2534</v>
      </c>
    </row>
    <row r="1961" spans="1:3">
      <c r="A1961" s="53">
        <v>32</v>
      </c>
      <c r="B1961" s="53" t="s">
        <v>4229</v>
      </c>
      <c r="C1961" s="57" t="s">
        <v>589</v>
      </c>
    </row>
    <row r="1962" spans="1:3">
      <c r="A1962" s="53">
        <v>33</v>
      </c>
      <c r="B1962" s="53" t="s">
        <v>413</v>
      </c>
      <c r="C1962" s="57" t="s">
        <v>414</v>
      </c>
    </row>
    <row r="1963" spans="1:3">
      <c r="A1963" s="53">
        <v>34</v>
      </c>
      <c r="B1963" s="53" t="s">
        <v>1911</v>
      </c>
      <c r="C1963" s="57" t="s">
        <v>1912</v>
      </c>
    </row>
    <row r="1964" spans="1:3">
      <c r="A1964" s="53">
        <v>35</v>
      </c>
      <c r="B1964" s="53" t="s">
        <v>3976</v>
      </c>
      <c r="C1964" s="57" t="s">
        <v>3977</v>
      </c>
    </row>
    <row r="1965" spans="1:3">
      <c r="A1965" s="53">
        <v>36</v>
      </c>
      <c r="B1965" s="53" t="s">
        <v>1781</v>
      </c>
      <c r="C1965" s="57" t="s">
        <v>1782</v>
      </c>
    </row>
    <row r="1966" spans="1:3">
      <c r="A1966" s="53">
        <v>37</v>
      </c>
      <c r="B1966" s="53" t="s">
        <v>444</v>
      </c>
      <c r="C1966" s="57" t="s">
        <v>445</v>
      </c>
    </row>
    <row r="1967" spans="1:3">
      <c r="A1967" s="53">
        <v>38</v>
      </c>
      <c r="B1967" s="53" t="s">
        <v>3879</v>
      </c>
      <c r="C1967" s="57" t="s">
        <v>3880</v>
      </c>
    </row>
    <row r="1968" spans="1:3">
      <c r="A1968" s="53">
        <v>39</v>
      </c>
      <c r="B1968" s="53" t="s">
        <v>2015</v>
      </c>
      <c r="C1968" s="57" t="s">
        <v>2016</v>
      </c>
    </row>
    <row r="1969" spans="1:3">
      <c r="A1969" s="53">
        <v>40</v>
      </c>
      <c r="B1969" s="53" t="s">
        <v>2057</v>
      </c>
      <c r="C1969" s="57" t="s">
        <v>2058</v>
      </c>
    </row>
    <row r="1970" spans="1:3">
      <c r="A1970" s="53">
        <v>41</v>
      </c>
      <c r="B1970" s="53" t="s">
        <v>3163</v>
      </c>
      <c r="C1970" s="57" t="s">
        <v>3221</v>
      </c>
    </row>
    <row r="1971" spans="1:3">
      <c r="A1971" s="53">
        <v>42</v>
      </c>
      <c r="B1971" s="53" t="s">
        <v>951</v>
      </c>
      <c r="C1971" s="57" t="s">
        <v>952</v>
      </c>
    </row>
    <row r="1972" spans="1:3">
      <c r="A1972" s="53">
        <v>43</v>
      </c>
      <c r="B1972" s="53" t="s">
        <v>1741</v>
      </c>
      <c r="C1972" s="57" t="s">
        <v>1742</v>
      </c>
    </row>
    <row r="1973" spans="1:3">
      <c r="A1973" s="53">
        <v>44</v>
      </c>
      <c r="B1973" s="53" t="s">
        <v>3928</v>
      </c>
      <c r="C1973" s="53" t="s">
        <v>2538</v>
      </c>
    </row>
    <row r="1974" spans="1:3">
      <c r="A1974" s="53">
        <v>45</v>
      </c>
      <c r="B1974" s="53" t="s">
        <v>3809</v>
      </c>
      <c r="C1974" s="57" t="s">
        <v>3810</v>
      </c>
    </row>
    <row r="1975" spans="1:3">
      <c r="A1975" s="53">
        <v>46</v>
      </c>
      <c r="B1975" s="53" t="s">
        <v>4046</v>
      </c>
      <c r="C1975" s="57" t="s">
        <v>458</v>
      </c>
    </row>
    <row r="1976" spans="1:3">
      <c r="A1976" s="53">
        <v>47</v>
      </c>
      <c r="B1976" s="53" t="s">
        <v>4376</v>
      </c>
      <c r="C1976" s="57" t="s">
        <v>4377</v>
      </c>
    </row>
    <row r="1977" spans="1:3">
      <c r="A1977" s="53">
        <v>48</v>
      </c>
      <c r="B1977" s="53" t="s">
        <v>3923</v>
      </c>
      <c r="C1977" s="57" t="s">
        <v>3488</v>
      </c>
    </row>
    <row r="1978" spans="1:3">
      <c r="A1978" s="53">
        <v>49</v>
      </c>
      <c r="B1978" s="53" t="s">
        <v>493</v>
      </c>
      <c r="C1978" s="57" t="s">
        <v>494</v>
      </c>
    </row>
    <row r="1979" spans="1:3">
      <c r="A1979" s="53">
        <v>50</v>
      </c>
      <c r="B1979" s="53" t="s">
        <v>2263</v>
      </c>
      <c r="C1979" s="57" t="s">
        <v>3059</v>
      </c>
    </row>
    <row r="1980" spans="1:3">
      <c r="A1980" s="53">
        <v>51</v>
      </c>
      <c r="B1980" s="53" t="s">
        <v>1315</v>
      </c>
      <c r="C1980" s="57" t="s">
        <v>1316</v>
      </c>
    </row>
    <row r="1981" spans="1:3">
      <c r="A1981" s="53">
        <v>52</v>
      </c>
      <c r="B1981" s="53" t="s">
        <v>3747</v>
      </c>
      <c r="C1981" s="57" t="s">
        <v>442</v>
      </c>
    </row>
    <row r="1982" spans="1:3">
      <c r="A1982" s="53">
        <v>53</v>
      </c>
      <c r="B1982" s="53" t="s">
        <v>2910</v>
      </c>
      <c r="C1982" s="57" t="s">
        <v>308</v>
      </c>
    </row>
    <row r="1983" spans="1:3">
      <c r="A1983" s="53">
        <v>54</v>
      </c>
      <c r="B1983" s="53" t="s">
        <v>1987</v>
      </c>
      <c r="C1983" s="57" t="s">
        <v>3064</v>
      </c>
    </row>
    <row r="1984" spans="1:3">
      <c r="A1984" s="53">
        <v>55</v>
      </c>
      <c r="B1984" s="53" t="s">
        <v>1390</v>
      </c>
      <c r="C1984" s="57" t="s">
        <v>1420</v>
      </c>
    </row>
    <row r="1985" spans="1:3">
      <c r="A1985" s="53">
        <v>56</v>
      </c>
      <c r="B1985" s="53" t="s">
        <v>422</v>
      </c>
      <c r="C1985" s="57" t="s">
        <v>423</v>
      </c>
    </row>
    <row r="1986" spans="1:3">
      <c r="A1986" s="53">
        <v>57</v>
      </c>
      <c r="B1986" s="53" t="s">
        <v>575</v>
      </c>
      <c r="C1986" s="57" t="s">
        <v>1249</v>
      </c>
    </row>
    <row r="1987" spans="1:3">
      <c r="A1987" s="53">
        <v>58</v>
      </c>
      <c r="B1987" s="53" t="s">
        <v>3265</v>
      </c>
      <c r="C1987" s="57" t="s">
        <v>3266</v>
      </c>
    </row>
    <row r="1988" spans="1:3">
      <c r="A1988" s="53">
        <v>59</v>
      </c>
      <c r="B1988" s="161" t="s">
        <v>101</v>
      </c>
      <c r="C1988" s="57" t="s">
        <v>102</v>
      </c>
    </row>
    <row r="1989" spans="1:3">
      <c r="A1989" s="53">
        <v>60</v>
      </c>
      <c r="B1989" s="53" t="s">
        <v>1274</v>
      </c>
      <c r="C1989" s="57" t="s">
        <v>1275</v>
      </c>
    </row>
    <row r="1990" spans="1:3">
      <c r="A1990" s="53">
        <v>61</v>
      </c>
      <c r="B1990" s="53" t="s">
        <v>3552</v>
      </c>
      <c r="C1990" s="57" t="s">
        <v>3553</v>
      </c>
    </row>
    <row r="1991" spans="1:3">
      <c r="A1991" s="53">
        <v>62</v>
      </c>
      <c r="B1991" s="53" t="s">
        <v>154</v>
      </c>
      <c r="C1991" s="57" t="s">
        <v>2264</v>
      </c>
    </row>
    <row r="1992" spans="1:3">
      <c r="A1992" s="53">
        <v>63</v>
      </c>
      <c r="B1992" s="53" t="s">
        <v>1823</v>
      </c>
      <c r="C1992" s="57" t="s">
        <v>1791</v>
      </c>
    </row>
    <row r="1993" spans="1:3">
      <c r="A1993" s="53">
        <v>64</v>
      </c>
      <c r="B1993" s="53" t="s">
        <v>1794</v>
      </c>
      <c r="C1993" s="57" t="s">
        <v>1795</v>
      </c>
    </row>
    <row r="1994" spans="1:3">
      <c r="A1994" s="53">
        <v>65</v>
      </c>
      <c r="B1994" s="53" t="s">
        <v>4069</v>
      </c>
      <c r="C1994" s="57" t="s">
        <v>132</v>
      </c>
    </row>
    <row r="1995" spans="1:3">
      <c r="A1995" s="53">
        <v>66</v>
      </c>
      <c r="B1995" s="53" t="s">
        <v>3511</v>
      </c>
      <c r="C1995" s="57" t="s">
        <v>3512</v>
      </c>
    </row>
    <row r="1996" spans="1:3">
      <c r="A1996" s="53">
        <v>67</v>
      </c>
      <c r="B1996" s="53" t="s">
        <v>3514</v>
      </c>
      <c r="C1996" s="57" t="s">
        <v>3515</v>
      </c>
    </row>
    <row r="1997" spans="1:3">
      <c r="A1997" s="53">
        <v>68</v>
      </c>
      <c r="B1997" s="53" t="s">
        <v>630</v>
      </c>
      <c r="C1997" s="57" t="s">
        <v>631</v>
      </c>
    </row>
    <row r="1998" spans="1:3">
      <c r="A1998" s="53">
        <v>69</v>
      </c>
      <c r="B1998" s="53" t="s">
        <v>1576</v>
      </c>
      <c r="C1998" s="57" t="s">
        <v>4266</v>
      </c>
    </row>
    <row r="1999" spans="1:3">
      <c r="A1999" s="53">
        <v>70</v>
      </c>
      <c r="B1999" s="53" t="s">
        <v>3449</v>
      </c>
      <c r="C1999" s="57" t="s">
        <v>3450</v>
      </c>
    </row>
    <row r="2000" spans="1:3">
      <c r="A2000" s="53">
        <v>71</v>
      </c>
      <c r="B2000" s="53" t="s">
        <v>2793</v>
      </c>
      <c r="C2000" s="57" t="s">
        <v>1939</v>
      </c>
    </row>
    <row r="2001" spans="1:3">
      <c r="A2001" s="53">
        <v>72</v>
      </c>
      <c r="B2001" s="53" t="s">
        <v>3375</v>
      </c>
      <c r="C2001" s="57" t="s">
        <v>4338</v>
      </c>
    </row>
    <row r="2002" spans="1:3">
      <c r="A2002" s="53">
        <v>73</v>
      </c>
      <c r="B2002" s="53" t="s">
        <v>72</v>
      </c>
      <c r="C2002" s="57" t="s">
        <v>73</v>
      </c>
    </row>
    <row r="2003" spans="1:3">
      <c r="A2003" s="53">
        <v>74</v>
      </c>
      <c r="B2003" s="53" t="s">
        <v>4081</v>
      </c>
      <c r="C2003" s="57" t="s">
        <v>506</v>
      </c>
    </row>
    <row r="2004" spans="1:3">
      <c r="A2004" s="53">
        <v>75</v>
      </c>
      <c r="B2004" s="53" t="s">
        <v>1925</v>
      </c>
      <c r="C2004" s="57" t="s">
        <v>2637</v>
      </c>
    </row>
    <row r="2005" spans="1:3">
      <c r="A2005" s="53">
        <v>76</v>
      </c>
      <c r="B2005" s="53" t="s">
        <v>1936</v>
      </c>
      <c r="C2005" s="57" t="s">
        <v>1937</v>
      </c>
    </row>
    <row r="2006" spans="1:3">
      <c r="A2006" s="53">
        <v>77</v>
      </c>
      <c r="B2006" s="53" t="s">
        <v>3567</v>
      </c>
      <c r="C2006" s="57" t="s">
        <v>3581</v>
      </c>
    </row>
    <row r="2007" spans="1:3">
      <c r="A2007" s="53">
        <v>78</v>
      </c>
      <c r="B2007" s="53" t="s">
        <v>401</v>
      </c>
      <c r="C2007" s="57" t="s">
        <v>402</v>
      </c>
    </row>
    <row r="2008" spans="1:3">
      <c r="A2008" s="53">
        <v>79</v>
      </c>
      <c r="B2008" s="53" t="s">
        <v>616</v>
      </c>
      <c r="C2008" s="57" t="s">
        <v>617</v>
      </c>
    </row>
    <row r="2009" spans="1:3">
      <c r="A2009" s="53">
        <v>80</v>
      </c>
      <c r="B2009" s="53" t="s">
        <v>849</v>
      </c>
      <c r="C2009" s="57" t="s">
        <v>3241</v>
      </c>
    </row>
    <row r="2010" spans="1:3">
      <c r="A2010" s="53">
        <v>81</v>
      </c>
      <c r="B2010" s="53" t="s">
        <v>2766</v>
      </c>
      <c r="C2010" s="57" t="s">
        <v>65</v>
      </c>
    </row>
    <row r="2011" spans="1:3">
      <c r="A2011" s="53">
        <v>82</v>
      </c>
      <c r="B2011" s="53" t="s">
        <v>1753</v>
      </c>
      <c r="C2011" s="57" t="s">
        <v>1754</v>
      </c>
    </row>
    <row r="2012" spans="1:3">
      <c r="A2012" s="53">
        <v>83</v>
      </c>
      <c r="B2012" s="53" t="s">
        <v>3296</v>
      </c>
      <c r="C2012" s="57" t="s">
        <v>3297</v>
      </c>
    </row>
    <row r="2013" spans="1:3">
      <c r="A2013" s="53">
        <v>84</v>
      </c>
      <c r="B2013" s="53" t="s">
        <v>2154</v>
      </c>
      <c r="C2013" s="57" t="s">
        <v>2514</v>
      </c>
    </row>
    <row r="2014" spans="1:3">
      <c r="A2014" s="53">
        <v>85</v>
      </c>
      <c r="B2014" s="53" t="s">
        <v>3058</v>
      </c>
      <c r="C2014" s="57" t="s">
        <v>840</v>
      </c>
    </row>
    <row r="2015" spans="1:3">
      <c r="A2015" s="53">
        <v>86</v>
      </c>
      <c r="B2015" s="53" t="s">
        <v>1356</v>
      </c>
      <c r="C2015" s="57" t="s">
        <v>1357</v>
      </c>
    </row>
    <row r="2016" spans="1:3">
      <c r="A2016" s="53">
        <v>87</v>
      </c>
      <c r="B2016" s="53" t="s">
        <v>1758</v>
      </c>
      <c r="C2016" s="57" t="s">
        <v>1073</v>
      </c>
    </row>
    <row r="2017" spans="1:3">
      <c r="A2017" s="53">
        <v>88</v>
      </c>
      <c r="B2017" s="53" t="s">
        <v>869</v>
      </c>
      <c r="C2017" s="57" t="s">
        <v>4082</v>
      </c>
    </row>
    <row r="2018" spans="1:3">
      <c r="A2018" s="53">
        <v>89</v>
      </c>
      <c r="B2018" s="53" t="s">
        <v>4397</v>
      </c>
      <c r="C2018" s="57" t="s">
        <v>4398</v>
      </c>
    </row>
    <row r="2019" spans="1:3">
      <c r="A2019" s="53">
        <v>90</v>
      </c>
      <c r="B2019" s="53" t="s">
        <v>2545</v>
      </c>
      <c r="C2019" s="57" t="s">
        <v>4311</v>
      </c>
    </row>
    <row r="2020" spans="1:3">
      <c r="A2020" s="53">
        <v>91</v>
      </c>
      <c r="B2020" s="53" t="s">
        <v>640</v>
      </c>
      <c r="C2020" s="57" t="s">
        <v>3127</v>
      </c>
    </row>
    <row r="2021" spans="1:3">
      <c r="A2021" s="53">
        <v>92</v>
      </c>
      <c r="B2021" s="53" t="s">
        <v>2768</v>
      </c>
      <c r="C2021" s="57" t="s">
        <v>2769</v>
      </c>
    </row>
    <row r="2022" spans="1:3">
      <c r="A2022" s="53">
        <v>93</v>
      </c>
      <c r="B2022" s="53" t="s">
        <v>3670</v>
      </c>
      <c r="C2022" s="57" t="s">
        <v>155</v>
      </c>
    </row>
    <row r="2023" spans="1:3">
      <c r="A2023" s="53">
        <v>94</v>
      </c>
      <c r="B2023" s="53" t="s">
        <v>1508</v>
      </c>
      <c r="C2023" s="57" t="s">
        <v>1245</v>
      </c>
    </row>
    <row r="2024" spans="1:3">
      <c r="A2024" s="53">
        <v>95</v>
      </c>
      <c r="B2024" s="53" t="s">
        <v>2683</v>
      </c>
      <c r="C2024" s="57" t="s">
        <v>2684</v>
      </c>
    </row>
    <row r="2025" spans="1:3">
      <c r="A2025" s="53">
        <v>96</v>
      </c>
      <c r="B2025" s="53" t="s">
        <v>138</v>
      </c>
      <c r="C2025" s="57" t="s">
        <v>139</v>
      </c>
    </row>
    <row r="2026" spans="1:3">
      <c r="A2026" s="53">
        <v>97</v>
      </c>
      <c r="B2026" s="53" t="s">
        <v>1888</v>
      </c>
      <c r="C2026" s="57" t="s">
        <v>1889</v>
      </c>
    </row>
    <row r="2027" spans="1:3">
      <c r="A2027" s="53">
        <v>98</v>
      </c>
      <c r="B2027" s="53" t="s">
        <v>771</v>
      </c>
      <c r="C2027" s="57" t="s">
        <v>435</v>
      </c>
    </row>
    <row r="2028" spans="1:3">
      <c r="A2028" s="53">
        <v>99</v>
      </c>
      <c r="B2028" s="53" t="s">
        <v>2518</v>
      </c>
      <c r="C2028" s="57" t="s">
        <v>2519</v>
      </c>
    </row>
    <row r="2029" spans="1:3">
      <c r="A2029" s="53">
        <v>100</v>
      </c>
      <c r="B2029" s="53" t="s">
        <v>4089</v>
      </c>
      <c r="C2029" s="57" t="s">
        <v>4090</v>
      </c>
    </row>
    <row r="2030" spans="1:3">
      <c r="A2030" s="53">
        <v>101</v>
      </c>
      <c r="B2030" s="53" t="s">
        <v>2994</v>
      </c>
      <c r="C2030" s="57" t="s">
        <v>3002</v>
      </c>
    </row>
    <row r="2031" spans="1:3">
      <c r="A2031" s="53">
        <v>102</v>
      </c>
      <c r="B2031" s="53" t="s">
        <v>3641</v>
      </c>
      <c r="C2031" s="57" t="s">
        <v>3642</v>
      </c>
    </row>
    <row r="2032" spans="1:3">
      <c r="A2032" s="53">
        <v>103</v>
      </c>
      <c r="B2032" s="53" t="s">
        <v>2939</v>
      </c>
      <c r="C2032" s="57" t="s">
        <v>2940</v>
      </c>
    </row>
    <row r="2033" spans="1:3">
      <c r="A2033" s="53">
        <v>104</v>
      </c>
      <c r="B2033" s="53" t="s">
        <v>2742</v>
      </c>
      <c r="C2033" s="57" t="s">
        <v>1352</v>
      </c>
    </row>
    <row r="2034" spans="1:3">
      <c r="A2034" s="53">
        <v>105</v>
      </c>
      <c r="B2034" s="53" t="s">
        <v>106</v>
      </c>
      <c r="C2034" s="57" t="s">
        <v>271</v>
      </c>
    </row>
    <row r="2035" spans="1:3">
      <c r="A2035" s="53">
        <v>106</v>
      </c>
      <c r="B2035" s="53" t="s">
        <v>30</v>
      </c>
      <c r="C2035" s="57" t="s">
        <v>4057</v>
      </c>
    </row>
    <row r="2036" spans="1:3">
      <c r="A2036" s="53">
        <v>107</v>
      </c>
      <c r="B2036" s="53" t="s">
        <v>3533</v>
      </c>
      <c r="C2036" s="57" t="s">
        <v>3534</v>
      </c>
    </row>
    <row r="2037" spans="1:3">
      <c r="A2037" s="53">
        <v>108</v>
      </c>
      <c r="B2037" s="53" t="s">
        <v>3647</v>
      </c>
      <c r="C2037" s="57" t="s">
        <v>3648</v>
      </c>
    </row>
    <row r="2038" spans="1:3">
      <c r="A2038" s="53">
        <v>109</v>
      </c>
      <c r="B2038" s="53" t="s">
        <v>1637</v>
      </c>
      <c r="C2038" s="57" t="s">
        <v>672</v>
      </c>
    </row>
    <row r="2039" spans="1:3">
      <c r="A2039" s="53">
        <v>110</v>
      </c>
      <c r="B2039" s="53" t="s">
        <v>3309</v>
      </c>
      <c r="C2039" s="57" t="s">
        <v>3249</v>
      </c>
    </row>
    <row r="2040" spans="1:3">
      <c r="A2040" s="53">
        <v>111</v>
      </c>
      <c r="B2040" s="53" t="s">
        <v>1759</v>
      </c>
      <c r="C2040" s="57" t="s">
        <v>1760</v>
      </c>
    </row>
    <row r="2041" spans="1:3">
      <c r="A2041" s="53">
        <v>112</v>
      </c>
      <c r="B2041" s="53" t="s">
        <v>3139</v>
      </c>
      <c r="C2041" s="57" t="s">
        <v>3140</v>
      </c>
    </row>
    <row r="2042" spans="1:3">
      <c r="A2042" s="53">
        <v>113</v>
      </c>
      <c r="B2042" s="53" t="s">
        <v>812</v>
      </c>
      <c r="C2042" s="57" t="s">
        <v>813</v>
      </c>
    </row>
    <row r="2043" spans="1:3">
      <c r="A2043" s="53">
        <v>114</v>
      </c>
      <c r="B2043" s="53" t="s">
        <v>3335</v>
      </c>
      <c r="C2043" s="57" t="s">
        <v>4003</v>
      </c>
    </row>
    <row r="2044" spans="1:3">
      <c r="C2044" s="57"/>
    </row>
    <row r="2045" spans="1:3">
      <c r="C2045" s="57"/>
    </row>
    <row r="2046" spans="1:3">
      <c r="C2046" s="57"/>
    </row>
    <row r="2047" spans="1:3">
      <c r="C2047" s="57"/>
    </row>
    <row r="2048" spans="1:3">
      <c r="C2048" s="57"/>
    </row>
    <row r="2049" spans="1:4">
      <c r="C2049" s="57"/>
    </row>
    <row r="2050" spans="1:4">
      <c r="C2050" s="57"/>
    </row>
    <row r="2051" spans="1:4">
      <c r="C2051" s="57"/>
    </row>
    <row r="2052" spans="1:4">
      <c r="C2052" s="57"/>
    </row>
    <row r="2054" spans="1:4">
      <c r="A2054" s="53" t="s">
        <v>3350</v>
      </c>
      <c r="B2054" s="53" t="s">
        <v>3351</v>
      </c>
      <c r="C2054" s="53" t="s">
        <v>3352</v>
      </c>
      <c r="D2054" s="53" t="s">
        <v>3353</v>
      </c>
    </row>
    <row r="2055" spans="1:4">
      <c r="A2055" s="160" t="s">
        <v>2928</v>
      </c>
      <c r="B2055" s="53" t="s">
        <v>2565</v>
      </c>
      <c r="C2055" s="160" t="s">
        <v>3354</v>
      </c>
      <c r="D2055" s="53" t="s">
        <v>2566</v>
      </c>
    </row>
  </sheetData>
  <phoneticPr fontId="0" type="noConversion"/>
  <pageMargins left="0.75" right="0.75" top="1" bottom="1" header="0" footer="0"/>
  <pageSetup paperSize="9" orientation="portrait"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L34"/>
  <sheetViews>
    <sheetView workbookViewId="0">
      <selection activeCell="A14" sqref="A14"/>
    </sheetView>
  </sheetViews>
  <sheetFormatPr defaultColWidth="11.3984375" defaultRowHeight="10.15"/>
  <cols>
    <col min="1" max="2" width="11.3984375" style="375"/>
    <col min="3" max="3" width="52.73046875" style="375" customWidth="1"/>
    <col min="4" max="5" width="11.3984375" style="375"/>
    <col min="6" max="6" width="14" style="375" customWidth="1"/>
    <col min="7" max="7" width="11.3984375" style="375"/>
    <col min="8" max="8" width="5.86328125" style="375" customWidth="1"/>
    <col min="9" max="9" width="21" style="375" customWidth="1"/>
    <col min="10" max="16384" width="11.3984375" style="375"/>
  </cols>
  <sheetData>
    <row r="1" spans="1:12">
      <c r="C1" s="375" t="s">
        <v>282</v>
      </c>
      <c r="D1" s="376">
        <v>1</v>
      </c>
      <c r="E1" s="375">
        <f>IF(F1=TRUE,1,0)</f>
        <v>0</v>
      </c>
      <c r="F1" s="375" t="b">
        <v>0</v>
      </c>
      <c r="G1" s="377" t="s">
        <v>1964</v>
      </c>
      <c r="I1" s="375" t="s">
        <v>3835</v>
      </c>
      <c r="J1" s="376">
        <v>1</v>
      </c>
      <c r="L1" s="375" t="b">
        <v>0</v>
      </c>
    </row>
    <row r="2" spans="1:12">
      <c r="A2" s="375">
        <v>1</v>
      </c>
      <c r="B2" s="377" t="s">
        <v>3354</v>
      </c>
      <c r="C2" s="375" t="s">
        <v>642</v>
      </c>
      <c r="D2" s="375" t="str">
        <f>VLOOKUP(D1,A2:B34,2,FALSE)</f>
        <v>00</v>
      </c>
      <c r="E2" s="375">
        <f t="shared" ref="E2:E12" si="0">IF(F2=TRUE,1,0)</f>
        <v>0</v>
      </c>
      <c r="F2" s="375" t="b">
        <v>0</v>
      </c>
      <c r="G2" s="377" t="s">
        <v>1965</v>
      </c>
      <c r="H2" s="377" t="s">
        <v>3354</v>
      </c>
      <c r="I2" s="375" t="s">
        <v>4315</v>
      </c>
      <c r="J2" s="375" t="str">
        <f>"0"&amp;J1-1</f>
        <v>00</v>
      </c>
      <c r="L2" s="375" t="b">
        <v>0</v>
      </c>
    </row>
    <row r="3" spans="1:12">
      <c r="A3" s="375">
        <v>2</v>
      </c>
      <c r="B3" s="377" t="s">
        <v>1964</v>
      </c>
      <c r="C3" s="378" t="s">
        <v>165</v>
      </c>
      <c r="E3" s="375">
        <f t="shared" si="0"/>
        <v>0</v>
      </c>
      <c r="F3" s="375" t="b">
        <v>0</v>
      </c>
      <c r="G3" s="377" t="s">
        <v>1966</v>
      </c>
      <c r="H3" s="377" t="s">
        <v>1964</v>
      </c>
      <c r="I3" s="378" t="s">
        <v>3893</v>
      </c>
      <c r="L3" s="375" t="b">
        <v>0</v>
      </c>
    </row>
    <row r="4" spans="1:12">
      <c r="A4" s="375">
        <v>3</v>
      </c>
      <c r="B4" s="377" t="s">
        <v>1483</v>
      </c>
      <c r="C4" s="378" t="s">
        <v>372</v>
      </c>
      <c r="E4" s="375">
        <f t="shared" si="0"/>
        <v>0</v>
      </c>
      <c r="F4" s="375" t="b">
        <v>0</v>
      </c>
      <c r="G4" s="377" t="s">
        <v>1967</v>
      </c>
      <c r="H4" s="377" t="s">
        <v>1965</v>
      </c>
      <c r="I4" s="378" t="s">
        <v>3894</v>
      </c>
      <c r="L4" s="375" t="b">
        <v>0</v>
      </c>
    </row>
    <row r="5" spans="1:12">
      <c r="A5" s="375">
        <v>4</v>
      </c>
      <c r="B5" s="377" t="s">
        <v>278</v>
      </c>
      <c r="C5" s="378" t="s">
        <v>373</v>
      </c>
      <c r="E5" s="375">
        <f t="shared" si="0"/>
        <v>0</v>
      </c>
      <c r="F5" s="375" t="b">
        <v>0</v>
      </c>
      <c r="G5" s="377" t="s">
        <v>1968</v>
      </c>
      <c r="H5" s="377" t="s">
        <v>1966</v>
      </c>
      <c r="I5" s="378" t="s">
        <v>3179</v>
      </c>
      <c r="L5" s="375" t="b">
        <v>0</v>
      </c>
    </row>
    <row r="6" spans="1:12">
      <c r="A6" s="375">
        <v>5</v>
      </c>
      <c r="B6" s="377" t="s">
        <v>1965</v>
      </c>
      <c r="C6" s="378" t="s">
        <v>31</v>
      </c>
      <c r="E6" s="375">
        <f t="shared" si="0"/>
        <v>0</v>
      </c>
      <c r="F6" s="375" t="b">
        <v>0</v>
      </c>
      <c r="G6" s="377" t="s">
        <v>1969</v>
      </c>
      <c r="H6" s="377" t="s">
        <v>1967</v>
      </c>
      <c r="I6" s="378" t="s">
        <v>3180</v>
      </c>
      <c r="L6" s="375" t="b">
        <v>0</v>
      </c>
    </row>
    <row r="7" spans="1:12">
      <c r="A7" s="375">
        <v>6</v>
      </c>
      <c r="B7" s="377" t="s">
        <v>1966</v>
      </c>
      <c r="C7" s="378" t="s">
        <v>854</v>
      </c>
      <c r="E7" s="375">
        <f t="shared" si="0"/>
        <v>0</v>
      </c>
      <c r="F7" s="375" t="b">
        <v>0</v>
      </c>
      <c r="G7" s="377" t="s">
        <v>1970</v>
      </c>
      <c r="H7" s="377" t="s">
        <v>1968</v>
      </c>
      <c r="I7" s="378" t="s">
        <v>3833</v>
      </c>
      <c r="L7" s="375" t="b">
        <v>0</v>
      </c>
    </row>
    <row r="8" spans="1:12">
      <c r="A8" s="375">
        <v>7</v>
      </c>
      <c r="B8" s="377" t="s">
        <v>1967</v>
      </c>
      <c r="C8" s="378" t="s">
        <v>3889</v>
      </c>
      <c r="E8" s="375">
        <f t="shared" si="0"/>
        <v>0</v>
      </c>
      <c r="F8" s="375" t="b">
        <v>0</v>
      </c>
      <c r="G8" s="377" t="s">
        <v>1971</v>
      </c>
      <c r="H8" s="377" t="s">
        <v>1969</v>
      </c>
      <c r="I8" s="378" t="s">
        <v>3834</v>
      </c>
    </row>
    <row r="9" spans="1:12">
      <c r="A9" s="375">
        <v>8</v>
      </c>
      <c r="B9" s="377" t="s">
        <v>1968</v>
      </c>
      <c r="C9" s="378" t="s">
        <v>3890</v>
      </c>
      <c r="E9" s="375">
        <f t="shared" si="0"/>
        <v>0</v>
      </c>
      <c r="F9" s="375" t="b">
        <v>0</v>
      </c>
      <c r="G9" s="377" t="s">
        <v>1972</v>
      </c>
    </row>
    <row r="10" spans="1:12">
      <c r="A10" s="375">
        <v>9</v>
      </c>
      <c r="B10" s="377" t="s">
        <v>1969</v>
      </c>
      <c r="C10" s="378" t="s">
        <v>1983</v>
      </c>
      <c r="E10" s="375">
        <f t="shared" si="0"/>
        <v>0</v>
      </c>
      <c r="F10" s="375" t="b">
        <v>0</v>
      </c>
      <c r="G10" s="377" t="s">
        <v>1973</v>
      </c>
    </row>
    <row r="11" spans="1:12">
      <c r="A11" s="375">
        <v>10</v>
      </c>
      <c r="B11" s="377" t="s">
        <v>1970</v>
      </c>
      <c r="C11" s="378" t="s">
        <v>3788</v>
      </c>
      <c r="E11" s="375">
        <f t="shared" si="0"/>
        <v>0</v>
      </c>
      <c r="F11" s="375" t="b">
        <v>0</v>
      </c>
      <c r="G11" s="377" t="s">
        <v>1974</v>
      </c>
    </row>
    <row r="12" spans="1:12">
      <c r="A12" s="375">
        <v>11</v>
      </c>
      <c r="B12" s="377" t="s">
        <v>1971</v>
      </c>
      <c r="C12" s="378" t="s">
        <v>230</v>
      </c>
      <c r="E12" s="375">
        <f t="shared" si="0"/>
        <v>0</v>
      </c>
      <c r="F12" s="375" t="b">
        <v>0</v>
      </c>
      <c r="G12" s="377" t="s">
        <v>1975</v>
      </c>
    </row>
    <row r="13" spans="1:12">
      <c r="A13" s="375">
        <v>12</v>
      </c>
      <c r="B13" s="377" t="s">
        <v>1972</v>
      </c>
      <c r="C13" s="378" t="s">
        <v>4407</v>
      </c>
    </row>
    <row r="14" spans="1:12">
      <c r="A14" s="375">
        <v>13</v>
      </c>
      <c r="B14" s="377" t="s">
        <v>1973</v>
      </c>
      <c r="C14" s="378" t="s">
        <v>109</v>
      </c>
    </row>
    <row r="15" spans="1:12">
      <c r="A15" s="375">
        <v>14</v>
      </c>
      <c r="B15" s="377" t="s">
        <v>1974</v>
      </c>
      <c r="C15" s="378" t="s">
        <v>3752</v>
      </c>
    </row>
    <row r="16" spans="1:12">
      <c r="A16" s="375">
        <v>15</v>
      </c>
      <c r="B16" s="377" t="s">
        <v>1975</v>
      </c>
      <c r="C16" s="378" t="s">
        <v>3723</v>
      </c>
    </row>
    <row r="17" spans="1:3">
      <c r="A17" s="375">
        <v>16</v>
      </c>
      <c r="B17" s="377" t="s">
        <v>1976</v>
      </c>
      <c r="C17" s="378" t="s">
        <v>3231</v>
      </c>
    </row>
    <row r="18" spans="1:3">
      <c r="A18" s="375">
        <v>17</v>
      </c>
      <c r="B18" s="377" t="s">
        <v>1977</v>
      </c>
      <c r="C18" s="378" t="s">
        <v>3232</v>
      </c>
    </row>
    <row r="19" spans="1:3">
      <c r="A19" s="375">
        <v>18</v>
      </c>
      <c r="B19" s="377" t="s">
        <v>1978</v>
      </c>
      <c r="C19" s="378" t="s">
        <v>4406</v>
      </c>
    </row>
    <row r="20" spans="1:3">
      <c r="A20" s="375">
        <v>19</v>
      </c>
      <c r="B20" s="377" t="s">
        <v>1979</v>
      </c>
      <c r="C20" s="378" t="s">
        <v>1522</v>
      </c>
    </row>
    <row r="21" spans="1:3">
      <c r="A21" s="375">
        <v>20</v>
      </c>
      <c r="B21" s="377" t="s">
        <v>4152</v>
      </c>
      <c r="C21" s="378" t="s">
        <v>1523</v>
      </c>
    </row>
    <row r="22" spans="1:3">
      <c r="A22" s="375">
        <v>21</v>
      </c>
      <c r="B22" s="377" t="s">
        <v>4153</v>
      </c>
      <c r="C22" s="378" t="s">
        <v>3759</v>
      </c>
    </row>
    <row r="23" spans="1:3">
      <c r="A23" s="375">
        <v>22</v>
      </c>
      <c r="B23" s="377" t="s">
        <v>4154</v>
      </c>
      <c r="C23" s="378" t="s">
        <v>1960</v>
      </c>
    </row>
    <row r="24" spans="1:3">
      <c r="A24" s="375">
        <v>23</v>
      </c>
      <c r="B24" s="377" t="s">
        <v>4155</v>
      </c>
      <c r="C24" s="378" t="s">
        <v>3784</v>
      </c>
    </row>
    <row r="25" spans="1:3">
      <c r="A25" s="375">
        <v>24</v>
      </c>
      <c r="B25" s="377" t="s">
        <v>4156</v>
      </c>
      <c r="C25" s="378" t="s">
        <v>3785</v>
      </c>
    </row>
    <row r="26" spans="1:3">
      <c r="A26" s="375">
        <v>25</v>
      </c>
      <c r="B26" s="377" t="s">
        <v>4157</v>
      </c>
      <c r="C26" s="378" t="s">
        <v>3786</v>
      </c>
    </row>
    <row r="27" spans="1:3">
      <c r="A27" s="375">
        <v>26</v>
      </c>
      <c r="B27" s="377" t="s">
        <v>4158</v>
      </c>
      <c r="C27" s="378" t="s">
        <v>3787</v>
      </c>
    </row>
    <row r="28" spans="1:3">
      <c r="A28" s="375">
        <v>27</v>
      </c>
      <c r="B28" s="377" t="s">
        <v>4159</v>
      </c>
      <c r="C28" s="378" t="s">
        <v>1675</v>
      </c>
    </row>
    <row r="29" spans="1:3">
      <c r="A29" s="375">
        <v>28</v>
      </c>
      <c r="B29" s="377" t="s">
        <v>2424</v>
      </c>
      <c r="C29" s="378" t="s">
        <v>1676</v>
      </c>
    </row>
    <row r="30" spans="1:3">
      <c r="A30" s="375">
        <v>29</v>
      </c>
      <c r="B30" s="377" t="s">
        <v>2425</v>
      </c>
      <c r="C30" s="378" t="s">
        <v>1677</v>
      </c>
    </row>
    <row r="31" spans="1:3">
      <c r="A31" s="375">
        <v>30</v>
      </c>
      <c r="B31" s="377" t="s">
        <v>2426</v>
      </c>
      <c r="C31" s="378" t="s">
        <v>3724</v>
      </c>
    </row>
    <row r="32" spans="1:3">
      <c r="A32" s="375">
        <v>31</v>
      </c>
      <c r="B32" s="377" t="s">
        <v>2427</v>
      </c>
      <c r="C32" s="378" t="s">
        <v>2421</v>
      </c>
    </row>
    <row r="33" spans="1:3">
      <c r="A33" s="375">
        <v>32</v>
      </c>
      <c r="B33" s="377" t="s">
        <v>1962</v>
      </c>
      <c r="C33" s="378" t="s">
        <v>2422</v>
      </c>
    </row>
    <row r="34" spans="1:3">
      <c r="A34" s="375">
        <v>33</v>
      </c>
      <c r="B34" s="377" t="s">
        <v>1482</v>
      </c>
      <c r="C34" s="378" t="s">
        <v>2423</v>
      </c>
    </row>
  </sheetData>
  <customSheetViews>
    <customSheetView guid="{BADF0D91-0196-11D5-91C8-00485485D900}" showRuler="0">
      <pageMargins left="0.75" right="0.75" top="1" bottom="1" header="0" footer="0"/>
      <headerFooter alignWithMargins="0"/>
    </customSheetView>
  </customSheetViews>
  <phoneticPr fontId="0" type="noConversion"/>
  <pageMargins left="0.75" right="0.75" top="1" bottom="1" header="0" footer="0"/>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orkbookViewId="0">
      <selection activeCell="E16" sqref="E16"/>
    </sheetView>
  </sheetViews>
  <sheetFormatPr defaultRowHeight="12.75"/>
  <cols>
    <col min="1" max="256" width="10.6640625" customWidth="1"/>
  </cols>
  <sheetData/>
  <phoneticPr fontId="0" type="noConversion"/>
  <pageMargins left="0.75" right="0.75" top="1" bottom="1" header="0" footer="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orkbookViewId="0">
      <selection activeCell="E7" sqref="E7"/>
    </sheetView>
  </sheetViews>
  <sheetFormatPr defaultRowHeight="12.75"/>
  <cols>
    <col min="1" max="256" width="10.6640625" customWidth="1"/>
  </cols>
  <sheetData/>
  <phoneticPr fontId="0" type="noConversion"/>
  <pageMargins left="0.75" right="0.75" top="1" bottom="1" header="0" footer="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
  <sheetViews>
    <sheetView workbookViewId="0">
      <selection activeCell="D7" sqref="D7"/>
    </sheetView>
  </sheetViews>
  <sheetFormatPr defaultColWidth="11.3984375" defaultRowHeight="12.75"/>
  <cols>
    <col min="1" max="16384" width="11.3984375" style="1"/>
  </cols>
  <sheetData/>
  <phoneticPr fontId="0" type="noConversion"/>
  <pageMargins left="0.75" right="0.75" top="1" bottom="1" header="0" footer="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
  <sheetViews>
    <sheetView workbookViewId="0">
      <selection activeCell="BI15" sqref="BI15"/>
    </sheetView>
  </sheetViews>
  <sheetFormatPr defaultRowHeight="12.75"/>
  <cols>
    <col min="1" max="1" width="13.86328125" customWidth="1"/>
    <col min="2" max="2" width="10.6640625" customWidth="1"/>
    <col min="3" max="3" width="14.86328125" customWidth="1"/>
    <col min="4" max="4" width="23" customWidth="1"/>
    <col min="5" max="5" width="10.6640625" customWidth="1"/>
    <col min="6" max="6" width="14.59765625" customWidth="1"/>
    <col min="7" max="256" width="10.6640625" customWidth="1"/>
  </cols>
  <sheetData>
    <row r="1" s="1" customFormat="1"/>
  </sheetData>
  <customSheetViews>
    <customSheetView guid="{BADF0D91-0196-11D5-91C8-00485485D900}" state="hidden" showRuler="0">
      <selection activeCell="A3" sqref="A3"/>
      <pageMargins left="0.75" right="0.75" top="1" bottom="1" header="0" footer="0"/>
      <headerFooter alignWithMargins="0"/>
    </customSheetView>
  </customSheetViews>
  <phoneticPr fontId="0"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MenuP</vt:lpstr>
      <vt:lpstr>Legal</vt:lpstr>
      <vt:lpstr>Instue</vt:lpstr>
      <vt:lpstr>Ayuda</vt:lpstr>
      <vt:lpstr>Cedulas</vt:lpstr>
      <vt:lpstr>Cap01</vt:lpstr>
      <vt:lpstr>Cap02</vt:lpstr>
      <vt:lpstr>WCap13</vt:lpstr>
      <vt:lpstr>Wanexo2</vt:lpstr>
      <vt:lpstr>WCap14</vt:lpstr>
      <vt:lpstr>Cap03</vt:lpstr>
      <vt:lpstr>OBS</vt:lpstr>
      <vt:lpstr>Valida</vt:lpstr>
      <vt:lpstr>Anexo</vt:lpstr>
      <vt:lpstr>Anexo2</vt:lpstr>
      <vt:lpstr>TabUbica</vt:lpstr>
      <vt:lpstr>TabCiiu</vt:lpstr>
      <vt:lpstr>TabOrgJ</vt:lpstr>
      <vt:lpstr>Wcap02</vt:lpstr>
      <vt:lpstr>Wcap03</vt:lpstr>
      <vt:lpstr>WCap04</vt:lpstr>
      <vt:lpstr>Wcap01</vt:lpstr>
      <vt:lpstr>coddist</vt:lpstr>
      <vt:lpstr>CODDPTO</vt:lpstr>
      <vt:lpstr>codprov</vt:lpstr>
      <vt:lpstr>TabCiiu!Criteria</vt:lpstr>
      <vt:lpstr>TabUbica!Criteria</vt:lpstr>
      <vt:lpstr>TabCiiu!Extract</vt:lpstr>
      <vt:lpstr>TabUbica!Extract</vt:lpstr>
      <vt:lpstr>nomdep</vt:lpstr>
      <vt:lpstr>nomdist</vt:lpstr>
      <vt:lpstr>nomprov</vt:lpstr>
      <vt:lpstr>Instue!OLE_LINK1</vt:lpstr>
      <vt:lpstr>Anexo!Print_Area</vt:lpstr>
      <vt:lpstr>Anexo2!Print_Area</vt:lpstr>
      <vt:lpstr>Ayuda!Print_Area</vt:lpstr>
      <vt:lpstr>Cap01!Print_Area</vt:lpstr>
      <vt:lpstr>Cap02!Print_Area</vt:lpstr>
      <vt:lpstr>Cap03!Print_Area</vt:lpstr>
      <vt:lpstr>Cedulas!Print_Area</vt:lpstr>
      <vt:lpstr>Instue!Print_Area</vt:lpstr>
      <vt:lpstr>Legal!Print_Area</vt:lpstr>
      <vt:lpstr>OBS!Print_Area</vt:lpstr>
      <vt:lpstr>Valida!Print_Area</vt:lpstr>
    </vt:vector>
  </TitlesOfParts>
  <Manager>   </Manager>
  <Company>INEI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Encuesta Económica Anual</dc:title>
  <dc:subject>Estadística de Manufactura - Formato D</dc:subject>
  <dc:creator>gcalderon</dc:creator>
  <cp:keywords>EEA</cp:keywords>
  <dc:description>Modernización de la EEA</dc:description>
  <cp:lastModifiedBy>sunny</cp:lastModifiedBy>
  <cp:lastPrinted>2007-04-17T21:10:06Z</cp:lastPrinted>
  <dcterms:created xsi:type="dcterms:W3CDTF">2000-08-14T21:37:10Z</dcterms:created>
  <dcterms:modified xsi:type="dcterms:W3CDTF">2018-07-20T11:13:41Z</dcterms:modified>
</cp:coreProperties>
</file>