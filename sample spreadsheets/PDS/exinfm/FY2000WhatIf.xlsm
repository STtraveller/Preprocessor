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dialogsheets/sheet3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showSheetTabs="0" xWindow="0" yWindow="1980" windowWidth="12000" windowHeight="6015" tabRatio="601" firstSheet="1"/>
  </bookViews>
  <sheets>
    <sheet name="Income Statements" sheetId="1" r:id="rId1"/>
    <sheet name="Charts" sheetId="2" r:id="rId2"/>
    <sheet name="Code" sheetId="3" state="veryHidden" r:id=""/>
    <sheet name="Sheet1" sheetId="7" state="hidden" r:id="rId3"/>
    <sheet name="Dialog3" sheetId="4" state="hidden" r:id="rId4"/>
    <sheet name="chart dialog box" sheetId="5" state="hidden" r:id="rId5"/>
    <sheet name="Welcome" sheetId="6" state="hidden" r:id="rId6"/>
  </sheets>
  <definedNames>
    <definedName name="avgshares">'Income Statements'!$M$25</definedName>
    <definedName name="cost96">'Income Statements'!$K$11</definedName>
    <definedName name="cost97">'Income Statements'!$M$11</definedName>
    <definedName name="ganda96">'Income Statements'!$K$15</definedName>
    <definedName name="ganda97">'Income Statements'!$M$15</definedName>
    <definedName name="incb4tx">'Income Statements'!$M$21</definedName>
    <definedName name="intinc97">'Income Statements'!$M$19</definedName>
    <definedName name="othexp97">'Income Statements'!$M$16</definedName>
    <definedName name="rand96">'Income Statements'!$K$12</definedName>
    <definedName name="rand97">'Income Statements'!$M$12</definedName>
    <definedName name="_rev96">'Income Statements'!$K$9</definedName>
    <definedName name="_rev97">'Income Statements'!$M$9</definedName>
    <definedName name="sandm96">'Income Statements'!$K$14</definedName>
    <definedName name="sandm97">'Income Statements'!$M$14</definedName>
    <definedName name="tax">'Income Statements'!$M$22</definedName>
  </definedNames>
  <calcPr calcId="145621"/>
</workbook>
</file>

<file path=xl/calcChain.xml><?xml version="1.0" encoding="utf-8"?>
<calcChain xmlns="http://schemas.openxmlformats.org/spreadsheetml/2006/main">
  <c r="C8" i="2" l="1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N9" i="1"/>
  <c r="N11" i="1"/>
  <c r="N12" i="1"/>
  <c r="N14" i="1"/>
  <c r="N15" i="1"/>
  <c r="N16" i="1"/>
  <c r="G17" i="1"/>
  <c r="G18" i="1" s="1"/>
  <c r="I17" i="1"/>
  <c r="K17" i="1"/>
  <c r="K18" i="1" s="1"/>
  <c r="M17" i="1"/>
  <c r="N17" i="1"/>
  <c r="I18" i="1"/>
  <c r="D13" i="2" s="1"/>
  <c r="M18" i="1"/>
  <c r="F13" i="2" s="1"/>
  <c r="N19" i="1"/>
  <c r="I21" i="1"/>
  <c r="M21" i="1"/>
  <c r="N22" i="1"/>
  <c r="I23" i="1"/>
  <c r="D14" i="2" s="1"/>
  <c r="M23" i="1"/>
  <c r="F14" i="2" s="1"/>
  <c r="E13" i="2" l="1"/>
  <c r="K21" i="1"/>
  <c r="K23" i="1" s="1"/>
  <c r="C13" i="2"/>
  <c r="G21" i="1"/>
  <c r="G23" i="1" s="1"/>
  <c r="M24" i="1"/>
  <c r="I24" i="1"/>
  <c r="D15" i="2" s="1"/>
  <c r="N23" i="1"/>
  <c r="N18" i="1"/>
  <c r="F15" i="2" l="1"/>
  <c r="C14" i="2"/>
  <c r="G24" i="1"/>
  <c r="C15" i="2" s="1"/>
  <c r="E14" i="2"/>
  <c r="K24" i="1"/>
  <c r="E15" i="2" s="1"/>
  <c r="N21" i="1"/>
  <c r="N24" i="1" l="1"/>
</calcChain>
</file>

<file path=xl/sharedStrings.xml><?xml version="1.0" encoding="utf-8"?>
<sst xmlns="http://schemas.openxmlformats.org/spreadsheetml/2006/main" count="38" uniqueCount="32">
  <si>
    <t>(In millions, except earnings per share)</t>
  </si>
  <si>
    <t>Year Ended</t>
  </si>
  <si>
    <t>Projected</t>
  </si>
  <si>
    <t>Growth</t>
  </si>
  <si>
    <t>June 30</t>
  </si>
  <si>
    <t>Change</t>
  </si>
  <si>
    <t>Revenue</t>
  </si>
  <si>
    <t>Operating expenses:</t>
  </si>
  <si>
    <t>Cost of revenue</t>
  </si>
  <si>
    <t>Operating income</t>
  </si>
  <si>
    <t>Income before income taxes</t>
  </si>
  <si>
    <t>Provision for income taxes</t>
  </si>
  <si>
    <t>Net income</t>
  </si>
  <si>
    <t>Weighted average shares outstanding *</t>
  </si>
  <si>
    <t>Research &amp; development</t>
  </si>
  <si>
    <t>Sales &amp; marketing</t>
  </si>
  <si>
    <t>General &amp; administrative</t>
  </si>
  <si>
    <t>Earnings per share*</t>
  </si>
  <si>
    <t>Diluted earnings per share *</t>
  </si>
  <si>
    <t xml:space="preserve"> Cost of revenue</t>
  </si>
  <si>
    <t xml:space="preserve"> Research and development</t>
  </si>
  <si>
    <t xml:space="preserve"> Acquired in-process technology</t>
  </si>
  <si>
    <t xml:space="preserve"> Sales and marketing</t>
  </si>
  <si>
    <t xml:space="preserve"> General and administrative</t>
  </si>
  <si>
    <t xml:space="preserve"> Other expenses</t>
  </si>
  <si>
    <t xml:space="preserve"> Total operating expenses</t>
  </si>
  <si>
    <t>* Restated to reflect a two-for-one stock split in March 1999</t>
  </si>
  <si>
    <t>Investment income</t>
  </si>
  <si>
    <t>Microsoft FY 2000 "What-if?"</t>
  </si>
  <si>
    <t>(FY 2000 data is projected based on user inputs)</t>
  </si>
  <si>
    <t>Microsoft FY 2000 "What-if?" Chart</t>
  </si>
  <si>
    <t>Gains on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</si>
</sst>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#,##0.0_);\(#,##0.0\)"/>
    <numFmt numFmtId="165" formatCode="#,##0.0\ ;\(#,##0.0\)"/>
    <numFmt numFmtId="166" formatCode="&quot;$&quot;\ \ #,##0.00\ ;\(&quot;$&quot;\ #,##0.00\)"/>
    <numFmt numFmtId="167" formatCode="#,##0_);\(#,##0\);\-\-_)"/>
    <numFmt numFmtId="168" formatCode="#,##0\ ;\(#,##0\)"/>
    <numFmt numFmtId="169" formatCode="&quot;$&quot;#,##0.0\ ;\(&quot;$&quot;#,##0.0\)"/>
    <numFmt numFmtId="170" formatCode="&quot;$&quot;#,##0\ ;\(&quot;$&quot;#,##0.0\)"/>
    <numFmt numFmtId="171" formatCode="#,##0\ ;\(#,##0.0\)"/>
    <numFmt numFmtId="172" formatCode="&quot;$&quot;\ #,##0\ ;\(&quot;$&quot;#,##0.0\)"/>
    <numFmt numFmtId="173" formatCode="&quot;$&quot;0.00_)"/>
    <numFmt numFmtId="174" formatCode="0%;\(0\)%"/>
    <numFmt numFmtId="175" formatCode="#,##0&quot;%&quot;"/>
    <numFmt numFmtId="176" formatCode="#,##0___);\(#,##0.00\)"/>
    <numFmt numFmtId="177" formatCode="&quot;$&quot;\ \ \ #,##0.00\ ;\(&quot;$&quot;\ #,##0.00\)"/>
    <numFmt numFmtId="178" formatCode="#,##0._);\(#,##0.\);\-\-_)"/>
    <numFmt numFmtId="179" formatCode="&quot;$&quot;\ \ \ #,##0.00\ ;\(&quot;$&quot;\ \ #,##0.00\)"/>
    <numFmt numFmtId="180" formatCode="&quot;$&quot;#,##0_);\(&quot;$&quot;#,##0\);\-\-_)"/>
    <numFmt numFmtId="181" formatCode="&quot;$&quot;\ #,##0_);\(#,##0\);\-\-_)"/>
  </numFmts>
  <fonts count="31" x14ac:knownFonts="1">
    <font>
      <sz val="10"/>
      <name val="Tms Rmn"/>
    </font>
    <font>
      <b/>
      <sz val="12"/>
      <name val="Tms Rmn"/>
    </font>
    <font>
      <b/>
      <i/>
      <sz val="12"/>
      <name val="Tms Rmn"/>
    </font>
    <font>
      <sz val="10"/>
      <name val="Helv"/>
    </font>
    <font>
      <sz val="10"/>
      <name val="MS Sans Serif"/>
    </font>
    <font>
      <sz val="10"/>
      <color indexed="12"/>
      <name val="Helv"/>
    </font>
    <font>
      <sz val="8"/>
      <name val="Helv"/>
    </font>
    <font>
      <sz val="10"/>
      <name val="Tms Rmn"/>
    </font>
    <font>
      <b/>
      <sz val="10"/>
      <color indexed="10"/>
      <name val="helv"/>
    </font>
    <font>
      <sz val="10"/>
      <color indexed="21"/>
      <name val="Tms Rmn"/>
    </font>
    <font>
      <sz val="10"/>
      <color indexed="9"/>
      <name val="Tms Rmn"/>
    </font>
    <font>
      <sz val="10"/>
      <color indexed="10"/>
      <name val="helv"/>
    </font>
    <font>
      <b/>
      <sz val="11"/>
      <color indexed="10"/>
      <name val="Tms Rmn"/>
    </font>
    <font>
      <sz val="8"/>
      <name val="Tahoma"/>
      <family val="2"/>
    </font>
    <font>
      <sz val="10"/>
      <name val="Arial"/>
      <family val="2"/>
    </font>
    <font>
      <b/>
      <sz val="10"/>
      <color indexed="56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56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14"/>
      <color indexed="10"/>
      <name val="Arial"/>
      <family val="2"/>
    </font>
    <font>
      <sz val="10"/>
      <color indexed="43"/>
      <name val="Arial"/>
      <family val="2"/>
    </font>
    <font>
      <b/>
      <sz val="14"/>
      <color indexed="43"/>
      <name val="Arial"/>
      <family val="2"/>
    </font>
    <font>
      <b/>
      <sz val="12"/>
      <color indexed="43"/>
      <name val="Arial"/>
      <family val="2"/>
    </font>
    <font>
      <b/>
      <sz val="12"/>
      <color indexed="10"/>
      <name val="Arial"/>
      <family val="2"/>
    </font>
    <font>
      <b/>
      <sz val="11"/>
      <color indexed="10"/>
      <name val="Arial"/>
      <family val="2"/>
    </font>
    <font>
      <sz val="9"/>
      <name val="Arial"/>
      <family val="2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6">
    <xf numFmtId="37" fontId="0" fillId="0" borderId="0"/>
    <xf numFmtId="37" fontId="1" fillId="0" borderId="0"/>
    <xf numFmtId="37" fontId="2" fillId="0" borderId="0"/>
    <xf numFmtId="0" fontId="3" fillId="0" borderId="0"/>
    <xf numFmtId="171" fontId="3" fillId="0" borderId="1"/>
    <xf numFmtId="173" fontId="5" fillId="0" borderId="2">
      <protection hidden="1"/>
    </xf>
    <xf numFmtId="173" fontId="5" fillId="0" borderId="2">
      <protection hidden="1"/>
    </xf>
    <xf numFmtId="164" fontId="6" fillId="0" borderId="1"/>
    <xf numFmtId="165" fontId="3" fillId="0" borderId="0"/>
    <xf numFmtId="0" fontId="3" fillId="0" borderId="0"/>
    <xf numFmtId="176" fontId="4" fillId="0" borderId="0"/>
    <xf numFmtId="175" fontId="5" fillId="0" borderId="0">
      <protection hidden="1"/>
    </xf>
    <xf numFmtId="164" fontId="6" fillId="0" borderId="0"/>
    <xf numFmtId="37" fontId="7" fillId="0" borderId="3"/>
    <xf numFmtId="37" fontId="7" fillId="0" borderId="1"/>
    <xf numFmtId="37" fontId="7" fillId="0" borderId="4"/>
  </cellStyleXfs>
  <cellXfs count="98">
    <xf numFmtId="37" fontId="0" fillId="0" borderId="0" xfId="0"/>
    <xf numFmtId="0" fontId="3" fillId="0" borderId="0" xfId="9"/>
    <xf numFmtId="0" fontId="8" fillId="2" borderId="5" xfId="9" applyNumberFormat="1" applyFont="1" applyFill="1" applyBorder="1" applyAlignment="1">
      <alignment horizontal="center"/>
    </xf>
    <xf numFmtId="37" fontId="10" fillId="0" borderId="0" xfId="0" applyFont="1"/>
    <xf numFmtId="170" fontId="11" fillId="2" borderId="0" xfId="9" applyNumberFormat="1" applyFont="1" applyFill="1" applyProtection="1"/>
    <xf numFmtId="168" fontId="11" fillId="2" borderId="0" xfId="8" applyNumberFormat="1" applyFont="1" applyFill="1"/>
    <xf numFmtId="177" fontId="11" fillId="2" borderId="2" xfId="9" applyNumberFormat="1" applyFont="1" applyFill="1" applyBorder="1" applyAlignment="1" applyProtection="1"/>
    <xf numFmtId="172" fontId="11" fillId="2" borderId="0" xfId="9" applyNumberFormat="1" applyFont="1" applyFill="1" applyBorder="1" applyAlignment="1" applyProtection="1"/>
    <xf numFmtId="0" fontId="14" fillId="0" borderId="0" xfId="9" applyFont="1"/>
    <xf numFmtId="0" fontId="14" fillId="0" borderId="0" xfId="9" applyNumberFormat="1" applyFont="1"/>
    <xf numFmtId="0" fontId="14" fillId="0" borderId="0" xfId="9" applyNumberFormat="1" applyFont="1" applyAlignment="1">
      <alignment horizontal="center"/>
    </xf>
    <xf numFmtId="165" fontId="14" fillId="0" borderId="0" xfId="9" applyNumberFormat="1" applyFont="1" applyAlignment="1">
      <alignment horizontal="center"/>
    </xf>
    <xf numFmtId="16" fontId="15" fillId="3" borderId="0" xfId="9" applyNumberFormat="1" applyFont="1" applyFill="1" applyBorder="1" applyAlignment="1">
      <alignment horizontal="centerContinuous"/>
    </xf>
    <xf numFmtId="0" fontId="15" fillId="3" borderId="0" xfId="9" applyNumberFormat="1" applyFont="1" applyFill="1" applyAlignment="1">
      <alignment horizontal="centerContinuous"/>
    </xf>
    <xf numFmtId="165" fontId="15" fillId="3" borderId="0" xfId="9" applyNumberFormat="1" applyFont="1" applyFill="1" applyAlignment="1">
      <alignment horizontal="centerContinuous"/>
    </xf>
    <xf numFmtId="0" fontId="16" fillId="0" borderId="0" xfId="9" applyNumberFormat="1" applyFont="1" applyAlignment="1">
      <alignment horizontal="center"/>
    </xf>
    <xf numFmtId="0" fontId="17" fillId="2" borderId="0" xfId="9" applyNumberFormat="1" applyFont="1" applyFill="1" applyAlignment="1">
      <alignment horizontal="center"/>
    </xf>
    <xf numFmtId="16" fontId="15" fillId="3" borderId="1" xfId="9" applyNumberFormat="1" applyFont="1" applyFill="1" applyBorder="1" applyAlignment="1">
      <alignment horizontal="centerContinuous"/>
    </xf>
    <xf numFmtId="0" fontId="15" fillId="3" borderId="1" xfId="9" applyNumberFormat="1" applyFont="1" applyFill="1" applyBorder="1" applyAlignment="1">
      <alignment horizontal="centerContinuous"/>
    </xf>
    <xf numFmtId="165" fontId="15" fillId="3" borderId="1" xfId="9" applyNumberFormat="1" applyFont="1" applyFill="1" applyBorder="1" applyAlignment="1">
      <alignment horizontal="centerContinuous"/>
    </xf>
    <xf numFmtId="16" fontId="17" fillId="2" borderId="1" xfId="9" applyNumberFormat="1" applyFont="1" applyFill="1" applyBorder="1" applyAlignment="1">
      <alignment horizontal="centerContinuous"/>
    </xf>
    <xf numFmtId="0" fontId="14" fillId="0" borderId="5" xfId="9" applyNumberFormat="1" applyFont="1" applyBorder="1" applyAlignment="1">
      <alignment horizontal="center"/>
    </xf>
    <xf numFmtId="0" fontId="15" fillId="3" borderId="5" xfId="9" applyNumberFormat="1" applyFont="1" applyFill="1" applyBorder="1" applyAlignment="1">
      <alignment horizontal="center"/>
    </xf>
    <xf numFmtId="0" fontId="15" fillId="3" borderId="1" xfId="9" applyNumberFormat="1" applyFont="1" applyFill="1" applyBorder="1" applyAlignment="1">
      <alignment horizontal="center"/>
    </xf>
    <xf numFmtId="0" fontId="16" fillId="0" borderId="5" xfId="9" applyNumberFormat="1" applyFont="1" applyBorder="1" applyAlignment="1">
      <alignment horizontal="center"/>
    </xf>
    <xf numFmtId="0" fontId="17" fillId="2" borderId="5" xfId="9" applyNumberFormat="1" applyFont="1" applyFill="1" applyBorder="1" applyAlignment="1">
      <alignment horizontal="center"/>
    </xf>
    <xf numFmtId="169" fontId="14" fillId="0" borderId="0" xfId="9" applyNumberFormat="1" applyFont="1"/>
    <xf numFmtId="170" fontId="18" fillId="3" borderId="0" xfId="9" applyNumberFormat="1" applyFont="1" applyFill="1" applyProtection="1"/>
    <xf numFmtId="170" fontId="14" fillId="0" borderId="0" xfId="9" applyNumberFormat="1" applyFont="1" applyProtection="1"/>
    <xf numFmtId="180" fontId="18" fillId="2" borderId="0" xfId="8" applyNumberFormat="1" applyFont="1" applyFill="1" applyBorder="1"/>
    <xf numFmtId="174" fontId="19" fillId="2" borderId="0" xfId="9" applyNumberFormat="1" applyFont="1" applyFill="1" applyAlignment="1" applyProtection="1">
      <alignment horizontal="right"/>
    </xf>
    <xf numFmtId="165" fontId="14" fillId="0" borderId="0" xfId="9" applyNumberFormat="1" applyFont="1"/>
    <xf numFmtId="37" fontId="18" fillId="3" borderId="0" xfId="0" applyFont="1" applyFill="1"/>
    <xf numFmtId="37" fontId="14" fillId="0" borderId="0" xfId="0" applyFont="1"/>
    <xf numFmtId="37" fontId="18" fillId="2" borderId="0" xfId="0" applyFont="1" applyFill="1"/>
    <xf numFmtId="174" fontId="19" fillId="2" borderId="0" xfId="0" applyNumberFormat="1" applyFont="1" applyFill="1"/>
    <xf numFmtId="168" fontId="18" fillId="3" borderId="0" xfId="8" applyNumberFormat="1" applyFont="1" applyFill="1" applyBorder="1"/>
    <xf numFmtId="168" fontId="14" fillId="0" borderId="0" xfId="8" applyNumberFormat="1" applyFont="1" applyBorder="1"/>
    <xf numFmtId="167" fontId="18" fillId="2" borderId="0" xfId="8" applyNumberFormat="1" applyFont="1" applyFill="1" applyBorder="1"/>
    <xf numFmtId="168" fontId="18" fillId="3" borderId="0" xfId="9" applyNumberFormat="1" applyFont="1" applyFill="1"/>
    <xf numFmtId="168" fontId="18" fillId="3" borderId="0" xfId="8" applyNumberFormat="1" applyFont="1" applyFill="1"/>
    <xf numFmtId="168" fontId="14" fillId="0" borderId="0" xfId="9" applyNumberFormat="1" applyFont="1"/>
    <xf numFmtId="178" fontId="18" fillId="3" borderId="0" xfId="8" applyNumberFormat="1" applyFont="1" applyFill="1" applyBorder="1"/>
    <xf numFmtId="0" fontId="14" fillId="0" borderId="0" xfId="9" applyFont="1" applyBorder="1"/>
    <xf numFmtId="0" fontId="14" fillId="0" borderId="0" xfId="9" applyNumberFormat="1" applyFont="1" applyBorder="1"/>
    <xf numFmtId="165" fontId="14" fillId="0" borderId="0" xfId="9" applyNumberFormat="1" applyFont="1" applyBorder="1"/>
    <xf numFmtId="168" fontId="18" fillId="3" borderId="0" xfId="9" applyNumberFormat="1" applyFont="1" applyFill="1" applyBorder="1"/>
    <xf numFmtId="168" fontId="14" fillId="0" borderId="0" xfId="9" applyNumberFormat="1" applyFont="1" applyBorder="1"/>
    <xf numFmtId="174" fontId="19" fillId="2" borderId="0" xfId="9" applyNumberFormat="1" applyFont="1" applyFill="1" applyBorder="1" applyAlignment="1" applyProtection="1">
      <alignment horizontal="right"/>
    </xf>
    <xf numFmtId="0" fontId="14" fillId="0" borderId="1" xfId="9" applyNumberFormat="1" applyFont="1" applyBorder="1"/>
    <xf numFmtId="165" fontId="14" fillId="0" borderId="1" xfId="9" applyNumberFormat="1" applyFont="1" applyBorder="1"/>
    <xf numFmtId="168" fontId="18" fillId="3" borderId="1" xfId="8" applyNumberFormat="1" applyFont="1" applyFill="1" applyBorder="1"/>
    <xf numFmtId="168" fontId="20" fillId="0" borderId="1" xfId="8" applyNumberFormat="1" applyFont="1" applyBorder="1"/>
    <xf numFmtId="0" fontId="14" fillId="0" borderId="5" xfId="9" applyNumberFormat="1" applyFont="1" applyBorder="1"/>
    <xf numFmtId="165" fontId="14" fillId="0" borderId="5" xfId="9" applyNumberFormat="1" applyFont="1" applyBorder="1"/>
    <xf numFmtId="168" fontId="18" fillId="3" borderId="5" xfId="9" applyNumberFormat="1" applyFont="1" applyFill="1" applyBorder="1"/>
    <xf numFmtId="0" fontId="18" fillId="3" borderId="1" xfId="9" applyFont="1" applyFill="1" applyBorder="1"/>
    <xf numFmtId="168" fontId="14" fillId="0" borderId="5" xfId="9" applyNumberFormat="1" applyFont="1" applyBorder="1"/>
    <xf numFmtId="167" fontId="18" fillId="2" borderId="5" xfId="8" applyNumberFormat="1" applyFont="1" applyFill="1" applyBorder="1"/>
    <xf numFmtId="174" fontId="19" fillId="2" borderId="5" xfId="9" applyNumberFormat="1" applyFont="1" applyFill="1" applyBorder="1" applyAlignment="1" applyProtection="1">
      <alignment horizontal="right"/>
    </xf>
    <xf numFmtId="0" fontId="18" fillId="3" borderId="0" xfId="9" applyFont="1" applyFill="1"/>
    <xf numFmtId="0" fontId="14" fillId="0" borderId="6" xfId="9" applyNumberFormat="1" applyFont="1" applyBorder="1"/>
    <xf numFmtId="165" fontId="14" fillId="0" borderId="6" xfId="9" applyNumberFormat="1" applyFont="1" applyBorder="1"/>
    <xf numFmtId="168" fontId="18" fillId="3" borderId="6" xfId="9" applyNumberFormat="1" applyFont="1" applyFill="1" applyBorder="1"/>
    <xf numFmtId="168" fontId="20" fillId="0" borderId="6" xfId="9" applyNumberFormat="1" applyFont="1" applyBorder="1"/>
    <xf numFmtId="167" fontId="18" fillId="2" borderId="6" xfId="8" applyNumberFormat="1" applyFont="1" applyFill="1" applyBorder="1"/>
    <xf numFmtId="174" fontId="19" fillId="2" borderId="6" xfId="9" applyNumberFormat="1" applyFont="1" applyFill="1" applyBorder="1" applyAlignment="1" applyProtection="1">
      <alignment horizontal="right"/>
    </xf>
    <xf numFmtId="168" fontId="14" fillId="0" borderId="0" xfId="8" applyNumberFormat="1" applyFont="1" applyFill="1" applyBorder="1" applyAlignment="1"/>
    <xf numFmtId="174" fontId="19" fillId="2" borderId="1" xfId="9" applyNumberFormat="1" applyFont="1" applyFill="1" applyBorder="1" applyAlignment="1" applyProtection="1">
      <alignment horizontal="right"/>
    </xf>
    <xf numFmtId="0" fontId="14" fillId="0" borderId="7" xfId="9" applyNumberFormat="1" applyFont="1" applyBorder="1"/>
    <xf numFmtId="169" fontId="14" fillId="0" borderId="7" xfId="9" applyNumberFormat="1" applyFont="1" applyBorder="1"/>
    <xf numFmtId="168" fontId="18" fillId="3" borderId="7" xfId="9" applyNumberFormat="1" applyFont="1" applyFill="1" applyBorder="1"/>
    <xf numFmtId="170" fontId="20" fillId="0" borderId="2" xfId="9" applyNumberFormat="1" applyFont="1" applyBorder="1" applyProtection="1"/>
    <xf numFmtId="181" fontId="18" fillId="2" borderId="7" xfId="8" applyNumberFormat="1" applyFont="1" applyFill="1" applyBorder="1"/>
    <xf numFmtId="174" fontId="19" fillId="2" borderId="2" xfId="9" applyNumberFormat="1" applyFont="1" applyFill="1" applyBorder="1" applyAlignment="1" applyProtection="1">
      <alignment horizontal="right"/>
    </xf>
    <xf numFmtId="0" fontId="14" fillId="0" borderId="2" xfId="9" applyNumberFormat="1" applyFont="1" applyBorder="1"/>
    <xf numFmtId="166" fontId="14" fillId="0" borderId="2" xfId="9" applyNumberFormat="1" applyFont="1" applyBorder="1"/>
    <xf numFmtId="166" fontId="18" fillId="3" borderId="2" xfId="9" applyNumberFormat="1" applyFont="1" applyFill="1" applyBorder="1" applyProtection="1"/>
    <xf numFmtId="166" fontId="20" fillId="0" borderId="2" xfId="9" applyNumberFormat="1" applyFont="1" applyBorder="1" applyProtection="1"/>
    <xf numFmtId="179" fontId="18" fillId="2" borderId="2" xfId="9" applyNumberFormat="1" applyFont="1" applyFill="1" applyBorder="1" applyProtection="1"/>
    <xf numFmtId="165" fontId="14" fillId="0" borderId="2" xfId="9" applyNumberFormat="1" applyFont="1" applyBorder="1"/>
    <xf numFmtId="171" fontId="18" fillId="3" borderId="2" xfId="8" applyNumberFormat="1" applyFont="1" applyFill="1" applyBorder="1"/>
    <xf numFmtId="171" fontId="20" fillId="0" borderId="2" xfId="8" applyNumberFormat="1" applyFont="1" applyBorder="1"/>
    <xf numFmtId="167" fontId="18" fillId="2" borderId="2" xfId="8" applyNumberFormat="1" applyFont="1" applyFill="1" applyBorder="1"/>
    <xf numFmtId="9" fontId="19" fillId="2" borderId="2" xfId="8" applyNumberFormat="1" applyFont="1" applyFill="1" applyBorder="1"/>
    <xf numFmtId="0" fontId="21" fillId="0" borderId="0" xfId="9" applyNumberFormat="1" applyFont="1" applyBorder="1"/>
    <xf numFmtId="166" fontId="21" fillId="0" borderId="0" xfId="9" applyNumberFormat="1" applyFont="1" applyBorder="1"/>
    <xf numFmtId="166" fontId="22" fillId="0" borderId="0" xfId="9" applyNumberFormat="1" applyFont="1" applyBorder="1" applyProtection="1"/>
    <xf numFmtId="0" fontId="21" fillId="0" borderId="0" xfId="9" applyFont="1"/>
    <xf numFmtId="0" fontId="21" fillId="0" borderId="0" xfId="9" applyNumberFormat="1" applyFont="1"/>
    <xf numFmtId="0" fontId="24" fillId="0" borderId="0" xfId="9" applyFont="1"/>
    <xf numFmtId="0" fontId="25" fillId="0" borderId="0" xfId="9" applyNumberFormat="1" applyFont="1"/>
    <xf numFmtId="0" fontId="26" fillId="0" borderId="0" xfId="9" applyNumberFormat="1" applyFont="1"/>
    <xf numFmtId="0" fontId="15" fillId="0" borderId="5" xfId="9" applyNumberFormat="1" applyFont="1" applyFill="1" applyBorder="1" applyAlignment="1">
      <alignment horizontal="center"/>
    </xf>
    <xf numFmtId="37" fontId="21" fillId="0" borderId="0" xfId="0" applyFont="1"/>
    <xf numFmtId="0" fontId="29" fillId="0" borderId="0" xfId="9" applyNumberFormat="1" applyFont="1"/>
    <xf numFmtId="0" fontId="29" fillId="0" borderId="0" xfId="9" applyFont="1"/>
    <xf numFmtId="37" fontId="29" fillId="0" borderId="0" xfId="0" applyFont="1"/>
  </cellXfs>
  <cellStyles count="16">
    <cellStyle name="Bold12" xfId="1"/>
    <cellStyle name="BoldItal12" xfId="2"/>
    <cellStyle name="columns" xfId="3"/>
    <cellStyle name="comma (0)" xfId="4"/>
    <cellStyle name="curr" xfId="5"/>
    <cellStyle name="eps" xfId="6"/>
    <cellStyle name="negativ" xfId="7"/>
    <cellStyle name="nodollars" xfId="8"/>
    <cellStyle name="Normal" xfId="0" builtinId="0"/>
    <cellStyle name="Normal_Income Statements" xfId="9"/>
    <cellStyle name="over" xfId="10"/>
    <cellStyle name="percent (0)" xfId="11"/>
    <cellStyle name="posit" xfId="12"/>
    <cellStyle name="SingleTopDoubleBott" xfId="13"/>
    <cellStyle name="Underline" xfId="14"/>
    <cellStyle name="UnderlineDouble" xfId="1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CC00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3.xml"/><Relationship Id="rId11" Type="http://schemas.microsoft.com/office/2006/relationships/vbaProject" Target="vbaProject.bin"/><Relationship Id="rId5" Type="http://schemas.openxmlformats.org/officeDocument/2006/relationships/dialogsheet" Target="dialogsheets/sheet2.xml"/><Relationship Id="rId10" Type="http://schemas.openxmlformats.org/officeDocument/2006/relationships/calcChain" Target="calcChain.xml"/><Relationship Id="rId4" Type="http://schemas.openxmlformats.org/officeDocument/2006/relationships/dialogsheet" Target="dialogsheets/sheet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Revenue</a:t>
            </a:r>
          </a:p>
        </c:rich>
      </c:tx>
      <c:layout>
        <c:manualLayout>
          <c:xMode val="edge"/>
          <c:yMode val="edge"/>
          <c:x val="0.40514469453376206"/>
          <c:y val="3.333343197630201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89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1864951768488747"/>
          <c:y val="0.10606091992459732"/>
          <c:w val="0.76848874598070738"/>
          <c:h val="0.7151536314915705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Charts!$B$8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Charts!$C$7:$F$7</c:f>
              <c:numCache>
                <c:formatCode>General</c:formatCode>
                <c:ptCount val="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</c:numCache>
            </c:numRef>
          </c:cat>
          <c:val>
            <c:numRef>
              <c:f>Charts!$C$8:$F$8</c:f>
              <c:numCache>
                <c:formatCode>"$"#,##0\ ;\("$"#,##0.0\)</c:formatCode>
                <c:ptCount val="4"/>
                <c:pt idx="0">
                  <c:v>11936</c:v>
                </c:pt>
                <c:pt idx="1">
                  <c:v>15262</c:v>
                </c:pt>
                <c:pt idx="2">
                  <c:v>19747</c:v>
                </c:pt>
                <c:pt idx="3">
                  <c:v>19747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58544896"/>
        <c:axId val="58546432"/>
        <c:axId val="0"/>
      </c:bar3DChart>
      <c:catAx>
        <c:axId val="585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546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546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\ ;\(&quot;$&quot;#,##0.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5448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07717041800643E-2"/>
          <c:y val="0.89697235136230868"/>
          <c:w val="0.977491961414791"/>
          <c:h val="9.090935993536912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.1640625" defaultRowHeight="5.25" customHeight="1" x14ac:dyDescent="0.2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.1640625" defaultRowHeight="5.25" customHeight="1" x14ac:dyDescent="0.2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.1640625" defaultRowHeight="5.25" customHeight="1" x14ac:dyDescent="0.2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26</xdr:row>
          <xdr:rowOff>123825</xdr:rowOff>
        </xdr:from>
        <xdr:to>
          <xdr:col>10</xdr:col>
          <xdr:colOff>152400</xdr:colOff>
          <xdr:row>28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3300"/>
                  </a:solidFill>
                  <a:latin typeface="Arial"/>
                  <a:cs typeface="Arial"/>
                </a:rPr>
                <a:t>View Chart </a:t>
              </a:r>
              <a:endParaRPr lang="en-US" sz="1000" b="0" i="0" u="none" strike="noStrike" baseline="0">
                <a:solidFill>
                  <a:srgbClr val="008080"/>
                </a:solidFill>
                <a:latin typeface="Tms Rmn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8080"/>
                </a:solidFill>
                <a:latin typeface="Tms Rm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152400</xdr:rowOff>
        </xdr:from>
        <xdr:to>
          <xdr:col>10</xdr:col>
          <xdr:colOff>504825</xdr:colOff>
          <xdr:row>3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3300"/>
                  </a:solidFill>
                  <a:latin typeface="Arial"/>
                  <a:cs typeface="Arial"/>
                </a:rPr>
                <a:t>Project FY 2000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33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33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20</xdr:row>
          <xdr:rowOff>142875</xdr:rowOff>
        </xdr:from>
        <xdr:to>
          <xdr:col>11</xdr:col>
          <xdr:colOff>523875</xdr:colOff>
          <xdr:row>22</xdr:row>
          <xdr:rowOff>57150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3300"/>
                  </a:solidFill>
                  <a:latin typeface="Arial"/>
                  <a:cs typeface="Arial"/>
                </a:rPr>
                <a:t>Customize chart</a:t>
              </a:r>
              <a:endParaRPr lang="en-US" sz="1100" b="1" i="0" u="none" strike="noStrike" baseline="0">
                <a:solidFill>
                  <a:srgbClr val="FF3300"/>
                </a:solidFill>
                <a:latin typeface="Tms Rmn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FF3300"/>
                </a:solidFill>
                <a:latin typeface="Tms Rm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18</xdr:row>
          <xdr:rowOff>0</xdr:rowOff>
        </xdr:from>
        <xdr:to>
          <xdr:col>2</xdr:col>
          <xdr:colOff>200025</xdr:colOff>
          <xdr:row>19</xdr:row>
          <xdr:rowOff>76200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3300"/>
                  </a:solidFill>
                  <a:latin typeface="Arial"/>
                  <a:cs typeface="Arial"/>
                </a:rPr>
                <a:t>Back to Project FY 2000</a:t>
              </a:r>
              <a:endParaRPr lang="en-US" sz="1100" b="1" i="0" u="none" strike="noStrike" baseline="0">
                <a:solidFill>
                  <a:srgbClr val="FF3300"/>
                </a:solidFill>
                <a:latin typeface="Tms Rmn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FF3300"/>
                </a:solidFill>
                <a:latin typeface="Tms Rm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104775</xdr:colOff>
      <xdr:row>0</xdr:row>
      <xdr:rowOff>76200</xdr:rowOff>
    </xdr:from>
    <xdr:to>
      <xdr:col>11</xdr:col>
      <xdr:colOff>428625</xdr:colOff>
      <xdr:row>19</xdr:row>
      <xdr:rowOff>66675</xdr:rowOff>
    </xdr:to>
    <xdr:graphicFrame macro="">
      <xdr:nvGraphicFramePr>
        <xdr:cNvPr id="2288" name="Chart 2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A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P26"/>
  <sheetViews>
    <sheetView showGridLines="0" showRowColHeaders="0" showZeros="0" tabSelected="1" defaultGridColor="0" colorId="8" zoomScale="85" workbookViewId="0">
      <selection activeCell="S8" sqref="S8"/>
    </sheetView>
  </sheetViews>
  <sheetFormatPr defaultRowHeight="12.75" x14ac:dyDescent="0.2"/>
  <cols>
    <col min="1" max="1" width="3.83203125" style="8" customWidth="1"/>
    <col min="2" max="3" width="1.6640625" style="8" customWidth="1"/>
    <col min="4" max="4" width="34.1640625" style="8" customWidth="1"/>
    <col min="5" max="5" width="4.1640625" style="8" customWidth="1"/>
    <col min="6" max="6" width="4.6640625" style="8" customWidth="1"/>
    <col min="7" max="7" width="9.6640625" style="8" customWidth="1"/>
    <col min="8" max="8" width="3.33203125" style="8" customWidth="1"/>
    <col min="9" max="9" width="9.6640625" style="8" customWidth="1"/>
    <col min="10" max="10" width="3.33203125" style="8" customWidth="1"/>
    <col min="11" max="11" width="9.5" style="8" bestFit="1" customWidth="1"/>
    <col min="12" max="12" width="1.5" style="8" hidden="1" customWidth="1"/>
    <col min="13" max="13" width="11.6640625" style="8" hidden="1" customWidth="1"/>
    <col min="14" max="14" width="9.5" style="8" hidden="1" customWidth="1"/>
    <col min="15" max="16384" width="9.33203125" style="8"/>
  </cols>
  <sheetData>
    <row r="2" spans="1:14" ht="18" x14ac:dyDescent="0.25">
      <c r="A2" s="90"/>
      <c r="B2" s="91" t="s">
        <v>28</v>
      </c>
      <c r="C2" s="91"/>
      <c r="D2" s="92"/>
      <c r="E2" s="90"/>
      <c r="F2" s="90"/>
    </row>
    <row r="3" spans="1:14" x14ac:dyDescent="0.2">
      <c r="B3" s="89" t="s">
        <v>0</v>
      </c>
      <c r="C3" s="88"/>
      <c r="D3" s="88"/>
    </row>
    <row r="4" spans="1:14" x14ac:dyDescent="0.2">
      <c r="B4" s="9"/>
    </row>
    <row r="5" spans="1:14" x14ac:dyDescent="0.2">
      <c r="B5" s="9"/>
    </row>
    <row r="6" spans="1:14" s="10" customFormat="1" ht="15" customHeight="1" x14ac:dyDescent="0.2">
      <c r="E6" s="11"/>
      <c r="F6" s="11"/>
      <c r="G6" s="12" t="s">
        <v>1</v>
      </c>
      <c r="H6" s="13"/>
      <c r="I6" s="14"/>
      <c r="J6" s="14"/>
      <c r="K6" s="13"/>
      <c r="L6" s="15"/>
      <c r="M6" s="16" t="s">
        <v>2</v>
      </c>
      <c r="N6" s="16" t="s">
        <v>3</v>
      </c>
    </row>
    <row r="7" spans="1:14" s="10" customFormat="1" ht="15" customHeight="1" x14ac:dyDescent="0.2">
      <c r="E7" s="8"/>
      <c r="F7" s="8"/>
      <c r="G7" s="17" t="s">
        <v>4</v>
      </c>
      <c r="H7" s="18"/>
      <c r="I7" s="19"/>
      <c r="J7" s="19"/>
      <c r="K7" s="18"/>
      <c r="L7" s="15"/>
      <c r="M7" s="20" t="s">
        <v>4</v>
      </c>
      <c r="N7" s="20"/>
    </row>
    <row r="8" spans="1:14" s="10" customFormat="1" ht="15" customHeight="1" x14ac:dyDescent="0.2">
      <c r="B8" s="21"/>
      <c r="C8" s="21"/>
      <c r="D8" s="21"/>
      <c r="E8" s="21"/>
      <c r="F8" s="21"/>
      <c r="G8" s="22">
        <v>1997</v>
      </c>
      <c r="H8" s="23"/>
      <c r="I8" s="22">
        <v>1998</v>
      </c>
      <c r="J8" s="22"/>
      <c r="K8" s="22">
        <v>1999</v>
      </c>
      <c r="L8" s="24"/>
      <c r="M8" s="25">
        <v>2000</v>
      </c>
      <c r="N8" s="25" t="s">
        <v>5</v>
      </c>
    </row>
    <row r="9" spans="1:14" ht="15" customHeight="1" x14ac:dyDescent="0.2">
      <c r="B9" s="9" t="s">
        <v>6</v>
      </c>
      <c r="E9" s="26"/>
      <c r="F9" s="26"/>
      <c r="G9" s="27">
        <v>11936</v>
      </c>
      <c r="H9" s="27"/>
      <c r="I9" s="27">
        <v>15262</v>
      </c>
      <c r="J9" s="27"/>
      <c r="K9" s="27">
        <v>19747</v>
      </c>
      <c r="L9" s="28"/>
      <c r="M9" s="29">
        <v>19747</v>
      </c>
      <c r="N9" s="30">
        <f>IF(ISERROR((M9-K9)/K9), " -- ", IF(ABS((M9-K9)/K9)&gt;9, " -- ", (M9-K9)/K9))</f>
        <v>0</v>
      </c>
    </row>
    <row r="10" spans="1:14" ht="15" customHeight="1" x14ac:dyDescent="0.2">
      <c r="B10" s="9" t="s">
        <v>7</v>
      </c>
      <c r="E10" s="31"/>
      <c r="F10" s="31"/>
      <c r="G10" s="32"/>
      <c r="H10" s="32"/>
      <c r="I10" s="32"/>
      <c r="J10" s="32"/>
      <c r="K10" s="32"/>
      <c r="L10" s="33"/>
      <c r="M10" s="34"/>
      <c r="N10" s="35"/>
    </row>
    <row r="11" spans="1:14" ht="15" customHeight="1" x14ac:dyDescent="0.2">
      <c r="B11" s="33"/>
      <c r="C11" s="9" t="s">
        <v>19</v>
      </c>
      <c r="E11" s="31"/>
      <c r="F11" s="31"/>
      <c r="G11" s="36">
        <v>2170</v>
      </c>
      <c r="H11" s="36"/>
      <c r="I11" s="36">
        <v>2460</v>
      </c>
      <c r="J11" s="36"/>
      <c r="K11" s="36">
        <v>2814</v>
      </c>
      <c r="L11" s="37"/>
      <c r="M11" s="38">
        <v>0</v>
      </c>
      <c r="N11" s="30">
        <f t="shared" ref="N11:N24" si="0">IF(ISERROR((M11-K11)/K11), "-- ", IF(ABS((M11-K11)/K11)&gt;9, " -- ", (M11-K11)/K11))</f>
        <v>-1</v>
      </c>
    </row>
    <row r="12" spans="1:14" ht="15" customHeight="1" x14ac:dyDescent="0.2">
      <c r="C12" s="9" t="s">
        <v>20</v>
      </c>
      <c r="E12" s="31"/>
      <c r="F12" s="31"/>
      <c r="G12" s="39">
        <v>1863</v>
      </c>
      <c r="H12" s="39"/>
      <c r="I12" s="40">
        <v>2601</v>
      </c>
      <c r="J12" s="39"/>
      <c r="K12" s="40">
        <v>2970</v>
      </c>
      <c r="L12" s="41"/>
      <c r="M12" s="38">
        <v>2970</v>
      </c>
      <c r="N12" s="30">
        <f t="shared" si="0"/>
        <v>0</v>
      </c>
    </row>
    <row r="13" spans="1:14" ht="15" customHeight="1" x14ac:dyDescent="0.2">
      <c r="C13" s="9" t="s">
        <v>21</v>
      </c>
      <c r="E13" s="31"/>
      <c r="F13" s="31"/>
      <c r="G13" s="42">
        <v>0</v>
      </c>
      <c r="H13" s="36"/>
      <c r="I13" s="42">
        <v>296</v>
      </c>
      <c r="J13" s="36"/>
      <c r="K13" s="42">
        <v>0</v>
      </c>
      <c r="L13" s="41"/>
      <c r="M13" s="38"/>
      <c r="N13" s="30"/>
    </row>
    <row r="14" spans="1:14" ht="15" customHeight="1" x14ac:dyDescent="0.2">
      <c r="C14" s="9" t="s">
        <v>22</v>
      </c>
      <c r="E14" s="31"/>
      <c r="F14" s="31"/>
      <c r="G14" s="39">
        <v>2411</v>
      </c>
      <c r="H14" s="39"/>
      <c r="I14" s="40">
        <v>2828</v>
      </c>
      <c r="J14" s="39"/>
      <c r="K14" s="40">
        <v>3231</v>
      </c>
      <c r="L14" s="41"/>
      <c r="M14" s="38">
        <v>3231</v>
      </c>
      <c r="N14" s="30">
        <f t="shared" si="0"/>
        <v>0</v>
      </c>
    </row>
    <row r="15" spans="1:14" ht="15" customHeight="1" x14ac:dyDescent="0.2">
      <c r="A15" s="43"/>
      <c r="B15" s="43"/>
      <c r="C15" s="44" t="s">
        <v>23</v>
      </c>
      <c r="D15" s="43"/>
      <c r="E15" s="45"/>
      <c r="F15" s="45"/>
      <c r="G15" s="46">
        <v>362</v>
      </c>
      <c r="H15" s="46"/>
      <c r="I15" s="36">
        <v>433</v>
      </c>
      <c r="J15" s="46"/>
      <c r="K15" s="36">
        <v>689</v>
      </c>
      <c r="L15" s="47"/>
      <c r="M15" s="38">
        <v>689</v>
      </c>
      <c r="N15" s="48">
        <f t="shared" si="0"/>
        <v>0</v>
      </c>
    </row>
    <row r="16" spans="1:14" ht="15" customHeight="1" x14ac:dyDescent="0.2">
      <c r="B16" s="49"/>
      <c r="C16" s="49" t="s">
        <v>24</v>
      </c>
      <c r="D16" s="49"/>
      <c r="E16" s="50"/>
      <c r="F16" s="50"/>
      <c r="G16" s="51">
        <v>259</v>
      </c>
      <c r="H16" s="51"/>
      <c r="I16" s="51">
        <v>230</v>
      </c>
      <c r="J16" s="51"/>
      <c r="K16" s="51">
        <v>115</v>
      </c>
      <c r="L16" s="52"/>
      <c r="M16" s="38">
        <v>0</v>
      </c>
      <c r="N16" s="30">
        <f>IF(ISERROR((M16-K16)/K16), "-- ", IF(ABS((M16-K16)/K16)&gt;9, " -- ", (M16-K16)/K16))</f>
        <v>-1</v>
      </c>
    </row>
    <row r="17" spans="2:16" ht="15" customHeight="1" x14ac:dyDescent="0.2">
      <c r="B17" s="53"/>
      <c r="C17" s="53"/>
      <c r="D17" s="53" t="s">
        <v>25</v>
      </c>
      <c r="E17" s="54"/>
      <c r="F17" s="54"/>
      <c r="G17" s="55">
        <f>SUM(G11:G16)</f>
        <v>7065</v>
      </c>
      <c r="H17" s="56"/>
      <c r="I17" s="55">
        <f>SUM(I11:I16)</f>
        <v>8848</v>
      </c>
      <c r="J17" s="55"/>
      <c r="K17" s="55">
        <f>SUM(K11:K16)</f>
        <v>9819</v>
      </c>
      <c r="L17" s="57"/>
      <c r="M17" s="58">
        <f>SUM(M11:M16)</f>
        <v>6890</v>
      </c>
      <c r="N17" s="59">
        <f t="shared" si="0"/>
        <v>-0.29829921580609026</v>
      </c>
    </row>
    <row r="18" spans="2:16" ht="15" customHeight="1" x14ac:dyDescent="0.2">
      <c r="B18" s="9" t="s">
        <v>9</v>
      </c>
      <c r="E18" s="31"/>
      <c r="F18" s="31"/>
      <c r="G18" s="39">
        <f>G9-G17</f>
        <v>4871</v>
      </c>
      <c r="H18" s="60"/>
      <c r="I18" s="39">
        <f>I9-I17</f>
        <v>6414</v>
      </c>
      <c r="J18" s="39"/>
      <c r="K18" s="39">
        <f>K9-K17</f>
        <v>9928</v>
      </c>
      <c r="L18" s="41"/>
      <c r="M18" s="38">
        <f>M9-M17</f>
        <v>12857</v>
      </c>
      <c r="N18" s="30">
        <f t="shared" si="0"/>
        <v>0.29502417405318293</v>
      </c>
    </row>
    <row r="19" spans="2:16" ht="15" customHeight="1" x14ac:dyDescent="0.2">
      <c r="B19" s="9" t="s">
        <v>27</v>
      </c>
      <c r="E19" s="31"/>
      <c r="F19" s="31"/>
      <c r="G19" s="39">
        <v>443</v>
      </c>
      <c r="H19" s="39"/>
      <c r="I19" s="40">
        <v>703</v>
      </c>
      <c r="J19" s="39"/>
      <c r="K19" s="40">
        <v>1803</v>
      </c>
      <c r="L19" s="41"/>
      <c r="M19" s="38">
        <v>0</v>
      </c>
      <c r="N19" s="30">
        <f t="shared" si="0"/>
        <v>-1</v>
      </c>
    </row>
    <row r="20" spans="2:16" ht="15" customHeight="1" x14ac:dyDescent="0.2">
      <c r="B20" s="9" t="s">
        <v>31</v>
      </c>
      <c r="E20" s="31"/>
      <c r="F20" s="31"/>
      <c r="G20" s="42">
        <v>0</v>
      </c>
      <c r="H20" s="39"/>
      <c r="I20" s="42">
        <v>0</v>
      </c>
      <c r="J20" s="39"/>
      <c r="K20" s="40">
        <v>160</v>
      </c>
      <c r="L20" s="41"/>
      <c r="M20" s="38">
        <v>156</v>
      </c>
      <c r="N20" s="30"/>
    </row>
    <row r="21" spans="2:16" ht="15" customHeight="1" x14ac:dyDescent="0.2">
      <c r="B21" s="61" t="s">
        <v>10</v>
      </c>
      <c r="C21" s="61"/>
      <c r="D21" s="61"/>
      <c r="E21" s="62"/>
      <c r="F21" s="62"/>
      <c r="G21" s="63">
        <f>SUM(G18:G20)</f>
        <v>5314</v>
      </c>
      <c r="H21" s="63"/>
      <c r="I21" s="63">
        <f>SUM(I18:I20)</f>
        <v>7117</v>
      </c>
      <c r="J21" s="63"/>
      <c r="K21" s="63">
        <f>SUM(K18:K20)</f>
        <v>11891</v>
      </c>
      <c r="L21" s="64"/>
      <c r="M21" s="65">
        <f>SUM(M18:M20)</f>
        <v>13013</v>
      </c>
      <c r="N21" s="66">
        <f t="shared" si="0"/>
        <v>9.4357076780758553E-2</v>
      </c>
      <c r="P21" s="67"/>
    </row>
    <row r="22" spans="2:16" ht="15" customHeight="1" x14ac:dyDescent="0.2">
      <c r="B22" s="9" t="s">
        <v>11</v>
      </c>
      <c r="E22" s="31"/>
      <c r="F22" s="50"/>
      <c r="G22" s="51">
        <v>1860</v>
      </c>
      <c r="H22" s="51"/>
      <c r="I22" s="51">
        <v>2627</v>
      </c>
      <c r="J22" s="51"/>
      <c r="K22" s="51">
        <v>4106</v>
      </c>
      <c r="L22" s="52"/>
      <c r="M22" s="38">
        <v>0</v>
      </c>
      <c r="N22" s="68">
        <f t="shared" si="0"/>
        <v>-1</v>
      </c>
    </row>
    <row r="23" spans="2:16" ht="15" customHeight="1" thickBot="1" x14ac:dyDescent="0.25">
      <c r="B23" s="69" t="s">
        <v>12</v>
      </c>
      <c r="C23" s="69"/>
      <c r="D23" s="69"/>
      <c r="E23" s="70"/>
      <c r="F23" s="70"/>
      <c r="G23" s="71">
        <f>G21-G22</f>
        <v>3454</v>
      </c>
      <c r="H23" s="71"/>
      <c r="I23" s="71">
        <f>I21-I22</f>
        <v>4490</v>
      </c>
      <c r="J23" s="71"/>
      <c r="K23" s="71">
        <f>K21-K22</f>
        <v>7785</v>
      </c>
      <c r="L23" s="72"/>
      <c r="M23" s="73">
        <f>M21-M22</f>
        <v>13013</v>
      </c>
      <c r="N23" s="74">
        <f t="shared" si="0"/>
        <v>0.67154784842646109</v>
      </c>
    </row>
    <row r="24" spans="2:16" ht="15" customHeight="1" thickBot="1" x14ac:dyDescent="0.25">
      <c r="B24" s="75" t="s">
        <v>18</v>
      </c>
      <c r="C24" s="75"/>
      <c r="D24" s="75"/>
      <c r="E24" s="76"/>
      <c r="F24" s="76"/>
      <c r="G24" s="77">
        <f>G23/G25</f>
        <v>0.65865751334858891</v>
      </c>
      <c r="H24" s="77"/>
      <c r="I24" s="77">
        <f>I23/I25</f>
        <v>0.83737411413651619</v>
      </c>
      <c r="J24" s="77"/>
      <c r="K24" s="77">
        <f>K23/K25</f>
        <v>1.420102152499088</v>
      </c>
      <c r="L24" s="78"/>
      <c r="M24" s="79" t="e">
        <f>M23/M25</f>
        <v>#DIV/0!</v>
      </c>
      <c r="N24" s="74" t="str">
        <f t="shared" si="0"/>
        <v xml:space="preserve">-- </v>
      </c>
    </row>
    <row r="25" spans="2:16" ht="13.5" thickBot="1" x14ac:dyDescent="0.25">
      <c r="B25" s="75" t="s">
        <v>13</v>
      </c>
      <c r="C25" s="75"/>
      <c r="D25" s="75"/>
      <c r="E25" s="80"/>
      <c r="F25" s="80"/>
      <c r="G25" s="81">
        <v>5244</v>
      </c>
      <c r="H25" s="81"/>
      <c r="I25" s="81">
        <v>5362</v>
      </c>
      <c r="J25" s="81"/>
      <c r="K25" s="81">
        <v>5482</v>
      </c>
      <c r="L25" s="82"/>
      <c r="M25" s="83">
        <v>0</v>
      </c>
      <c r="N25" s="84"/>
    </row>
    <row r="26" spans="2:16" x14ac:dyDescent="0.2">
      <c r="B26" s="85" t="s">
        <v>26</v>
      </c>
      <c r="C26" s="85"/>
      <c r="D26" s="85"/>
      <c r="E26" s="86"/>
      <c r="F26" s="86"/>
      <c r="G26" s="87"/>
      <c r="H26" s="88"/>
    </row>
  </sheetData>
  <sheetProtection password="C45C"/>
  <scenarios current="0" show="0">
    <scenario name="Project 1997" locked="1" count="1" user="Arvind Bhat" comment="Created by Arvind Bhat on 8/28/96_x000a_Modified by Arvind Bhat on 8/28/96">
      <inputCells r="M9" val="9000"/>
    </scenario>
  </scenarios>
  <phoneticPr fontId="0" type="noConversion"/>
  <pageMargins left="0.75" right="0.75" top="1" bottom="1" header="0.5" footer="0.5"/>
  <pageSetup orientation="portrait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Line="0" autoPict="0" macro="[0]!chart">
                <anchor moveWithCells="1" sizeWithCells="1">
                  <from>
                    <xdr:col>6</xdr:col>
                    <xdr:colOff>400050</xdr:colOff>
                    <xdr:row>26</xdr:row>
                    <xdr:rowOff>123825</xdr:rowOff>
                  </from>
                  <to>
                    <xdr:col>10</xdr:col>
                    <xdr:colOff>152400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Line="0" autoPict="0" macro="[0]!projection">
                <anchor moveWithCells="1">
                  <from>
                    <xdr:col>6</xdr:col>
                    <xdr:colOff>38100</xdr:colOff>
                    <xdr:row>1</xdr:row>
                    <xdr:rowOff>152400</xdr:rowOff>
                  </from>
                  <to>
                    <xdr:col>10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M20"/>
  <sheetViews>
    <sheetView showGridLines="0" zoomScale="85" workbookViewId="0">
      <selection activeCell="U43" sqref="U43"/>
    </sheetView>
  </sheetViews>
  <sheetFormatPr defaultRowHeight="12.75" x14ac:dyDescent="0.2"/>
  <cols>
    <col min="2" max="2" width="30.83203125" customWidth="1"/>
    <col min="6" max="6" width="9.83203125" customWidth="1"/>
    <col min="7" max="7" width="8.83203125" customWidth="1"/>
  </cols>
  <sheetData>
    <row r="2" spans="2:13" ht="18" x14ac:dyDescent="0.25">
      <c r="B2" s="91" t="s">
        <v>30</v>
      </c>
      <c r="C2" s="92"/>
      <c r="D2" s="92"/>
      <c r="E2" s="90"/>
      <c r="F2" s="1"/>
    </row>
    <row r="3" spans="2:13" x14ac:dyDescent="0.2">
      <c r="B3" s="95" t="s">
        <v>0</v>
      </c>
      <c r="C3" s="96"/>
      <c r="D3" s="96"/>
      <c r="E3" s="8"/>
      <c r="F3" s="1"/>
      <c r="L3" s="1"/>
      <c r="M3" s="1"/>
    </row>
    <row r="4" spans="2:13" x14ac:dyDescent="0.2">
      <c r="B4" s="95" t="s">
        <v>29</v>
      </c>
      <c r="C4" s="97"/>
      <c r="D4" s="97"/>
      <c r="E4" s="33"/>
      <c r="L4" s="1"/>
      <c r="M4" s="1"/>
    </row>
    <row r="5" spans="2:13" x14ac:dyDescent="0.2">
      <c r="B5" s="33"/>
      <c r="C5" s="33"/>
      <c r="D5" s="33"/>
      <c r="E5" s="33"/>
    </row>
    <row r="6" spans="2:13" x14ac:dyDescent="0.2">
      <c r="B6" s="33"/>
      <c r="C6" s="33"/>
      <c r="D6" s="33"/>
      <c r="E6" s="33"/>
    </row>
    <row r="7" spans="2:13" x14ac:dyDescent="0.2">
      <c r="B7" s="93"/>
      <c r="C7" s="22">
        <v>1997</v>
      </c>
      <c r="D7" s="22">
        <v>1998</v>
      </c>
      <c r="E7" s="22">
        <v>1999</v>
      </c>
      <c r="F7" s="2">
        <v>2000</v>
      </c>
    </row>
    <row r="8" spans="2:13" x14ac:dyDescent="0.2">
      <c r="B8" s="9" t="s">
        <v>6</v>
      </c>
      <c r="C8" s="27">
        <f>+'Income Statements'!G9</f>
        <v>11936</v>
      </c>
      <c r="D8" s="27">
        <f>+'Income Statements'!I9</f>
        <v>15262</v>
      </c>
      <c r="E8" s="27">
        <f>+'Income Statements'!K9</f>
        <v>19747</v>
      </c>
      <c r="F8" s="4">
        <f>+'Income Statements'!M9</f>
        <v>19747</v>
      </c>
    </row>
    <row r="9" spans="2:13" x14ac:dyDescent="0.2">
      <c r="B9" s="9" t="s">
        <v>8</v>
      </c>
      <c r="C9" s="36">
        <f>+'Income Statements'!G11</f>
        <v>2170</v>
      </c>
      <c r="D9" s="36">
        <f>+'Income Statements'!I11</f>
        <v>2460</v>
      </c>
      <c r="E9" s="36">
        <f>+'Income Statements'!K11</f>
        <v>2814</v>
      </c>
      <c r="F9" s="5">
        <f>+'Income Statements'!M11</f>
        <v>0</v>
      </c>
    </row>
    <row r="10" spans="2:13" x14ac:dyDescent="0.2">
      <c r="B10" s="9" t="s">
        <v>14</v>
      </c>
      <c r="C10" s="36">
        <f>+'Income Statements'!G12</f>
        <v>1863</v>
      </c>
      <c r="D10" s="36">
        <f>+'Income Statements'!I12</f>
        <v>2601</v>
      </c>
      <c r="E10" s="36">
        <f>+'Income Statements'!K12</f>
        <v>2970</v>
      </c>
      <c r="F10" s="5">
        <f>+'Income Statements'!M12</f>
        <v>2970</v>
      </c>
    </row>
    <row r="11" spans="2:13" x14ac:dyDescent="0.2">
      <c r="B11" s="9" t="s">
        <v>15</v>
      </c>
      <c r="C11" s="40">
        <f>+'Income Statements'!G14</f>
        <v>2411</v>
      </c>
      <c r="D11" s="40">
        <f>+'Income Statements'!I14</f>
        <v>2828</v>
      </c>
      <c r="E11" s="40">
        <f>+'Income Statements'!K14</f>
        <v>3231</v>
      </c>
      <c r="F11" s="5">
        <f>+'Income Statements'!M14</f>
        <v>3231</v>
      </c>
    </row>
    <row r="12" spans="2:13" x14ac:dyDescent="0.2">
      <c r="B12" s="9" t="s">
        <v>16</v>
      </c>
      <c r="C12" s="40">
        <f>+'Income Statements'!G15</f>
        <v>362</v>
      </c>
      <c r="D12" s="40">
        <f>+'Income Statements'!I15</f>
        <v>433</v>
      </c>
      <c r="E12" s="40">
        <f>+'Income Statements'!K15</f>
        <v>689</v>
      </c>
      <c r="F12" s="5">
        <f>+'Income Statements'!M15</f>
        <v>689</v>
      </c>
    </row>
    <row r="13" spans="2:13" x14ac:dyDescent="0.2">
      <c r="B13" s="9" t="s">
        <v>9</v>
      </c>
      <c r="C13" s="27">
        <f>+'Income Statements'!G18</f>
        <v>4871</v>
      </c>
      <c r="D13" s="27">
        <f>+'Income Statements'!I18</f>
        <v>6414</v>
      </c>
      <c r="E13" s="27">
        <f>+'Income Statements'!K18</f>
        <v>9928</v>
      </c>
      <c r="F13" s="7">
        <f>+'Income Statements'!M18</f>
        <v>12857</v>
      </c>
    </row>
    <row r="14" spans="2:13" x14ac:dyDescent="0.2">
      <c r="B14" s="9" t="s">
        <v>12</v>
      </c>
      <c r="C14" s="27">
        <f>+'Income Statements'!G23</f>
        <v>3454</v>
      </c>
      <c r="D14" s="27">
        <f>+'Income Statements'!I23</f>
        <v>4490</v>
      </c>
      <c r="E14" s="27">
        <f>+'Income Statements'!K23</f>
        <v>7785</v>
      </c>
      <c r="F14" s="7">
        <f>+'Income Statements'!M23</f>
        <v>13013</v>
      </c>
    </row>
    <row r="15" spans="2:13" ht="13.5" thickBot="1" x14ac:dyDescent="0.25">
      <c r="B15" s="75" t="s">
        <v>17</v>
      </c>
      <c r="C15" s="77">
        <f>+'Income Statements'!G24</f>
        <v>0.65865751334858891</v>
      </c>
      <c r="D15" s="77">
        <f>+'Income Statements'!I24</f>
        <v>0.83737411413651619</v>
      </c>
      <c r="E15" s="77">
        <f>+'Income Statements'!K24</f>
        <v>1.420102152499088</v>
      </c>
      <c r="F15" s="6" t="e">
        <f>+'Income Statements'!M24</f>
        <v>#DIV/0!</v>
      </c>
    </row>
    <row r="16" spans="2:13" x14ac:dyDescent="0.2">
      <c r="B16" s="85" t="s">
        <v>26</v>
      </c>
      <c r="C16" s="94"/>
      <c r="D16" s="94"/>
      <c r="E16" s="94"/>
    </row>
    <row r="20" spans="2:2" x14ac:dyDescent="0.2">
      <c r="B20" s="3"/>
    </row>
  </sheetData>
  <phoneticPr fontId="0" type="noConversion"/>
  <pageMargins left="0.75" right="0.75" top="1" bottom="1" header="0.5" footer="0.5"/>
  <pageSetup orientation="landscape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" r:id="rId4" name="Button 143">
              <controlPr defaultSize="0" print="0" autoFill="0" autoLine="0" autoPict="0" macro="[0]!userchart">
                <anchor moveWithCells="1" sizeWithCells="1">
                  <from>
                    <xdr:col>8</xdr:col>
                    <xdr:colOff>152400</xdr:colOff>
                    <xdr:row>20</xdr:row>
                    <xdr:rowOff>142875</xdr:rowOff>
                  </from>
                  <to>
                    <xdr:col>11</xdr:col>
                    <xdr:colOff>523875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5" name="Button 153">
              <controlPr defaultSize="0" print="0" autoFill="0" autoLine="0" autoPict="0" macro="[0]!projections">
                <anchor moveWithCells="1" sizeWithCells="1">
                  <from>
                    <xdr:col>0</xdr:col>
                    <xdr:colOff>523875</xdr:colOff>
                    <xdr:row>18</xdr:row>
                    <xdr:rowOff>0</xdr:rowOff>
                  </from>
                  <to>
                    <xdr:col>2</xdr:col>
                    <xdr:colOff>200025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Normal="100" workbookViewId="0">
      <selection activeCell="L2" sqref="L2"/>
    </sheetView>
  </sheetViews>
  <sheetFormatPr defaultRowHeight="12.75" x14ac:dyDescent="0.2"/>
  <sheetData/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Dialogs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Income Statements</vt:lpstr>
      <vt:lpstr>Charts</vt:lpstr>
      <vt:lpstr>Sheet1</vt:lpstr>
      <vt:lpstr>Dialog3</vt:lpstr>
      <vt:lpstr>chart dialog box</vt:lpstr>
      <vt:lpstr>Welcome</vt:lpstr>
      <vt:lpstr>avgshares</vt:lpstr>
      <vt:lpstr>cost96</vt:lpstr>
      <vt:lpstr>cost97</vt:lpstr>
      <vt:lpstr>ganda96</vt:lpstr>
      <vt:lpstr>ganda97</vt:lpstr>
      <vt:lpstr>incb4tx</vt:lpstr>
      <vt:lpstr>intinc97</vt:lpstr>
      <vt:lpstr>othexp97</vt:lpstr>
      <vt:lpstr>rand96</vt:lpstr>
      <vt:lpstr>rand97</vt:lpstr>
      <vt:lpstr>rev96</vt:lpstr>
      <vt:lpstr>rev97</vt:lpstr>
      <vt:lpstr>sandm96</vt:lpstr>
      <vt:lpstr>sandm97</vt:lpstr>
      <vt:lpstr>tax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rubin</cp:lastModifiedBy>
  <cp:lastPrinted>1997-09-29T23:11:24Z</cp:lastPrinted>
  <dcterms:created xsi:type="dcterms:W3CDTF">1996-01-17T22:57:19Z</dcterms:created>
  <dcterms:modified xsi:type="dcterms:W3CDTF">2011-12-02T07:49:30Z</dcterms:modified>
</cp:coreProperties>
</file>